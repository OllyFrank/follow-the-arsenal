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nents" sheetId="1" state="visible" r:id="rId3"/>
    <sheet name="Away matches" sheetId="2" state="visible" r:id="rId4"/>
    <sheet name="Grounds template" sheetId="3" state="visible" r:id="rId5"/>
    <sheet name="Flags to check" sheetId="4" state="visible" r:id="rId6"/>
    <sheet name="Fixtures" sheetId="5" state="visible" r:id="rId7"/>
  </sheets>
  <definedNames>
    <definedName function="false" hidden="true" localSheetId="1" name="_xlnm._FilterDatabase" vbProcedure="false">'Away matches'!$A$1:$F$1023</definedName>
    <definedName function="false" hidden="true" localSheetId="4" name="_xlnm._FilterDatabase" vbProcedure="false">Fixtures!$A$1:$J$2102</definedName>
    <definedName function="false" hidden="true" localSheetId="0" name="_xlnm._FilterDatabase" vbProcedure="false">Opponents!$A$1:$J$173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Static list generated from the Fixtures sheet at build time.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Season derived from date (1 July cut-off). Exception: matches 1 Jul–14 Aug 2020 are assigned to 2019/20 because that season was extended by COVID.</t>
        </r>
      </text>
    </comment>
    <comment ref="J1" authorId="0">
      <text>
        <r>
          <rPr>
            <sz val="10"/>
            <rFont val="Arial"/>
            <family val="2"/>
          </rPr>
          <t xml:space="preserve">Y where the original row was shaded amber by Olly (2020/21 behind-closed-doors games).</t>
        </r>
      </text>
    </comment>
  </commentList>
</comments>
</file>

<file path=xl/sharedStrings.xml><?xml version="1.0" encoding="utf-8"?>
<sst xmlns="http://schemas.openxmlformats.org/spreadsheetml/2006/main" count="16542" uniqueCount="875">
  <si>
    <t xml:space="preserve">Opponent (as in data)</t>
  </si>
  <si>
    <t xml:space="preserve">Suggested merged name</t>
  </si>
  <si>
    <t xml:space="preserve">Total</t>
  </si>
  <si>
    <t xml:space="preserve">Home</t>
  </si>
  <si>
    <t xml:space="preserve">Away</t>
  </si>
  <si>
    <t xml:space="preserve">Neutral</t>
  </si>
  <si>
    <t xml:space="preserve">First away</t>
  </si>
  <si>
    <t xml:space="preserve">Last away</t>
  </si>
  <si>
    <t xml:space="preserve">Away seasons</t>
  </si>
  <si>
    <t xml:space="preserve">Ground notes (from general knowledge — verify)</t>
  </si>
  <si>
    <t xml:space="preserve">1.FC Köln</t>
  </si>
  <si>
    <t xml:space="preserve">2017/18</t>
  </si>
  <si>
    <t xml:space="preserve">AC Milan</t>
  </si>
  <si>
    <t xml:space="preserve">1994/95, 2007/08, 2011/12, 2017/18</t>
  </si>
  <si>
    <t xml:space="preserve">AFC Bournemouth</t>
  </si>
  <si>
    <t xml:space="preserve">2015/16, 2016/17, 2017/18, 2018/19, 2019/20, 2022/23, 2023/24, 2024/25, 2025/26</t>
  </si>
  <si>
    <t xml:space="preserve">AFC Wimbledon</t>
  </si>
  <si>
    <t xml:space="preserve">Different club from "Wimbledon" — keep separate.</t>
  </si>
  <si>
    <t xml:space="preserve">AIK Solna</t>
  </si>
  <si>
    <t xml:space="preserve">1999/00</t>
  </si>
  <si>
    <t xml:space="preserve">Ajax</t>
  </si>
  <si>
    <t xml:space="preserve">2002/03, 2005/06</t>
  </si>
  <si>
    <t xml:space="preserve">Anderlecht</t>
  </si>
  <si>
    <t xml:space="preserve">2014/15</t>
  </si>
  <si>
    <t xml:space="preserve">AS Monaco</t>
  </si>
  <si>
    <t xml:space="preserve">AS Roma</t>
  </si>
  <si>
    <t xml:space="preserve">2002/03, 2008/09</t>
  </si>
  <si>
    <t xml:space="preserve">Aston Villa</t>
  </si>
  <si>
    <t xml:space="preserve">1988/89, 1989/90, 1990/91, 1991/92, 1992/93, 1993/94, 1994/95, 1995/96, 1996/97, 1997/98, 1998/99, 1999/00, 2000/01, 2001/02, 2002/03, 2003/04, 2004/05, 2005/06, 2006/07, 2007/08, 2008/09, 2009/10, 2010/11, 2011/12, 2012/13, 2013/14, 2014/15, 2015/16, 2019/20, 2020/21, 2021/22, 2022/23, 2023/24, 2024/25, 2025/26</t>
  </si>
  <si>
    <t xml:space="preserve">Atalanta</t>
  </si>
  <si>
    <t xml:space="preserve">2024/25</t>
  </si>
  <si>
    <t xml:space="preserve">Athletic Bilbao</t>
  </si>
  <si>
    <t xml:space="preserve">2025/26</t>
  </si>
  <si>
    <t xml:space="preserve">Atletico Madrid</t>
  </si>
  <si>
    <t xml:space="preserve">Duplicate of "Atlético Madrid". Metropolitano for both away games here.</t>
  </si>
  <si>
    <t xml:space="preserve">Atlético Madrid</t>
  </si>
  <si>
    <t xml:space="preserve">See "Atletico Madrid" — duplicate name.</t>
  </si>
  <si>
    <t xml:space="preserve">Austria Wien</t>
  </si>
  <si>
    <t xml:space="preserve">1991/92</t>
  </si>
  <si>
    <t xml:space="preserve">Auxerre</t>
  </si>
  <si>
    <t xml:space="preserve">1994/95, 2002/03</t>
  </si>
  <si>
    <t xml:space="preserve">AZ Alkmaar</t>
  </si>
  <si>
    <t xml:space="preserve">2009/10</t>
  </si>
  <si>
    <t xml:space="preserve">Barcelona</t>
  </si>
  <si>
    <t xml:space="preserve">1999/00, 2009/10, 2010/11, 2015/16</t>
  </si>
  <si>
    <t xml:space="preserve">Camp Nou for all away games here. Arsenal's 1999/00 home game was at Wembley.</t>
  </si>
  <si>
    <t xml:space="preserve">Barnsley</t>
  </si>
  <si>
    <t xml:space="preserve">1995/96, 1997/98</t>
  </si>
  <si>
    <t xml:space="preserve">Bayer Leverkusen</t>
  </si>
  <si>
    <t xml:space="preserve">2001/02, 2025/26</t>
  </si>
  <si>
    <t xml:space="preserve">Bayern Munchen</t>
  </si>
  <si>
    <t xml:space="preserve">2004/05, 2012/13, 2013/14, 2015/16, 2023/24</t>
  </si>
  <si>
    <t xml:space="preserve">Olympiastadion until 2004/05; Allianz Arena from 2005/06. Same club as "Bayern München".</t>
  </si>
  <si>
    <t xml:space="preserve">Bayern München</t>
  </si>
  <si>
    <t xml:space="preserve">2000/01, 2016/17</t>
  </si>
  <si>
    <t xml:space="preserve">See "Bayern Munchen" — duplicate name.</t>
  </si>
  <si>
    <t xml:space="preserve">Benfica</t>
  </si>
  <si>
    <t xml:space="preserve">1991/92, 2020/21</t>
  </si>
  <si>
    <t xml:space="preserve">1991/92 at the old Estádio da Luz. 2020/21 "home" leg played in Rome (Stadio Olimpico).</t>
  </si>
  <si>
    <t xml:space="preserve">Besiktas</t>
  </si>
  <si>
    <t xml:space="preserve">Aug 2014 home leg believed played at Atatürk Olympic Stadium (Inönü being rebuilt) — verify.</t>
  </si>
  <si>
    <t xml:space="preserve">Birmingham City</t>
  </si>
  <si>
    <t xml:space="preserve">2002/03, 2003/04, 2004/05, 2005/06, 2007/08, 2009/10, 2010/11</t>
  </si>
  <si>
    <t xml:space="preserve">Blackburn Rovers</t>
  </si>
  <si>
    <t xml:space="preserve">1992/93, 1993/94, 1994/95, 1995/96, 1996/97, 1997/98, 1998/99, 2001/02, 2002/03, 2003/04, 2004/05, 2005/06, 2006/07, 2007/08, 2008/09, 2009/10, 2010/11, 2011/12</t>
  </si>
  <si>
    <t xml:space="preserve">Blackpool</t>
  </si>
  <si>
    <t xml:space="preserve">2010/11, 2018/19</t>
  </si>
  <si>
    <t xml:space="preserve">Bolton Wanderers</t>
  </si>
  <si>
    <t xml:space="preserve">1993/94, 1995/96, 1997/98, 2001/02, 2002/03, 2003/04, 2004/05, 2005/06, 2006/07, 2007/08, 2008/09, 2009/10, 2010/11, 2011/12</t>
  </si>
  <si>
    <t xml:space="preserve">Burnden Park until 1996/97; Reebok Stadium (now Toughsheet) from 1997/98.</t>
  </si>
  <si>
    <t xml:space="preserve">Borussia Dortmund</t>
  </si>
  <si>
    <t xml:space="preserve">2002/03, 2011/12, 2013/14, 2014/15</t>
  </si>
  <si>
    <t xml:space="preserve">Borussia Mönchengladbach</t>
  </si>
  <si>
    <t xml:space="preserve">1996/97</t>
  </si>
  <si>
    <t xml:space="preserve">Bradford City</t>
  </si>
  <si>
    <t xml:space="preserve">1999/00, 2000/01, 2012/13</t>
  </si>
  <si>
    <t xml:space="preserve">Brentford</t>
  </si>
  <si>
    <t xml:space="preserve">2021/22, 2022/23, 2023/24, 2024/25, 2025/26</t>
  </si>
  <si>
    <t xml:space="preserve">Brighton and Hove Albion</t>
  </si>
  <si>
    <t xml:space="preserve">2012/13, 2014/15, 2017/18, 2018/19, 2019/20, 2020/21, 2021/22, 2022/23, 2023/24, 2024/25, 2025/26</t>
  </si>
  <si>
    <t xml:space="preserve">Brøndby</t>
  </si>
  <si>
    <t xml:space="preserve">1994/95</t>
  </si>
  <si>
    <t xml:space="preserve">Burnley</t>
  </si>
  <si>
    <t xml:space="preserve">2007/08, 2008/09, 2009/10, 2014/15, 2016/17, 2017/18, 2018/19, 2019/20, 2020/21, 2021/22, 2023/24, 2025/26</t>
  </si>
  <si>
    <t xml:space="preserve">Cambridge United</t>
  </si>
  <si>
    <t xml:space="preserve">Cardiff City</t>
  </si>
  <si>
    <t xml:space="preserve">2008/09, 2013/14, 2018/19</t>
  </si>
  <si>
    <t xml:space="preserve">Ninian Park for 2008/09 (FA Cup); Cardiff City Stadium from 2009.</t>
  </si>
  <si>
    <t xml:space="preserve">Carlisle United</t>
  </si>
  <si>
    <t xml:space="preserve">2000/01</t>
  </si>
  <si>
    <t xml:space="preserve">Celta Vigo</t>
  </si>
  <si>
    <t xml:space="preserve">2003/04</t>
  </si>
  <si>
    <t xml:space="preserve">Celtic</t>
  </si>
  <si>
    <t xml:space="preserve">Charlton Athletic</t>
  </si>
  <si>
    <t xml:space="preserve">1988/89, 1989/90, 1998/99, 2000/01, 2001/02, 2002/03, 2003/04, 2004/05, 2005/06, 2006/07</t>
  </si>
  <si>
    <t xml:space="preserve">Ground-sharing at Selhurst Park in 1988/89 and 1989/90; The Valley later.</t>
  </si>
  <si>
    <t xml:space="preserve">Chelsea</t>
  </si>
  <si>
    <t xml:space="preserve">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</t>
  </si>
  <si>
    <t xml:space="preserve">Chester City</t>
  </si>
  <si>
    <t xml:space="preserve">1990/91</t>
  </si>
  <si>
    <t xml:space="preserve">Chester were playing at Moss Rose, Macclesfield in 1990/91 — verify.</t>
  </si>
  <si>
    <t xml:space="preserve">Club Brugge</t>
  </si>
  <si>
    <t xml:space="preserve">Coventry City</t>
  </si>
  <si>
    <t xml:space="preserve">1988/89, 1989/90, 1990/91, 1991/92, 1992/93, 1993/94, 1994/95, 1995/96, 1996/97, 1997/98, 1998/99, 1999/00, 2000/01</t>
  </si>
  <si>
    <t xml:space="preserve">Crvena Zvezda</t>
  </si>
  <si>
    <t xml:space="preserve">Crystal Palace</t>
  </si>
  <si>
    <t xml:space="preserve">1989/90, 1990/91, 1991/92, 1992/93, 1994/95, 1997/98, 2004/05, 2013/14, 2014/15, 2015/16, 2016/17, 2017/18, 2018/19, 2019/20, 2020/21, 2021/22, 2022/23, 2023/24, 2024/25, 2025/26</t>
  </si>
  <si>
    <t xml:space="preserve">CSKA Moscow</t>
  </si>
  <si>
    <t xml:space="preserve">Duplicate of "CSKA Moskva". Different stadiums 2006/07 vs 2017/18 — verify.</t>
  </si>
  <si>
    <t xml:space="preserve">CSKA Moskva</t>
  </si>
  <si>
    <t xml:space="preserve">2006/07</t>
  </si>
  <si>
    <t xml:space="preserve">See "CSKA Moscow" — duplicate name.</t>
  </si>
  <si>
    <t xml:space="preserve">Deportivo La Coruna</t>
  </si>
  <si>
    <t xml:space="preserve">Duplicate of "Deportivo La Coruña".</t>
  </si>
  <si>
    <t xml:space="preserve">Deportivo La Coruña</t>
  </si>
  <si>
    <t xml:space="preserve">2001/02</t>
  </si>
  <si>
    <t xml:space="preserve">See "Deportivo La Coruna" — duplicate name.</t>
  </si>
  <si>
    <t xml:space="preserve">Derby County</t>
  </si>
  <si>
    <t xml:space="preserve">1988/89, 1989/90, 1990/91, 1992/93, 1996/97, 1997/98, 1998/99, 1999/00, 2000/01, 2001/02, 2007/08</t>
  </si>
  <si>
    <t xml:space="preserve">Baseball Ground until 1996/97; Pride Park from 1997/98.</t>
  </si>
  <si>
    <t xml:space="preserve">Dinamo Zagreb</t>
  </si>
  <si>
    <t xml:space="preserve">2006/07, 2015/16</t>
  </si>
  <si>
    <t xml:space="preserve">Doncaster Rovers</t>
  </si>
  <si>
    <t xml:space="preserve">2005/06</t>
  </si>
  <si>
    <t xml:space="preserve">Dundalk</t>
  </si>
  <si>
    <t xml:space="preserve">2020/21</t>
  </si>
  <si>
    <t xml:space="preserve">Dec 2020 home game believed played at Aviva Stadium, Dublin — verify.</t>
  </si>
  <si>
    <t xml:space="preserve">Dynamo Kiev</t>
  </si>
  <si>
    <t xml:space="preserve">1998/99, 2003/04, 2008/09</t>
  </si>
  <si>
    <t xml:space="preserve">Eintracht Frankfurt</t>
  </si>
  <si>
    <t xml:space="preserve">2019/20</t>
  </si>
  <si>
    <t xml:space="preserve">Everton</t>
  </si>
  <si>
    <t xml:space="preserve">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</t>
  </si>
  <si>
    <t xml:space="preserve">Goodison Park until 2024/25; Hill Dickinson Stadium from 2025/26.</t>
  </si>
  <si>
    <t xml:space="preserve">Farnborough Town</t>
  </si>
  <si>
    <t xml:space="preserve">2002/03</t>
  </si>
  <si>
    <t xml:space="preserve">2003 FA Cup tie was switched to Highbury — treat as Arsenal home ground.</t>
  </si>
  <si>
    <t xml:space="preserve">FC Basel</t>
  </si>
  <si>
    <t xml:space="preserve">2016/17</t>
  </si>
  <si>
    <t xml:space="preserve">FC BATE Borisov</t>
  </si>
  <si>
    <t xml:space="preserve">2017/18, 2018/19</t>
  </si>
  <si>
    <t xml:space="preserve">FC Kairat Almaty</t>
  </si>
  <si>
    <t xml:space="preserve">FC Porto</t>
  </si>
  <si>
    <t xml:space="preserve">2006/07, 2008/09, 2009/10, 2023/24</t>
  </si>
  <si>
    <t xml:space="preserve">FC Thun</t>
  </si>
  <si>
    <t xml:space="preserve">2005/06 CL home games believed played at Stade de Suisse, Bern — verify.</t>
  </si>
  <si>
    <t xml:space="preserve">FC Zurich</t>
  </si>
  <si>
    <t xml:space="preserve">2022/23</t>
  </si>
  <si>
    <t xml:space="preserve">Fenerbahce</t>
  </si>
  <si>
    <t xml:space="preserve">2008/09, 2013/14</t>
  </si>
  <si>
    <t xml:space="preserve">Fiorentina</t>
  </si>
  <si>
    <t xml:space="preserve">FK Bodo Glimt</t>
  </si>
  <si>
    <t xml:space="preserve">FK Qarabağ Agdam</t>
  </si>
  <si>
    <t xml:space="preserve">2018/19</t>
  </si>
  <si>
    <t xml:space="preserve">Played home European games in Baku — verify which stadium for Oct 2018.</t>
  </si>
  <si>
    <t xml:space="preserve">Fulham</t>
  </si>
  <si>
    <t xml:space="preserve">2001/02, 2002/03, 2003/04, 2004/05, 2005/06, 2006/07, 2007/08, 2008/09, 2009/10, 2010/11, 2011/12, 2012/13, 2013/14, 2018/19, 2020/21, 2022/23, 2023/24, 2024/25, 2025/26</t>
  </si>
  <si>
    <t xml:space="preserve">Loftus Road for the 2002/03 and 2003/04 away games (Craven Cottage redevelopment); Craven Cottage otherwise.</t>
  </si>
  <si>
    <t xml:space="preserve">Galatasaray</t>
  </si>
  <si>
    <t xml:space="preserve">Gillingham</t>
  </si>
  <si>
    <t xml:space="preserve">Girona</t>
  </si>
  <si>
    <t xml:space="preserve">Grimsby Town</t>
  </si>
  <si>
    <t xml:space="preserve">Hamburger SV</t>
  </si>
  <si>
    <t xml:space="preserve">Hartlepool United</t>
  </si>
  <si>
    <t xml:space="preserve">1994/95, 1995/96</t>
  </si>
  <si>
    <t xml:space="preserve">Huddersfield Town</t>
  </si>
  <si>
    <t xml:space="preserve">1993/94, 2017/18, 2018/19</t>
  </si>
  <si>
    <t xml:space="preserve">Leeds Road until 1993/94; Kirklees (McAlpine/John Smith's) Stadium from 1994/95.</t>
  </si>
  <si>
    <t xml:space="preserve">Hull City</t>
  </si>
  <si>
    <t xml:space="preserve">1988/89, 2008/09, 2009/10, 2013/14, 2014/15, 2015/16, 2016/17</t>
  </si>
  <si>
    <t xml:space="preserve">Boothferry Park until Dec 2002; KC/MKM Stadium after.</t>
  </si>
  <si>
    <t xml:space="preserve">Inter Milano</t>
  </si>
  <si>
    <t xml:space="preserve">Internazionale</t>
  </si>
  <si>
    <t xml:space="preserve">Duplicate of "Internazionale". San Siro.</t>
  </si>
  <si>
    <t xml:space="preserve">2024/25, 2025/26</t>
  </si>
  <si>
    <t xml:space="preserve">See "Inter Milano" — duplicate name. San Siro.</t>
  </si>
  <si>
    <t xml:space="preserve">Ipswich Town</t>
  </si>
  <si>
    <t xml:space="preserve">1992/93, 1993/94, 1994/95, 2000/01, 2001/02, 2010/11, 2024/25</t>
  </si>
  <si>
    <t xml:space="preserve">Juventus</t>
  </si>
  <si>
    <t xml:space="preserve">2001/02, 2005/06</t>
  </si>
  <si>
    <t xml:space="preserve">Lazio</t>
  </si>
  <si>
    <t xml:space="preserve">Leeds United</t>
  </si>
  <si>
    <t xml:space="preserve">1990/91, 1991/92, 1992/93, 1993/94, 1994/95, 1995/96, 1996/97, 1997/98, 1998/99, 1999/00, 2000/01, 2001/02, 2002/03, 2003/04, 2010/11, 2020/21, 2021/22, 2022/23, 2025/26</t>
  </si>
  <si>
    <t xml:space="preserve">Leicester City</t>
  </si>
  <si>
    <t xml:space="preserve">1991/92, 1994/95, 1996/97, 1997/98, 1998/99, 1999/00, 2000/01, 2001/02, 2003/04, 2014/15, 2015/16, 2016/17, 2017/18, 2018/19, 2019/20, 2020/21, 2021/22, 2022/23, 2024/25</t>
  </si>
  <si>
    <t xml:space="preserve">Filbert Street until 2001/02; Walkers/King Power Stadium from 2002/03.</t>
  </si>
  <si>
    <t xml:space="preserve">Leyton Orient</t>
  </si>
  <si>
    <t xml:space="preserve">2010/11</t>
  </si>
  <si>
    <t xml:space="preserve">Lincoln City</t>
  </si>
  <si>
    <t xml:space="preserve">Liverpool</t>
  </si>
  <si>
    <t xml:space="preserve">Lokomotiv Moskva</t>
  </si>
  <si>
    <t xml:space="preserve">Luton Town</t>
  </si>
  <si>
    <t xml:space="preserve">1988/89, 1989/90, 1990/91, 1991/92, 2023/24</t>
  </si>
  <si>
    <t xml:space="preserve">Manchester City</t>
  </si>
  <si>
    <t xml:space="preserve">1989/90, 1990/91, 1991/92, 1992/93, 1993/94, 1994/95, 1995/96, 2000/01, 2002/03, 2003/04, 2004/05, 2005/06, 2006/07, 2007/08, 2008/09, 2009/10, 2010/11, 2011/12, 2012/13, 2013/14, 2014/15, 2015/16, 2016/17, 2017/18, 2018/19, 2019/20, 2020/21, 2021/22, 2022/23, 2023/24, 2024/25, 2025/26</t>
  </si>
  <si>
    <t xml:space="preserve">Maine Road until 2002/03; City of Manchester Stadium (Etihad) from 2003/04.</t>
  </si>
  <si>
    <t xml:space="preserve">Manchester United</t>
  </si>
  <si>
    <t xml:space="preserve">Mansfield Town</t>
  </si>
  <si>
    <t xml:space="preserve">Middlesbrough</t>
  </si>
  <si>
    <t xml:space="preserve">1988/89, 1992/93, 1995/96, 1996/97, 1997/98, 1998/99, 1999/00, 2000/01, 2001/02, 2002/03, 2003/04, 2004/05, 2005/06, 2006/07, 2007/08, 2008/09, 2016/17</t>
  </si>
  <si>
    <t xml:space="preserve">Ayresome Park until 1994/95; Riverside Stadium from 1995/96.</t>
  </si>
  <si>
    <t xml:space="preserve">Millwall</t>
  </si>
  <si>
    <t xml:space="preserve">1988/89, 1989/90, 1992/93, 1993/94, 1994/95</t>
  </si>
  <si>
    <t xml:space="preserve">The Den (Cold Blow Lane) until 1992/93; The New Den from 1993/94.</t>
  </si>
  <si>
    <t xml:space="preserve">Molde</t>
  </si>
  <si>
    <t xml:space="preserve">Montpellier</t>
  </si>
  <si>
    <t xml:space="preserve">2012/13</t>
  </si>
  <si>
    <t xml:space="preserve">Nantes</t>
  </si>
  <si>
    <t xml:space="preserve">Napoli</t>
  </si>
  <si>
    <t xml:space="preserve">2013/14, 2018/19</t>
  </si>
  <si>
    <t xml:space="preserve">Newcastle United</t>
  </si>
  <si>
    <t xml:space="preserve">1988/89, 1993/94, 1994/95, 1995/96, 1996/97, 1997/98, 1998/99, 1999/00, 2000/01, 2001/02, 2002/03, 2003/04, 2004/05, 2005/06, 2006/07, 2007/08, 2008/09, 2010/11, 2011/12, 2012/13, 2013/14, 2014/15, 2015/16, 2017/18, 2018/19, 2019/20, 2020/21, 2021/22, 2022/23, 2023/24, 2024/25, 2025/26</t>
  </si>
  <si>
    <t xml:space="preserve">Norwich City</t>
  </si>
  <si>
    <t xml:space="preserve">1988/89, 1989/90, 1990/91, 1991/92, 1992/93, 1993/94, 1994/95, 2004/05, 2011/12, 2012/13, 2013/14, 2015/16, 2019/20, 2021/22</t>
  </si>
  <si>
    <t xml:space="preserve">Nottingham Forest</t>
  </si>
  <si>
    <t xml:space="preserve">1988/89, 1989/90, 1990/91, 1991/92, 1992/93, 1994/95, 1995/96, 1996/97, 1998/99, 2016/17, 2017/18, 2021/22, 2022/23, 2023/24, 2024/25, 2025/26</t>
  </si>
  <si>
    <t xml:space="preserve">Notts County</t>
  </si>
  <si>
    <t xml:space="preserve">OB Odense</t>
  </si>
  <si>
    <t xml:space="preserve">1993/94</t>
  </si>
  <si>
    <t xml:space="preserve">Oldham Athletic</t>
  </si>
  <si>
    <t xml:space="preserve">1989/90, 1991/92, 1992/93, 1993/94, 1994/95</t>
  </si>
  <si>
    <t xml:space="preserve">Olympiakos</t>
  </si>
  <si>
    <t xml:space="preserve">2009/10, 2011/12, 2012/13, 2015/16, 2019/20, 2020/21</t>
  </si>
  <si>
    <t xml:space="preserve">Olympique Lyonnais</t>
  </si>
  <si>
    <t xml:space="preserve">Olympique Marseille</t>
  </si>
  <si>
    <t xml:space="preserve">2011/12, 2013/14</t>
  </si>
  <si>
    <t xml:space="preserve">Omonia Nicosia</t>
  </si>
  <si>
    <t xml:space="preserve">Oxford United</t>
  </si>
  <si>
    <t xml:space="preserve">Panathinaikos</t>
  </si>
  <si>
    <t xml:space="preserve">1998/99, 2001/02, 2004/05</t>
  </si>
  <si>
    <t xml:space="preserve">Played at the Athens Olympic Stadium for some of this period — verify each season.</t>
  </si>
  <si>
    <t xml:space="preserve">PAOK Salonika</t>
  </si>
  <si>
    <t xml:space="preserve">1997/98</t>
  </si>
  <si>
    <t xml:space="preserve">Paris St Germain</t>
  </si>
  <si>
    <t xml:space="preserve">1993/94, 2016/17, 2024/25</t>
  </si>
  <si>
    <t xml:space="preserve">Parma</t>
  </si>
  <si>
    <t xml:space="preserve">Partizan Belgrade</t>
  </si>
  <si>
    <t xml:space="preserve">PFC Ludogorets Razgrad</t>
  </si>
  <si>
    <t xml:space="preserve">2016/17 CL home games believed played at Vasil Levski National Stadium, Sofia — verify.</t>
  </si>
  <si>
    <t xml:space="preserve">Plymouth Argyle</t>
  </si>
  <si>
    <t xml:space="preserve">1989/90</t>
  </si>
  <si>
    <t xml:space="preserve">Port Vale</t>
  </si>
  <si>
    <t xml:space="preserve">1997/98, 2025/26</t>
  </si>
  <si>
    <t xml:space="preserve">Portsmouth</t>
  </si>
  <si>
    <t xml:space="preserve">2003/04, 2004/05, 2005/06, 2006/07, 2007/08, 2008/09, 2009/10, 2019/20, 2025/26</t>
  </si>
  <si>
    <t xml:space="preserve">Preston North End</t>
  </si>
  <si>
    <t xml:space="preserve">1998/99, 2016/17, 2024/25</t>
  </si>
  <si>
    <t xml:space="preserve">PSV Eindhoven</t>
  </si>
  <si>
    <t xml:space="preserve">2002/03, 2004/05, 2006/07, 2022/23, 2023/24, 2024/25</t>
  </si>
  <si>
    <t xml:space="preserve">Queens Park Rangers</t>
  </si>
  <si>
    <t xml:space="preserve">1988/89, 1989/90, 1990/91, 1991/92, 1992/93, 1993/94, 1994/95, 1995/96, 2000/01, 2011/12, 2012/13, 2014/15</t>
  </si>
  <si>
    <t xml:space="preserve">Rangers</t>
  </si>
  <si>
    <t xml:space="preserve">Rapid Wien</t>
  </si>
  <si>
    <t xml:space="preserve">RC Lens</t>
  </si>
  <si>
    <t xml:space="preserve">1998/99, 1999/00, 2023/24</t>
  </si>
  <si>
    <t xml:space="preserve">Reading</t>
  </si>
  <si>
    <t xml:space="preserve">2006/07, 2007/08, 2012/13</t>
  </si>
  <si>
    <t xml:space="preserve">Real Madrid</t>
  </si>
  <si>
    <t xml:space="preserve">2005/06, 2024/25</t>
  </si>
  <si>
    <t xml:space="preserve">Real Mallorca</t>
  </si>
  <si>
    <t xml:space="preserve">Real Zaragoza</t>
  </si>
  <si>
    <t xml:space="preserve">Rennes</t>
  </si>
  <si>
    <t xml:space="preserve">Rosenborg BK</t>
  </si>
  <si>
    <t xml:space="preserve">2004/05</t>
  </si>
  <si>
    <t xml:space="preserve">Rotherham United</t>
  </si>
  <si>
    <t xml:space="preserve">Sampdoria</t>
  </si>
  <si>
    <t xml:space="preserve">Scarborough</t>
  </si>
  <si>
    <t xml:space="preserve">1992/93</t>
  </si>
  <si>
    <t xml:space="preserve">Schalke 04</t>
  </si>
  <si>
    <t xml:space="preserve">2001/02, 2012/13</t>
  </si>
  <si>
    <t xml:space="preserve">Sevilla</t>
  </si>
  <si>
    <t xml:space="preserve">2007/08, 2023/24</t>
  </si>
  <si>
    <t xml:space="preserve">Shakhtar Donetsk</t>
  </si>
  <si>
    <t xml:space="preserve">2000/01, 2010/11</t>
  </si>
  <si>
    <t xml:space="preserve">Different stadiums in 2000/01 and 2010/11 — verify.</t>
  </si>
  <si>
    <t xml:space="preserve">Sheffield United</t>
  </si>
  <si>
    <t xml:space="preserve">1990/91, 1991/92, 1992/93, 1993/94, 1995/96, 2004/05, 2006/07, 2007/08, 2019/20, 2020/21, 2023/24</t>
  </si>
  <si>
    <t xml:space="preserve">Sheffield Wednesday</t>
  </si>
  <si>
    <t xml:space="preserve">1988/89, 1989/90, 1991/92, 1992/93, 1993/94, 1994/95, 1995/96, 1996/97, 1997/98, 1998/99, 1999/00, 2015/16</t>
  </si>
  <si>
    <t xml:space="preserve">Shrewsbury Town</t>
  </si>
  <si>
    <t xml:space="preserve">Slavia Praha</t>
  </si>
  <si>
    <t xml:space="preserve">2007/08, 2020/21, 2025/26</t>
  </si>
  <si>
    <t xml:space="preserve">Southampton</t>
  </si>
  <si>
    <t xml:space="preserve">1988/89, 1989/90, 1990/91, 1991/92, 1992/93, 1993/94, 1994/95, 1995/96, 1996/97, 1997/98, 1998/99, 1999/00, 2000/01, 2001/02, 2002/03, 2003/04, 2004/05, 2012/13, 2013/14, 2014/15, 2015/16, 2016/17, 2017/18, 2018/19, 2019/20, 2020/21, 2021/22, 2022/23, 2024/25, 2025/26</t>
  </si>
  <si>
    <t xml:space="preserve">The Dell until 2000/01; St Mary's from 2001/02.</t>
  </si>
  <si>
    <t xml:space="preserve">Sparta Praha</t>
  </si>
  <si>
    <t xml:space="preserve">2000/01, 2005/06, 2007/08</t>
  </si>
  <si>
    <t xml:space="preserve">Spartak Moskva</t>
  </si>
  <si>
    <t xml:space="preserve">Sporting Braga</t>
  </si>
  <si>
    <t xml:space="preserve">Sporting Clube Portugal</t>
  </si>
  <si>
    <t xml:space="preserve">2018/19, 2022/23, 2024/25, 2025/26</t>
  </si>
  <si>
    <t xml:space="preserve">Standard Liege</t>
  </si>
  <si>
    <t xml:space="preserve">Duplicate of "Standard Liège".</t>
  </si>
  <si>
    <t xml:space="preserve">Standard Liège</t>
  </si>
  <si>
    <t xml:space="preserve">1993/94, 2019/20</t>
  </si>
  <si>
    <t xml:space="preserve">See "Standard Liege" — duplicate name.</t>
  </si>
  <si>
    <t xml:space="preserve">Steaua Bucuresti</t>
  </si>
  <si>
    <t xml:space="preserve">2007/08</t>
  </si>
  <si>
    <t xml:space="preserve">Stoke City</t>
  </si>
  <si>
    <t xml:space="preserve">1989/90, 1996/97, 2008/09, 2009/10, 2010/11, 2011/12, 2012/13, 2013/14, 2014/15, 2015/16, 2016/17, 2017/18</t>
  </si>
  <si>
    <t xml:space="preserve">Victoria Ground until 1996/97; Britannia/bet365 Stadium from 1997/98.</t>
  </si>
  <si>
    <t xml:space="preserve">Sunderland</t>
  </si>
  <si>
    <t xml:space="preserve">1990/91, 1996/97, 1999/00, 2000/01, 2001/02, 2002/03, 2005/06, 2007/08, 2008/09, 2009/10, 2010/11, 2011/12, 2012/13, 2013/14, 2014/15, 2015/16, 2016/17, 2025/26</t>
  </si>
  <si>
    <t xml:space="preserve">Roker Park until 1996/97; Stadium of Light from 1997/98.</t>
  </si>
  <si>
    <t xml:space="preserve">Sutton United</t>
  </si>
  <si>
    <t xml:space="preserve">Swansea City</t>
  </si>
  <si>
    <t xml:space="preserve">2011/12, 2012/13, 2013/14, 2014/15, 2015/16, 2016/17, 2017/18</t>
  </si>
  <si>
    <t xml:space="preserve">Swindon Town</t>
  </si>
  <si>
    <t xml:space="preserve">Torino</t>
  </si>
  <si>
    <t xml:space="preserve">Tottenham Hotspur</t>
  </si>
  <si>
    <t xml:space="preserve">White Hart Lane until May 2017; Wembley for home games Aug 2017–Mar 2019 (2 matches here); Tottenham Hotspur Stadium from Apr 2019.</t>
  </si>
  <si>
    <t xml:space="preserve">Twente Enschede</t>
  </si>
  <si>
    <t xml:space="preserve">2008/09</t>
  </si>
  <si>
    <t xml:space="preserve">Udinese</t>
  </si>
  <si>
    <t xml:space="preserve">2011/12</t>
  </si>
  <si>
    <t xml:space="preserve">Valencia</t>
  </si>
  <si>
    <t xml:space="preserve">2000/01, 2002/03, 2018/19</t>
  </si>
  <si>
    <t xml:space="preserve">Villarreal</t>
  </si>
  <si>
    <t xml:space="preserve">2005/06, 2008/09, 2020/21</t>
  </si>
  <si>
    <t xml:space="preserve">Vitória Guimarães</t>
  </si>
  <si>
    <t xml:space="preserve">Vorskla Poltava</t>
  </si>
  <si>
    <t xml:space="preserve">Nov 2018 home game may have been played in Kyiv — verify.</t>
  </si>
  <si>
    <t xml:space="preserve">Watford</t>
  </si>
  <si>
    <t xml:space="preserve">1999/00, 2001/02, 2006/07, 2015/16, 2016/17, 2017/18, 2018/19, 2019/20, 2021/22</t>
  </si>
  <si>
    <t xml:space="preserve">Werder Bremen</t>
  </si>
  <si>
    <t xml:space="preserve">West Bromwich Albion</t>
  </si>
  <si>
    <t xml:space="preserve">2002/03, 2003/04, 2004/05, 2005/06, 2006/07, 2008/09, 2010/11, 2011/12, 2012/13, 2013/14, 2014/15, 2015/16, 2016/17, 2017/18, 2020/21, 2021/22</t>
  </si>
  <si>
    <t xml:space="preserve">West Ham United</t>
  </si>
  <si>
    <t xml:space="preserve">1988/89, 1991/92, 1993/94, 1994/95, 1995/96, 1996/97, 1997/98, 1998/99, 1999/00, 2000/01, 2001/02, 2002/03, 2005/06, 2006/07, 2007/08, 2008/09, 2009/10, 2010/11, 2012/13, 2013/14, 2014/15, 2015/16, 2016/17, 2017/18, 2018/19, 2019/20, 2020/21, 2021/22, 2022/23, 2023/24, 2024/25, 2025/26</t>
  </si>
  <si>
    <t xml:space="preserve">Upton Park (Boleyn Ground) until 2015/16; London Stadium from 2016/17.</t>
  </si>
  <si>
    <t xml:space="preserve">Wigan Athletic</t>
  </si>
  <si>
    <t xml:space="preserve">2005/06, 2006/07, 2007/08, 2008/09, 2009/10, 2010/11, 2011/12, 2012/13</t>
  </si>
  <si>
    <t xml:space="preserve">Wimbledon</t>
  </si>
  <si>
    <t xml:space="preserve">1988/89, 1989/90, 1990/91, 1991/92, 1992/93, 1993/94, 1994/95, 1995/96, 1996/97, 1997/98, 1998/99, 1999/00</t>
  </si>
  <si>
    <t xml:space="preserve">Plough Lane until 1990/91; Selhurst Park (ground-share) from 1991/92.</t>
  </si>
  <si>
    <t xml:space="preserve">Wolverhampton Wanderers</t>
  </si>
  <si>
    <t xml:space="preserve">1998/99, 2003/04, 2009/10, 2010/11, 2011/12, 2018/19, 2019/20, 2020/21, 2021/22, 2022/23, 2023/24, 2024/25, 2025/26</t>
  </si>
  <si>
    <t xml:space="preserve">Wrexham</t>
  </si>
  <si>
    <t xml:space="preserve">Yeovil Town</t>
  </si>
  <si>
    <t xml:space="preserve">Östersunds FK</t>
  </si>
  <si>
    <t xml:space="preserve">Opponent</t>
  </si>
  <si>
    <t xml:space="preserve">Date</t>
  </si>
  <si>
    <t xml:space="preserve">Season</t>
  </si>
  <si>
    <t xml:space="preserve">Competition</t>
  </si>
  <si>
    <t xml:space="preserve">Match</t>
  </si>
  <si>
    <t xml:space="preserve">Score</t>
  </si>
  <si>
    <t xml:space="preserve">UEFA Europa League</t>
  </si>
  <si>
    <t xml:space="preserve">1.FC Köln v Arsenal</t>
  </si>
  <si>
    <t xml:space="preserve">1-0</t>
  </si>
  <si>
    <t xml:space="preserve">UEFA Super Cup</t>
  </si>
  <si>
    <t xml:space="preserve">AC Milan v Arsenal</t>
  </si>
  <si>
    <t xml:space="preserve">2-0</t>
  </si>
  <si>
    <t xml:space="preserve">UEFA Champions League</t>
  </si>
  <si>
    <t xml:space="preserve">0-2</t>
  </si>
  <si>
    <t xml:space="preserve">4-0</t>
  </si>
  <si>
    <t xml:space="preserve">2015/16</t>
  </si>
  <si>
    <t xml:space="preserve">Premier League</t>
  </si>
  <si>
    <t xml:space="preserve">AFC Bournemouth v Arsenal</t>
  </si>
  <si>
    <t xml:space="preserve">3-3</t>
  </si>
  <si>
    <t xml:space="preserve">2-1</t>
  </si>
  <si>
    <t xml:space="preserve">1-2</t>
  </si>
  <si>
    <t xml:space="preserve">1-1</t>
  </si>
  <si>
    <t xml:space="preserve">FA Cup</t>
  </si>
  <si>
    <t xml:space="preserve">0-3</t>
  </si>
  <si>
    <t xml:space="preserve">2023/24</t>
  </si>
  <si>
    <t xml:space="preserve">0-4</t>
  </si>
  <si>
    <t xml:space="preserve">2-3</t>
  </si>
  <si>
    <t xml:space="preserve">AIK Solna v Arsenal</t>
  </si>
  <si>
    <t xml:space="preserve">Ajax v Arsenal</t>
  </si>
  <si>
    <t xml:space="preserve">0-0</t>
  </si>
  <si>
    <t xml:space="preserve">Anderlecht v Arsenal</t>
  </si>
  <si>
    <t xml:space="preserve">AS Monaco v Arsenal</t>
  </si>
  <si>
    <t xml:space="preserve">AS Roma v Arsenal</t>
  </si>
  <si>
    <t xml:space="preserve">1-3</t>
  </si>
  <si>
    <t xml:space="preserve">1988/89</t>
  </si>
  <si>
    <t xml:space="preserve">League Division One</t>
  </si>
  <si>
    <t xml:space="preserve">Aston Villa v Arsenal</t>
  </si>
  <si>
    <t xml:space="preserve">3-1</t>
  </si>
  <si>
    <t xml:space="preserve">1995/96</t>
  </si>
  <si>
    <t xml:space="preserve">League Cup</t>
  </si>
  <si>
    <t xml:space="preserve">2-2</t>
  </si>
  <si>
    <t xml:space="preserve">1998/99</t>
  </si>
  <si>
    <t xml:space="preserve">3-2</t>
  </si>
  <si>
    <t xml:space="preserve">0-1</t>
  </si>
  <si>
    <t xml:space="preserve">2-4</t>
  </si>
  <si>
    <t xml:space="preserve">2013/14</t>
  </si>
  <si>
    <t xml:space="preserve">2021/22</t>
  </si>
  <si>
    <t xml:space="preserve">Atalanta v Arsenal</t>
  </si>
  <si>
    <t xml:space="preserve">Athletic Bilbao v Arsenal</t>
  </si>
  <si>
    <t xml:space="preserve">Atletico Madrid v Arsenal</t>
  </si>
  <si>
    <t xml:space="preserve">Atlético Madrid v Arsenal</t>
  </si>
  <si>
    <t xml:space="preserve">European Cup</t>
  </si>
  <si>
    <t xml:space="preserve">Austria Wien v Arsenal</t>
  </si>
  <si>
    <t xml:space="preserve">UEFA European Cup Winners Cup</t>
  </si>
  <si>
    <t xml:space="preserve">Auxerre v Arsenal</t>
  </si>
  <si>
    <t xml:space="preserve">AZ Alkmaar v Arsenal</t>
  </si>
  <si>
    <t xml:space="preserve">Barcelona v Arsenal</t>
  </si>
  <si>
    <t xml:space="preserve">4-1</t>
  </si>
  <si>
    <t xml:space="preserve">Barnsley v Arsenal</t>
  </si>
  <si>
    <t xml:space="preserve">Bayer Leverkusen v Arsenal</t>
  </si>
  <si>
    <t xml:space="preserve">Bayern Munchen v Arsenal</t>
  </si>
  <si>
    <t xml:space="preserve">5-1</t>
  </si>
  <si>
    <t xml:space="preserve">Bayern München v Arsenal</t>
  </si>
  <si>
    <t xml:space="preserve">Benfica v Arsenal</t>
  </si>
  <si>
    <t xml:space="preserve">Besiktas v Arsenal</t>
  </si>
  <si>
    <t xml:space="preserve">Birmingham City v Arsenal</t>
  </si>
  <si>
    <t xml:space="preserve">Blackburn Rovers v Arsenal</t>
  </si>
  <si>
    <t xml:space="preserve">1-4</t>
  </si>
  <si>
    <t xml:space="preserve">4-3</t>
  </si>
  <si>
    <t xml:space="preserve">Blackpool v Arsenal</t>
  </si>
  <si>
    <t xml:space="preserve">Bolton Wanderers v Arsenal</t>
  </si>
  <si>
    <t xml:space="preserve">Borussia Dortmund v Arsenal</t>
  </si>
  <si>
    <t xml:space="preserve">UEFA Cup</t>
  </si>
  <si>
    <t xml:space="preserve">Borussia Mönchengladbach v Arsenal</t>
  </si>
  <si>
    <t xml:space="preserve">Bradford City v Arsenal</t>
  </si>
  <si>
    <t xml:space="preserve">1-1 (3-2)</t>
  </si>
  <si>
    <t xml:space="preserve">Brentford v Arsenal</t>
  </si>
  <si>
    <t xml:space="preserve">Brighton and Hove Albion v Arsenal</t>
  </si>
  <si>
    <t xml:space="preserve">Brøndby v Arsenal</t>
  </si>
  <si>
    <t xml:space="preserve">Burnley v Arsenal</t>
  </si>
  <si>
    <t xml:space="preserve">0-5</t>
  </si>
  <si>
    <t xml:space="preserve">Cardiff City v Arsenal</t>
  </si>
  <si>
    <t xml:space="preserve">Carlisle United v Arsenal</t>
  </si>
  <si>
    <t xml:space="preserve">Celta Vigo v Arsenal</t>
  </si>
  <si>
    <t xml:space="preserve">Celtic v Arsenal</t>
  </si>
  <si>
    <t xml:space="preserve">Charlton Athletic v Arsenal</t>
  </si>
  <si>
    <t xml:space="preserve">Chelsea v Arsenal</t>
  </si>
  <si>
    <t xml:space="preserve">3-5</t>
  </si>
  <si>
    <t xml:space="preserve">6-0</t>
  </si>
  <si>
    <t xml:space="preserve">Chester City v Arsenal</t>
  </si>
  <si>
    <t xml:space="preserve">Club Brugge v Arsenal</t>
  </si>
  <si>
    <t xml:space="preserve">Coventry City v Arsenal</t>
  </si>
  <si>
    <t xml:space="preserve">Crvena Zvezda v Arsenal</t>
  </si>
  <si>
    <t xml:space="preserve">Crystal Palace v Arsenal</t>
  </si>
  <si>
    <t xml:space="preserve">3-0</t>
  </si>
  <si>
    <t xml:space="preserve">1-5</t>
  </si>
  <si>
    <t xml:space="preserve">CSKA Moscow v Arsenal</t>
  </si>
  <si>
    <t xml:space="preserve">CSKA Moskva v Arsenal</t>
  </si>
  <si>
    <t xml:space="preserve">Deportivo La Coruna v Arsenal</t>
  </si>
  <si>
    <t xml:space="preserve">Deportivo La Coruña v Arsenal</t>
  </si>
  <si>
    <t xml:space="preserve">Derby County v Arsenal</t>
  </si>
  <si>
    <t xml:space="preserve">2-6</t>
  </si>
  <si>
    <t xml:space="preserve">Dinamo Zagreb v Arsenal</t>
  </si>
  <si>
    <t xml:space="preserve">Doncaster Rovers v Arsenal</t>
  </si>
  <si>
    <t xml:space="preserve">2-2 (1-3)</t>
  </si>
  <si>
    <t xml:space="preserve">Dundalk v Arsenal</t>
  </si>
  <si>
    <t xml:space="preserve">Dynamo Kiev v Arsenal</t>
  </si>
  <si>
    <t xml:space="preserve">Eintracht Frankfurt v Arsenal</t>
  </si>
  <si>
    <t xml:space="preserve">Everton v Arsenal</t>
  </si>
  <si>
    <t xml:space="preserve">1-6</t>
  </si>
  <si>
    <t xml:space="preserve">2-5</t>
  </si>
  <si>
    <t xml:space="preserve">Farnborough Town v Arsenal</t>
  </si>
  <si>
    <t xml:space="preserve">FC Basel v Arsenal</t>
  </si>
  <si>
    <t xml:space="preserve">FC BATE Borisov v Arsenal</t>
  </si>
  <si>
    <t xml:space="preserve">FC Porto v Arsenal</t>
  </si>
  <si>
    <t xml:space="preserve">FC Thun v Arsenal</t>
  </si>
  <si>
    <t xml:space="preserve">FC Zurich v Arsenal</t>
  </si>
  <si>
    <t xml:space="preserve">Fenerbahce v Arsenal</t>
  </si>
  <si>
    <t xml:space="preserve">Fiorentina v Arsenal</t>
  </si>
  <si>
    <t xml:space="preserve">FK Bodo Glimt v Arsenal</t>
  </si>
  <si>
    <t xml:space="preserve">FK Qarabağ Agdam v Arsenal</t>
  </si>
  <si>
    <t xml:space="preserve">Fulham v Arsenal</t>
  </si>
  <si>
    <t xml:space="preserve">Galatasaray v Arsenal</t>
  </si>
  <si>
    <t xml:space="preserve">Girona v Arsenal</t>
  </si>
  <si>
    <t xml:space="preserve">Hamburger SV v Arsenal</t>
  </si>
  <si>
    <t xml:space="preserve">Hartlepool United v Arsenal</t>
  </si>
  <si>
    <t xml:space="preserve">Huddersfield Town v Arsenal</t>
  </si>
  <si>
    <t xml:space="preserve">Hull City v Arsenal</t>
  </si>
  <si>
    <t xml:space="preserve">Inter Milano v Arsenal</t>
  </si>
  <si>
    <t xml:space="preserve">Internazionale v Arsenal</t>
  </si>
  <si>
    <t xml:space="preserve">Ipswich Town v Arsenal</t>
  </si>
  <si>
    <t xml:space="preserve">Juventus v Arsenal</t>
  </si>
  <si>
    <t xml:space="preserve">Lazio v Arsenal</t>
  </si>
  <si>
    <t xml:space="preserve">Leeds United v Arsenal</t>
  </si>
  <si>
    <t xml:space="preserve">Leicester City v Arsenal</t>
  </si>
  <si>
    <t xml:space="preserve">0-0 (6-5)</t>
  </si>
  <si>
    <t xml:space="preserve">Leyton Orient v Arsenal</t>
  </si>
  <si>
    <t xml:space="preserve">Liverpool v Arsenal</t>
  </si>
  <si>
    <t xml:space="preserve">FA Charity Shield</t>
  </si>
  <si>
    <t xml:space="preserve">4-2</t>
  </si>
  <si>
    <t xml:space="preserve">3-6</t>
  </si>
  <si>
    <t xml:space="preserve">4-4</t>
  </si>
  <si>
    <t xml:space="preserve">5-5 (5-4)</t>
  </si>
  <si>
    <t xml:space="preserve">0-0 (4-5)</t>
  </si>
  <si>
    <t xml:space="preserve">Lokomotiv Moskva v Arsenal</t>
  </si>
  <si>
    <t xml:space="preserve">Luton Town v Arsenal</t>
  </si>
  <si>
    <t xml:space="preserve">3-4</t>
  </si>
  <si>
    <t xml:space="preserve">Manchester City v Arsenal</t>
  </si>
  <si>
    <t xml:space="preserve">6-3</t>
  </si>
  <si>
    <t xml:space="preserve">5-0</t>
  </si>
  <si>
    <t xml:space="preserve">Manchester United v Arsenal</t>
  </si>
  <si>
    <t xml:space="preserve">6-1</t>
  </si>
  <si>
    <t xml:space="preserve">8-2</t>
  </si>
  <si>
    <t xml:space="preserve">Mansfield Town v Arsenal</t>
  </si>
  <si>
    <t xml:space="preserve">Middlesbrough v Arsenal</t>
  </si>
  <si>
    <t xml:space="preserve">2-2 (3-1)</t>
  </si>
  <si>
    <t xml:space="preserve">Millwall v Arsenal</t>
  </si>
  <si>
    <t xml:space="preserve">Molde v Arsenal</t>
  </si>
  <si>
    <t xml:space="preserve">Montpellier v Arsenal</t>
  </si>
  <si>
    <t xml:space="preserve">Nantes v Arsenal</t>
  </si>
  <si>
    <t xml:space="preserve">Napoli v Arsenal</t>
  </si>
  <si>
    <t xml:space="preserve">Newcastle United v Arsenal</t>
  </si>
  <si>
    <t xml:space="preserve">Norwich City v Arsenal</t>
  </si>
  <si>
    <t xml:space="preserve">Nottingham Forest v Arsenal</t>
  </si>
  <si>
    <t xml:space="preserve">Notts County v Arsenal</t>
  </si>
  <si>
    <t xml:space="preserve">OB Odense v Arsenal</t>
  </si>
  <si>
    <t xml:space="preserve">Oldham Athletic v Arsenal</t>
  </si>
  <si>
    <t xml:space="preserve">Olympiakos v Arsenal</t>
  </si>
  <si>
    <t xml:space="preserve">Olympique Lyonnais v Arsenal</t>
  </si>
  <si>
    <t xml:space="preserve">Olympique Marseille v Arsenal</t>
  </si>
  <si>
    <t xml:space="preserve">Omonia Nicosia v Arsenal</t>
  </si>
  <si>
    <t xml:space="preserve">Oxford United v Arsenal</t>
  </si>
  <si>
    <t xml:space="preserve">Panathinaikos v Arsenal</t>
  </si>
  <si>
    <t xml:space="preserve">PAOK Salonika v Arsenal</t>
  </si>
  <si>
    <t xml:space="preserve">Paris St Germain v Arsenal</t>
  </si>
  <si>
    <t xml:space="preserve">Partizan Belgrade v Arsenal</t>
  </si>
  <si>
    <t xml:space="preserve">PFC Ludogorets Razgrad v Arsenal</t>
  </si>
  <si>
    <t xml:space="preserve">Plymouth Argyle v Arsenal</t>
  </si>
  <si>
    <t xml:space="preserve">Port Vale v Arsenal</t>
  </si>
  <si>
    <t xml:space="preserve">1-1 (3-4)</t>
  </si>
  <si>
    <t xml:space="preserve">Portsmouth v Arsenal</t>
  </si>
  <si>
    <t xml:space="preserve">Preston North End v Arsenal</t>
  </si>
  <si>
    <t xml:space="preserve">PSV Eindhoven v Arsenal</t>
  </si>
  <si>
    <t xml:space="preserve">1-7</t>
  </si>
  <si>
    <t xml:space="preserve">Queens Park Rangers v Arsenal</t>
  </si>
  <si>
    <t xml:space="preserve">0-6</t>
  </si>
  <si>
    <t xml:space="preserve">Zenith Data Systems Challenge Cup</t>
  </si>
  <si>
    <t xml:space="preserve">Rangers v Arsenal</t>
  </si>
  <si>
    <t xml:space="preserve">Rapid Wien v Arsenal</t>
  </si>
  <si>
    <t xml:space="preserve">RC Lens v Arsenal</t>
  </si>
  <si>
    <t xml:space="preserve">Reading v Arsenal</t>
  </si>
  <si>
    <t xml:space="preserve">5-7</t>
  </si>
  <si>
    <t xml:space="preserve">Real Madrid v Arsenal</t>
  </si>
  <si>
    <t xml:space="preserve">Real Mallorca v Arsenal</t>
  </si>
  <si>
    <t xml:space="preserve">Rennes v Arsenal</t>
  </si>
  <si>
    <t xml:space="preserve">Rosenborg BK v Arsenal</t>
  </si>
  <si>
    <t xml:space="preserve">Sampdoria v Arsenal</t>
  </si>
  <si>
    <t xml:space="preserve">Scarborough v Arsenal</t>
  </si>
  <si>
    <t xml:space="preserve">Schalke 04 v Arsenal</t>
  </si>
  <si>
    <t xml:space="preserve">Sevilla v Arsenal</t>
  </si>
  <si>
    <t xml:space="preserve">Shakhtar Donetsk v Arsenal</t>
  </si>
  <si>
    <t xml:space="preserve">Sheffield United v Arsenal</t>
  </si>
  <si>
    <t xml:space="preserve">0-0 (2-4)</t>
  </si>
  <si>
    <t xml:space="preserve">Sheffield Wednesday v Arsenal</t>
  </si>
  <si>
    <t xml:space="preserve">Shrewsbury Town v Arsenal</t>
  </si>
  <si>
    <t xml:space="preserve">Slavia Praha v Arsenal</t>
  </si>
  <si>
    <t xml:space="preserve">Southampton v Arsenal</t>
  </si>
  <si>
    <t xml:space="preserve">Sparta Praha v Arsenal</t>
  </si>
  <si>
    <t xml:space="preserve">Spartak Moskva v Arsenal</t>
  </si>
  <si>
    <t xml:space="preserve">Sporting Braga v Arsenal</t>
  </si>
  <si>
    <t xml:space="preserve">Sporting Clube Portugal v Arsenal</t>
  </si>
  <si>
    <t xml:space="preserve">Standard Liege v Arsenal</t>
  </si>
  <si>
    <t xml:space="preserve">Standard Liège v Arsenal</t>
  </si>
  <si>
    <t xml:space="preserve">0-7</t>
  </si>
  <si>
    <t xml:space="preserve">Steaua Bucuresti v Arsenal</t>
  </si>
  <si>
    <t xml:space="preserve">Stoke City v Arsenal</t>
  </si>
  <si>
    <t xml:space="preserve">Sunderland v Arsenal</t>
  </si>
  <si>
    <t xml:space="preserve">Sutton United v Arsenal</t>
  </si>
  <si>
    <t xml:space="preserve">Swansea City v Arsenal</t>
  </si>
  <si>
    <t xml:space="preserve">Swindon Town v Arsenal</t>
  </si>
  <si>
    <t xml:space="preserve">Torino v Arsenal</t>
  </si>
  <si>
    <t xml:space="preserve">Tottenham Hotspur v Arsenal</t>
  </si>
  <si>
    <t xml:space="preserve">4-5</t>
  </si>
  <si>
    <t xml:space="preserve">Twente Enschede v Arsenal</t>
  </si>
  <si>
    <t xml:space="preserve">Udinese v Arsenal</t>
  </si>
  <si>
    <t xml:space="preserve">Valencia v Arsenal</t>
  </si>
  <si>
    <t xml:space="preserve">Villarreal v Arsenal</t>
  </si>
  <si>
    <t xml:space="preserve">Vitória Guimarães v Arsenal</t>
  </si>
  <si>
    <t xml:space="preserve">Vorskla Poltava v Arsenal</t>
  </si>
  <si>
    <t xml:space="preserve">Watford v Arsenal</t>
  </si>
  <si>
    <t xml:space="preserve">Werder Bremen v Arsenal</t>
  </si>
  <si>
    <t xml:space="preserve">West Bromwich Albion v Arsenal</t>
  </si>
  <si>
    <t xml:space="preserve">West Ham United v Arsenal</t>
  </si>
  <si>
    <t xml:space="preserve">Wigan Athletic v Arsenal</t>
  </si>
  <si>
    <t xml:space="preserve">Wimbledon v Arsenal</t>
  </si>
  <si>
    <t xml:space="preserve">Wolverhampton Wanderers v Arsenal</t>
  </si>
  <si>
    <t xml:space="preserve">Wrexham v Arsenal</t>
  </si>
  <si>
    <t xml:space="preserve">Yeovil Town v Arsenal</t>
  </si>
  <si>
    <t xml:space="preserve">Östersunds FK v Arsenal</t>
  </si>
  <si>
    <t xml:space="preserve">How to use: one row per ground per club per period. Fill the yellow columns. "Used to" blank = still in use. Row 5 is an example (Highbury coordinates approximate).</t>
  </si>
  <si>
    <t xml:space="preserve">Ground ID</t>
  </si>
  <si>
    <t xml:space="preserve">Ground name</t>
  </si>
  <si>
    <t xml:space="preserve">Club (as in Fixtures)</t>
  </si>
  <si>
    <t xml:space="preserve">Used from</t>
  </si>
  <si>
    <t xml:space="preserve">Used to</t>
  </si>
  <si>
    <t xml:space="preserve">Latitude</t>
  </si>
  <si>
    <t xml:space="preserve">Longitude</t>
  </si>
  <si>
    <t xml:space="preserve">City</t>
  </si>
  <si>
    <t xml:space="preserve">Country</t>
  </si>
  <si>
    <t xml:space="preserve">Notes</t>
  </si>
  <si>
    <t xml:space="preserve">G001</t>
  </si>
  <si>
    <t xml:space="preserve">Highbury</t>
  </si>
  <si>
    <t xml:space="preserve">Arsenal</t>
  </si>
  <si>
    <t xml:space="preserve">London</t>
  </si>
  <si>
    <t xml:space="preserve">England</t>
  </si>
  <si>
    <t xml:space="preserve">EXAMPLE ROW — coordinates approximate</t>
  </si>
  <si>
    <t xml:space="preserve">G002</t>
  </si>
  <si>
    <t xml:space="preserve">Emirates Stadium</t>
  </si>
  <si>
    <t xml:space="preserve">G003</t>
  </si>
  <si>
    <t xml:space="preserve">Wembley Stadium</t>
  </si>
  <si>
    <t xml:space="preserve">Arsenal home CL games 1998/99–1999/00; also neutral venue. Old vs new Wembley (rebuilt 2003–07) sit on the same site.</t>
  </si>
  <si>
    <t xml:space="preserve">G004</t>
  </si>
  <si>
    <t xml:space="preserve">Millennium Stadium</t>
  </si>
  <si>
    <t xml:space="preserve">(neutral)</t>
  </si>
  <si>
    <t xml:space="preserve">Cardiff</t>
  </si>
  <si>
    <t xml:space="preserve">Wales</t>
  </si>
  <si>
    <t xml:space="preserve">Spelt "Millenium Stadium" in Fixtures sheet — align spelling.</t>
  </si>
  <si>
    <t xml:space="preserve">G005</t>
  </si>
  <si>
    <t xml:space="preserve">Villa Park</t>
  </si>
  <si>
    <t xml:space="preserve">Birmingham</t>
  </si>
  <si>
    <t xml:space="preserve">Also neutral venue for FA Cup semis.</t>
  </si>
  <si>
    <t xml:space="preserve">G006</t>
  </si>
  <si>
    <t xml:space="preserve">Old Trafford</t>
  </si>
  <si>
    <t xml:space="preserve">Manchester</t>
  </si>
  <si>
    <t xml:space="preserve">G007</t>
  </si>
  <si>
    <t xml:space="preserve">Parken Stadium</t>
  </si>
  <si>
    <t xml:space="preserve">Copenhagen</t>
  </si>
  <si>
    <t xml:space="preserve">Denmark</t>
  </si>
  <si>
    <t xml:space="preserve">G008</t>
  </si>
  <si>
    <t xml:space="preserve">Parc des Princes</t>
  </si>
  <si>
    <t xml:space="preserve">Paris</t>
  </si>
  <si>
    <t xml:space="preserve">France</t>
  </si>
  <si>
    <t xml:space="preserve">Also 1995 CWC final venue.</t>
  </si>
  <si>
    <t xml:space="preserve">G009</t>
  </si>
  <si>
    <t xml:space="preserve">Stade de France</t>
  </si>
  <si>
    <t xml:space="preserve">Saint-Denis</t>
  </si>
  <si>
    <t xml:space="preserve">G010</t>
  </si>
  <si>
    <t xml:space="preserve">Baku Olympic Stadium</t>
  </si>
  <si>
    <t xml:space="preserve">Baku</t>
  </si>
  <si>
    <t xml:space="preserve">Azerbaijan</t>
  </si>
  <si>
    <t xml:space="preserve">G011</t>
  </si>
  <si>
    <t xml:space="preserve">Puskás Aréna</t>
  </si>
  <si>
    <t xml:space="preserve">Budapest</t>
  </si>
  <si>
    <t xml:space="preserve">Hungary</t>
  </si>
  <si>
    <t xml:space="preserve">G012</t>
  </si>
  <si>
    <t xml:space="preserve">Stadio Olimpico</t>
  </si>
  <si>
    <t xml:space="preserve">Benfica (2021 only)</t>
  </si>
  <si>
    <t xml:space="preserve">Rome</t>
  </si>
  <si>
    <t xml:space="preserve">Italy</t>
  </si>
  <si>
    <t xml:space="preserve">Benfica v Arsenal, 18/02/2021.</t>
  </si>
  <si>
    <t xml:space="preserve">G013</t>
  </si>
  <si>
    <t xml:space="preserve">Karaiskakis Stadium</t>
  </si>
  <si>
    <t xml:space="preserve">Arsenal (2021 only)</t>
  </si>
  <si>
    <t xml:space="preserve">Piraeus</t>
  </si>
  <si>
    <t xml:space="preserve">Greece</t>
  </si>
  <si>
    <t xml:space="preserve">Arsenal v Benfica, 25/02/2021. Also Olympiakos home.</t>
  </si>
  <si>
    <t xml:space="preserve">Type</t>
  </si>
  <si>
    <t xml:space="preserve">Venue in data</t>
  </si>
  <si>
    <t xml:space="preserve">Suggested venue</t>
  </si>
  <si>
    <t xml:space="preserve">Confidence</t>
  </si>
  <si>
    <t xml:space="preserve">Note</t>
  </si>
  <si>
    <t xml:space="preserve">Neutral venue not marked</t>
  </si>
  <si>
    <t xml:space="preserve">Wembley</t>
  </si>
  <si>
    <t xml:space="preserve">High</t>
  </si>
  <si>
    <t xml:space="preserve">Charity/Community Shield — always a neutral venue.</t>
  </si>
  <si>
    <t xml:space="preserve">Arsenal v Tottenham Hotspur</t>
  </si>
  <si>
    <t xml:space="preserve">Arsenal v Manchester United</t>
  </si>
  <si>
    <t xml:space="preserve">Arsenal v Manchester City</t>
  </si>
  <si>
    <t xml:space="preserve">Arsenal home not at Highbury</t>
  </si>
  <si>
    <t xml:space="preserve">Arsenal v Panathinaikos</t>
  </si>
  <si>
    <t xml:space="preserve">Arsenal played CL home games at Wembley in 1998/99 and 1999/00.</t>
  </si>
  <si>
    <t xml:space="preserve">Arsenal v Dynamo Kiev</t>
  </si>
  <si>
    <t xml:space="preserve">Arsenal v RC Lens</t>
  </si>
  <si>
    <t xml:space="preserve">Arsenal v AIK Solna</t>
  </si>
  <si>
    <t xml:space="preserve">Arsenal v Barcelona</t>
  </si>
  <si>
    <t xml:space="preserve">Arsenal v Fiorentina</t>
  </si>
  <si>
    <t xml:space="preserve">Venue switched</t>
  </si>
  <si>
    <t xml:space="preserve">Tie switched from Farnborough to Highbury.</t>
  </si>
  <si>
    <t xml:space="preserve">Stadio Olimpico, Rome</t>
  </si>
  <si>
    <t xml:space="preserve">COVID travel restrictions.</t>
  </si>
  <si>
    <t xml:space="preserve">Arsenal v Benfica</t>
  </si>
  <si>
    <t xml:space="preserve">Karaiskakis Stadium, Piraeus</t>
  </si>
  <si>
    <t xml:space="preserve">Unusual home venue</t>
  </si>
  <si>
    <t xml:space="preserve">Aviva Stadium, Dublin</t>
  </si>
  <si>
    <t xml:space="preserve">Medium</t>
  </si>
  <si>
    <t xml:space="preserve">Verify.</t>
  </si>
  <si>
    <t xml:space="preserve">Vasil Levski, Sofia</t>
  </si>
  <si>
    <t xml:space="preserve">Stade de Suisse, Bern</t>
  </si>
  <si>
    <t xml:space="preserve">Atatürk Olympic Stadium, Istanbul</t>
  </si>
  <si>
    <t xml:space="preserve">Baku (check stadium)</t>
  </si>
  <si>
    <t xml:space="preserve">Possibly Kyiv</t>
  </si>
  <si>
    <t xml:space="preserve">Low</t>
  </si>
  <si>
    <t xml:space="preserve">Moss Rose, Macclesfield</t>
  </si>
  <si>
    <t xml:space="preserve">Temporary home ground</t>
  </si>
  <si>
    <t xml:space="preserve">Spurs at Wembley 2017–19. Handled by grounds date ranges.</t>
  </si>
  <si>
    <t xml:space="preserve">Loftus Road</t>
  </si>
  <si>
    <t xml:space="preserve">Fulham at Loftus Road 2002–04. Handled by grounds date ranges.</t>
  </si>
  <si>
    <t xml:space="preserve">Spelling</t>
  </si>
  <si>
    <t xml:space="preserve">All Millennium Stadium rows</t>
  </si>
  <si>
    <t xml:space="preserve">Millenium Stadium</t>
  </si>
  <si>
    <t xml:space="preserve">Align with the grounds sheet name.</t>
  </si>
  <si>
    <t xml:space="preserve">Result convention</t>
  </si>
  <si>
    <t xml:space="preserve">23 matches decided on penalties</t>
  </si>
  <si>
    <t xml:space="preserve">—</t>
  </si>
  <si>
    <t xml:space="preserve">Result column records the shoot-out outcome (e.g. 1-1 (4-5) = L). Decide whether stats count these as W/L or D.</t>
  </si>
  <si>
    <t xml:space="preserve">Duplicate team names</t>
  </si>
  <si>
    <t xml:space="preserve">6 pairs</t>
  </si>
  <si>
    <t xml:space="preserve">See "Suggested merged name" on Opponents sheet (e.g. Bayern Munchen / München).</t>
  </si>
  <si>
    <t xml:space="preserve">Result</t>
  </si>
  <si>
    <t xml:space="preserve">Venue</t>
  </si>
  <si>
    <t xml:space="preserve">H/A/N</t>
  </si>
  <si>
    <t xml:space="preserve">Behind closed doors</t>
  </si>
  <si>
    <t xml:space="preserve">W</t>
  </si>
  <si>
    <t xml:space="preserve">Arsenal v Aston Villa</t>
  </si>
  <si>
    <t xml:space="preserve">L</t>
  </si>
  <si>
    <t xml:space="preserve">Arsenal v Southampton</t>
  </si>
  <si>
    <t xml:space="preserve">D</t>
  </si>
  <si>
    <t xml:space="preserve">Arsenal v Hull City</t>
  </si>
  <si>
    <t xml:space="preserve">Arsenal v Queens Park Rangers</t>
  </si>
  <si>
    <t xml:space="preserve">Arsenal v Coventry City</t>
  </si>
  <si>
    <t xml:space="preserve">Arsenal v Liverpool</t>
  </si>
  <si>
    <t xml:space="preserve">Arsenal v Middlesbrough</t>
  </si>
  <si>
    <t xml:space="preserve">Arsenal v West Ham United</t>
  </si>
  <si>
    <t xml:space="preserve">Arsenal v Sheffield Wednesday</t>
  </si>
  <si>
    <t xml:space="preserve">Arsenal v Luton Town</t>
  </si>
  <si>
    <t xml:space="preserve">Arsenal v Millwall</t>
  </si>
  <si>
    <t xml:space="preserve">Arsenal v Nottingham Forest</t>
  </si>
  <si>
    <t xml:space="preserve">Arsenal v Charlton Athletic</t>
  </si>
  <si>
    <t xml:space="preserve">Arsenal v Everton</t>
  </si>
  <si>
    <t xml:space="preserve">Arsenal v Newcastle United</t>
  </si>
  <si>
    <t xml:space="preserve">Arsenal v Norwich City</t>
  </si>
  <si>
    <t xml:space="preserve">Arsenal v Derby County</t>
  </si>
  <si>
    <t xml:space="preserve">Arsenal v Wimbledon</t>
  </si>
  <si>
    <t xml:space="preserve">Arsenal v Plymouth Argyle</t>
  </si>
  <si>
    <t xml:space="preserve">Arsenal v Crystal Palace</t>
  </si>
  <si>
    <t xml:space="preserve">Arsenal v Chelsea</t>
  </si>
  <si>
    <t xml:space="preserve">Arsenal v Chester City</t>
  </si>
  <si>
    <t xml:space="preserve">Arsenal v Sunderland</t>
  </si>
  <si>
    <t xml:space="preserve">Arsenal v Sheffield United</t>
  </si>
  <si>
    <t xml:space="preserve">Arsenal v Leeds United</t>
  </si>
  <si>
    <t xml:space="preserve">Arsenal v Cambridge United</t>
  </si>
  <si>
    <t xml:space="preserve">Arsenal v Austria Wien</t>
  </si>
  <si>
    <t xml:space="preserve">5-2</t>
  </si>
  <si>
    <t xml:space="preserve">Arsenal v Leicester City</t>
  </si>
  <si>
    <t xml:space="preserve">Arsenal v Notts County</t>
  </si>
  <si>
    <t xml:space="preserve">7-1</t>
  </si>
  <si>
    <t xml:space="preserve">Arsenal v Oldham Athletic</t>
  </si>
  <si>
    <t xml:space="preserve">Arsenal v Blackburn Rovers</t>
  </si>
  <si>
    <t xml:space="preserve">Arsenal v Ipswich Town</t>
  </si>
  <si>
    <t xml:space="preserve">1-1 (4-5)</t>
  </si>
  <si>
    <t xml:space="preserve">Arsenal v OB Odense</t>
  </si>
  <si>
    <t xml:space="preserve">Arsenal v Huddersfield Town</t>
  </si>
  <si>
    <t xml:space="preserve">Arsenal v Standard Liège</t>
  </si>
  <si>
    <t xml:space="preserve">Arsenal v Bolton Wanderers</t>
  </si>
  <si>
    <t xml:space="preserve">Arsenal v Torino</t>
  </si>
  <si>
    <t xml:space="preserve">Arsenal v Swindon Town</t>
  </si>
  <si>
    <t xml:space="preserve">Arsenal v Paris St Germain</t>
  </si>
  <si>
    <t xml:space="preserve">Parma v Arsenal</t>
  </si>
  <si>
    <t xml:space="preserve">Arsenal v Omonia Nicosia</t>
  </si>
  <si>
    <t xml:space="preserve">Arsenal v Hartlepool United</t>
  </si>
  <si>
    <t xml:space="preserve">Arsenal v Brøndby</t>
  </si>
  <si>
    <t xml:space="preserve">Arsenal v AC Milan</t>
  </si>
  <si>
    <t xml:space="preserve">Arsenal v Auxerre</t>
  </si>
  <si>
    <t xml:space="preserve">Arsenal v Sampdoria</t>
  </si>
  <si>
    <t xml:space="preserve">Real Zaragoza v Arsenal</t>
  </si>
  <si>
    <t xml:space="preserve">Parc Des Princes</t>
  </si>
  <si>
    <t xml:space="preserve">Arsenal v Borussia Mönchengladbach</t>
  </si>
  <si>
    <t xml:space="preserve">Arsenal v Stoke City</t>
  </si>
  <si>
    <t xml:space="preserve">Arsenal v PAOK Salonika</t>
  </si>
  <si>
    <t xml:space="preserve">Arsenal v Barnsley</t>
  </si>
  <si>
    <t xml:space="preserve">Arsenal v Birmingham City</t>
  </si>
  <si>
    <t xml:space="preserve">Arsenal v Port Vale</t>
  </si>
  <si>
    <t xml:space="preserve">Arsenal v Wolverhampton Wanderers</t>
  </si>
  <si>
    <t xml:space="preserve">Arsenal v Bradford City</t>
  </si>
  <si>
    <t xml:space="preserve">Arsenal v Watford</t>
  </si>
  <si>
    <t xml:space="preserve">Arsenal v Preston North End</t>
  </si>
  <si>
    <t xml:space="preserve">Arsenal v Nantes</t>
  </si>
  <si>
    <t xml:space="preserve">Arsenal v Blackpool</t>
  </si>
  <si>
    <t xml:space="preserve">Arsenal v Deportivo La Coruna</t>
  </si>
  <si>
    <t xml:space="preserve">Arsenal v Werder Bremen</t>
  </si>
  <si>
    <t xml:space="preserve">Arsenal v Galatasaray</t>
  </si>
  <si>
    <t xml:space="preserve">5-3</t>
  </si>
  <si>
    <t xml:space="preserve">Arsenal v Shakhtar Donetsk</t>
  </si>
  <si>
    <t xml:space="preserve">Arsenal v Lazio</t>
  </si>
  <si>
    <t xml:space="preserve">Arsenal v Sparta Praha</t>
  </si>
  <si>
    <t xml:space="preserve">Arsenal v Bayern München</t>
  </si>
  <si>
    <t xml:space="preserve">Arsenal v Olympique Lyonnais</t>
  </si>
  <si>
    <t xml:space="preserve">Arsenal v Spartak Moskva</t>
  </si>
  <si>
    <t xml:space="preserve">Arsenal v Valencia</t>
  </si>
  <si>
    <t xml:space="preserve">Arsenal v Schalke 04</t>
  </si>
  <si>
    <t xml:space="preserve">Arsenal v Real Mallorca</t>
  </si>
  <si>
    <t xml:space="preserve">Arsenal v Grimsby Town</t>
  </si>
  <si>
    <t xml:space="preserve">Arsenal v Juventus</t>
  </si>
  <si>
    <t xml:space="preserve">Arsenal v Gillingham</t>
  </si>
  <si>
    <t xml:space="preserve">Arsenal v Fulham</t>
  </si>
  <si>
    <t xml:space="preserve">Arsenal v Bayer Leverkusen</t>
  </si>
  <si>
    <t xml:space="preserve">Arsenal v Deportivo La Coruña</t>
  </si>
  <si>
    <t xml:space="preserve">FA Community Shield</t>
  </si>
  <si>
    <t xml:space="preserve">Arsenal v West Bromwich Albion</t>
  </si>
  <si>
    <t xml:space="preserve">Arsenal v Borussia Dortmund</t>
  </si>
  <si>
    <t xml:space="preserve">Arsenal v PSV Eindhoven</t>
  </si>
  <si>
    <t xml:space="preserve">Arsenal v Oxford United</t>
  </si>
  <si>
    <t xml:space="preserve">Arsenal v Ajax</t>
  </si>
  <si>
    <t xml:space="preserve">Arsenal v AS Roma</t>
  </si>
  <si>
    <t xml:space="preserve">1-1 (4-3)</t>
  </si>
  <si>
    <t xml:space="preserve">Arsenal v Portsmouth</t>
  </si>
  <si>
    <t xml:space="preserve">Arsenal v Inter Milano</t>
  </si>
  <si>
    <t xml:space="preserve">Arsenal v Rotherham United</t>
  </si>
  <si>
    <t xml:space="preserve">1-1 (9-8)</t>
  </si>
  <si>
    <t xml:space="preserve">Arsenal v Lokomotiv Moskva</t>
  </si>
  <si>
    <t xml:space="preserve">Arsenal v Celta Vigo</t>
  </si>
  <si>
    <t xml:space="preserve">Arsenal v Rosenborg BK</t>
  </si>
  <si>
    <t xml:space="preserve">Arsenal v Bayern Munchen</t>
  </si>
  <si>
    <t xml:space="preserve">7-0</t>
  </si>
  <si>
    <t xml:space="preserve">0-0 (5-4)</t>
  </si>
  <si>
    <t xml:space="preserve">Arsenal v FC Thun</t>
  </si>
  <si>
    <t xml:space="preserve">Arsenal v Reading</t>
  </si>
  <si>
    <t xml:space="preserve">Arsenal v Cardiff City</t>
  </si>
  <si>
    <t xml:space="preserve">Arsenal v Wigan Athletic</t>
  </si>
  <si>
    <t xml:space="preserve">Arsenal v Real Madrid</t>
  </si>
  <si>
    <t xml:space="preserve">Arsenal v Villarreal</t>
  </si>
  <si>
    <t xml:space="preserve">Stade De France</t>
  </si>
  <si>
    <t xml:space="preserve">Arsenal v Dinamo Zagreb</t>
  </si>
  <si>
    <t xml:space="preserve">Arsenal v FC Porto</t>
  </si>
  <si>
    <t xml:space="preserve">Arsenal v CSKA Moskva</t>
  </si>
  <si>
    <t xml:space="preserve">Arsenal v Hamburger SV</t>
  </si>
  <si>
    <t xml:space="preserve">6-2</t>
  </si>
  <si>
    <t xml:space="preserve">Arsenal v Sevilla</t>
  </si>
  <si>
    <t xml:space="preserve">Arsenal v Slavia Praha</t>
  </si>
  <si>
    <t xml:space="preserve">Arsenal v Steaua Bucuresti</t>
  </si>
  <si>
    <t xml:space="preserve">Arsenal v Twente Enschede</t>
  </si>
  <si>
    <t xml:space="preserve">Arsenal v Fenerbahce</t>
  </si>
  <si>
    <t xml:space="preserve">Arsenal v Burnley</t>
  </si>
  <si>
    <t xml:space="preserve">Arsenal v Celtic</t>
  </si>
  <si>
    <t xml:space="preserve">Arsenal v Olympiakos</t>
  </si>
  <si>
    <t xml:space="preserve">Arsenal v AZ Alkmaar</t>
  </si>
  <si>
    <t xml:space="preserve">Arsenal v Standard Liege</t>
  </si>
  <si>
    <t xml:space="preserve">Arsenal v Sporting Braga</t>
  </si>
  <si>
    <t xml:space="preserve">Arsenal v Partizan Belgrade</t>
  </si>
  <si>
    <t xml:space="preserve">Arsenal v Leyton Orient</t>
  </si>
  <si>
    <t xml:space="preserve">Arsenal v Udinese</t>
  </si>
  <si>
    <t xml:space="preserve">Arsenal v Swansea City</t>
  </si>
  <si>
    <t xml:space="preserve">Arsenal v Shrewsbury Town</t>
  </si>
  <si>
    <t xml:space="preserve">Arsenal v Olympique Marseille</t>
  </si>
  <si>
    <t xml:space="preserve">Arsenal v Montpellier</t>
  </si>
  <si>
    <t xml:space="preserve">7-3</t>
  </si>
  <si>
    <t xml:space="preserve">Arsenal v Napoli</t>
  </si>
  <si>
    <t xml:space="preserve">1-1 (4-2)</t>
  </si>
  <si>
    <t xml:space="preserve">Arsenal v Besiktas</t>
  </si>
  <si>
    <t xml:space="preserve">Arsenal v Anderlecht</t>
  </si>
  <si>
    <t xml:space="preserve">Arsenal v AS Monaco</t>
  </si>
  <si>
    <t xml:space="preserve">Arsenal v AFC Bournemouth</t>
  </si>
  <si>
    <t xml:space="preserve">Arsenal v FC Basel</t>
  </si>
  <si>
    <t xml:space="preserve">Arsenal v PFC Ludogorets Razgrad</t>
  </si>
  <si>
    <t xml:space="preserve">Arsenal v Lincoln City</t>
  </si>
  <si>
    <t xml:space="preserve">1-1 (4-1)</t>
  </si>
  <si>
    <t xml:space="preserve">Arsenal v 1.FC Köln</t>
  </si>
  <si>
    <t xml:space="preserve">Arsenal v Doncaster Rovers</t>
  </si>
  <si>
    <t xml:space="preserve">Arsenal v Brighton and Hove Albion</t>
  </si>
  <si>
    <t xml:space="preserve">Arsenal v Crvena Zvezda</t>
  </si>
  <si>
    <t xml:space="preserve">Arsenal v FC BATE Borisov</t>
  </si>
  <si>
    <t xml:space="preserve">Arsenal v Östersunds FK</t>
  </si>
  <si>
    <t xml:space="preserve">Arsenal v CSKA Moscow</t>
  </si>
  <si>
    <t xml:space="preserve">Arsenal v Atlético Madrid</t>
  </si>
  <si>
    <t xml:space="preserve">Arsenal v Vorskla Poltava</t>
  </si>
  <si>
    <t xml:space="preserve">Arsenal v Brentford</t>
  </si>
  <si>
    <t xml:space="preserve">Arsenal v Sporting Clube Portugal</t>
  </si>
  <si>
    <t xml:space="preserve">Arsenal v FK Qarabağ Agdam</t>
  </si>
  <si>
    <t xml:space="preserve">Arsenal v Rennes</t>
  </si>
  <si>
    <t xml:space="preserve">Arsenal v Vitória Guimarães</t>
  </si>
  <si>
    <t xml:space="preserve">Arsenal v Eintracht Frankfurt</t>
  </si>
  <si>
    <t xml:space="preserve">Y</t>
  </si>
  <si>
    <t xml:space="preserve">1-1 (5-4)</t>
  </si>
  <si>
    <t xml:space="preserve">Arsenal v Dundalk</t>
  </si>
  <si>
    <t xml:space="preserve">Arsenal v Molde</t>
  </si>
  <si>
    <t xml:space="preserve">Arsenal v Rapid Wien</t>
  </si>
  <si>
    <t xml:space="preserve">Arsenal v AFC Wimbledon</t>
  </si>
  <si>
    <t xml:space="preserve">Arsenal v FK Bodo Glimt</t>
  </si>
  <si>
    <t xml:space="preserve">Arsenal v FC Zurich</t>
  </si>
  <si>
    <t xml:space="preserve">1-1 (3-5)</t>
  </si>
  <si>
    <t xml:space="preserve">1-0 (4-2)</t>
  </si>
  <si>
    <t xml:space="preserve">Arsenal v Atletico Madrid</t>
  </si>
  <si>
    <t xml:space="preserve">1-1 (8-7)</t>
  </si>
  <si>
    <t xml:space="preserve">Arsenal v FC Kairat Almaty</t>
  </si>
  <si>
    <t xml:space="preserve">Puskas Arena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</si>
</sst>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CE4D6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5" min="3" style="0" width="7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60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10</v>
      </c>
      <c r="C2" s="2" t="n">
        <f aca="false">COUNTIF(Fixtures!$H$2:$H$2102,A2)</f>
        <v>2</v>
      </c>
      <c r="D2" s="2" t="n">
        <f aca="false">COUNTIFS(Fixtures!$H$2:$H$2102,A2,Fixtures!$I$2:$I$2102,"H")</f>
        <v>1</v>
      </c>
      <c r="E2" s="2" t="n">
        <f aca="false">COUNTIFS(Fixtures!$H$2:$H$2102,A2,Fixtures!$I$2:$I$2102,"A")</f>
        <v>1</v>
      </c>
      <c r="F2" s="2" t="n">
        <f aca="false">COUNTIFS(Fixtures!$H$2:$H$2102,A2,Fixtures!$I$2:$I$2102,"N")</f>
        <v>0</v>
      </c>
      <c r="G2" s="3" t="n">
        <f aca="false">IF(E2=0,"",_xlfn.MINIFS(Fixtures!$A$2:$A$2102,Fixtures!$H$2:$H$2102,A2,Fixtures!$I$2:$I$2102,"A"))</f>
        <v>43062</v>
      </c>
      <c r="H2" s="3" t="n">
        <f aca="false">IF(E2=0,"",_xlfn.MAXIFS(Fixtures!$A$2:$A$2102,Fixtures!$H$2:$H$2102,A2,Fixtures!$I$2:$I$2102,"A"))</f>
        <v>43062</v>
      </c>
      <c r="I2" s="2" t="s">
        <v>11</v>
      </c>
      <c r="J2" s="4"/>
    </row>
    <row r="3" customFormat="false" ht="15" hidden="false" customHeight="false" outlineLevel="0" collapsed="false">
      <c r="A3" s="2" t="s">
        <v>12</v>
      </c>
      <c r="B3" s="2" t="s">
        <v>12</v>
      </c>
      <c r="C3" s="2" t="n">
        <f aca="false">COUNTIF(Fixtures!$H$2:$H$2102,A3)</f>
        <v>8</v>
      </c>
      <c r="D3" s="2" t="n">
        <f aca="false">COUNTIFS(Fixtures!$H$2:$H$2102,A3,Fixtures!$I$2:$I$2102,"H")</f>
        <v>4</v>
      </c>
      <c r="E3" s="2" t="n">
        <f aca="false">COUNTIFS(Fixtures!$H$2:$H$2102,A3,Fixtures!$I$2:$I$2102,"A")</f>
        <v>4</v>
      </c>
      <c r="F3" s="2" t="n">
        <f aca="false">COUNTIFS(Fixtures!$H$2:$H$2102,A3,Fixtures!$I$2:$I$2102,"N")</f>
        <v>0</v>
      </c>
      <c r="G3" s="3" t="n">
        <f aca="false">IF(E3=0,"",_xlfn.MINIFS(Fixtures!$A$2:$A$2102,Fixtures!$H$2:$H$2102,A3,Fixtures!$I$2:$I$2102,"A"))</f>
        <v>34738</v>
      </c>
      <c r="H3" s="3" t="n">
        <f aca="false">IF(E3=0,"",_xlfn.MAXIFS(Fixtures!$A$2:$A$2102,Fixtures!$H$2:$H$2102,A3,Fixtures!$I$2:$I$2102,"A"))</f>
        <v>43167</v>
      </c>
      <c r="I3" s="2" t="s">
        <v>13</v>
      </c>
      <c r="J3" s="4"/>
    </row>
    <row r="4" customFormat="false" ht="15" hidden="false" customHeight="false" outlineLevel="0" collapsed="false">
      <c r="A4" s="2" t="s">
        <v>14</v>
      </c>
      <c r="B4" s="2" t="s">
        <v>14</v>
      </c>
      <c r="C4" s="2" t="n">
        <f aca="false">COUNTIF(Fixtures!$H$2:$H$2102,A4)</f>
        <v>19</v>
      </c>
      <c r="D4" s="2" t="n">
        <f aca="false">COUNTIFS(Fixtures!$H$2:$H$2102,A4,Fixtures!$I$2:$I$2102,"H")</f>
        <v>9</v>
      </c>
      <c r="E4" s="2" t="n">
        <f aca="false">COUNTIFS(Fixtures!$H$2:$H$2102,A4,Fixtures!$I$2:$I$2102,"A")</f>
        <v>10</v>
      </c>
      <c r="F4" s="2" t="n">
        <f aca="false">COUNTIFS(Fixtures!$H$2:$H$2102,A4,Fixtures!$I$2:$I$2102,"N")</f>
        <v>0</v>
      </c>
      <c r="G4" s="3" t="n">
        <f aca="false">IF(E4=0,"",_xlfn.MINIFS(Fixtures!$A$2:$A$2102,Fixtures!$H$2:$H$2102,A4,Fixtures!$I$2:$I$2102,"A"))</f>
        <v>42407</v>
      </c>
      <c r="H4" s="3" t="n">
        <f aca="false">IF(E4=0,"",_xlfn.MAXIFS(Fixtures!$A$2:$A$2102,Fixtures!$H$2:$H$2102,A4,Fixtures!$I$2:$I$2102,"A"))</f>
        <v>46025</v>
      </c>
      <c r="I4" s="2" t="s">
        <v>15</v>
      </c>
      <c r="J4" s="4"/>
    </row>
    <row r="5" customFormat="false" ht="15" hidden="false" customHeight="false" outlineLevel="0" collapsed="false">
      <c r="A5" s="2" t="s">
        <v>16</v>
      </c>
      <c r="B5" s="2" t="s">
        <v>16</v>
      </c>
      <c r="C5" s="2" t="n">
        <f aca="false">COUNTIF(Fixtures!$H$2:$H$2102,A5)</f>
        <v>1</v>
      </c>
      <c r="D5" s="2" t="n">
        <f aca="false">COUNTIFS(Fixtures!$H$2:$H$2102,A5,Fixtures!$I$2:$I$2102,"H")</f>
        <v>1</v>
      </c>
      <c r="E5" s="2" t="n">
        <f aca="false">COUNTIFS(Fixtures!$H$2:$H$2102,A5,Fixtures!$I$2:$I$2102,"A")</f>
        <v>0</v>
      </c>
      <c r="F5" s="2" t="n">
        <f aca="false">COUNTIFS(Fixtures!$H$2:$H$2102,A5,Fixtures!$I$2:$I$2102,"N")</f>
        <v>0</v>
      </c>
      <c r="G5" s="3" t="str">
        <f aca="false">IF(E5=0,"",_xlfn.MINIFS(Fixtures!$A$2:$A$2102,Fixtures!$H$2:$H$2102,A5,Fixtures!$I$2:$I$2102,"A"))</f>
        <v/>
      </c>
      <c r="H5" s="3" t="str">
        <f aca="false">IF(E5=0,"",_xlfn.MAXIFS(Fixtures!$A$2:$A$2102,Fixtures!$H$2:$H$2102,A5,Fixtures!$I$2:$I$2102,"A"))</f>
        <v/>
      </c>
      <c r="I5" s="2"/>
      <c r="J5" s="4" t="s">
        <v>17</v>
      </c>
    </row>
    <row r="6" customFormat="false" ht="15" hidden="false" customHeight="false" outlineLevel="0" collapsed="false">
      <c r="A6" s="2" t="s">
        <v>18</v>
      </c>
      <c r="B6" s="2" t="s">
        <v>18</v>
      </c>
      <c r="C6" s="2" t="n">
        <f aca="false">COUNTIF(Fixtures!$H$2:$H$2102,A6)</f>
        <v>2</v>
      </c>
      <c r="D6" s="2" t="n">
        <f aca="false">COUNTIFS(Fixtures!$H$2:$H$2102,A6,Fixtures!$I$2:$I$2102,"H")</f>
        <v>1</v>
      </c>
      <c r="E6" s="2" t="n">
        <f aca="false">COUNTIFS(Fixtures!$H$2:$H$2102,A6,Fixtures!$I$2:$I$2102,"A")</f>
        <v>1</v>
      </c>
      <c r="F6" s="2" t="n">
        <f aca="false">COUNTIFS(Fixtures!$H$2:$H$2102,A6,Fixtures!$I$2:$I$2102,"N")</f>
        <v>0</v>
      </c>
      <c r="G6" s="3" t="n">
        <f aca="false">IF(E6=0,"",_xlfn.MINIFS(Fixtures!$A$2:$A$2102,Fixtures!$H$2:$H$2102,A6,Fixtures!$I$2:$I$2102,"A"))</f>
        <v>36466</v>
      </c>
      <c r="H6" s="3" t="n">
        <f aca="false">IF(E6=0,"",_xlfn.MAXIFS(Fixtures!$A$2:$A$2102,Fixtures!$H$2:$H$2102,A6,Fixtures!$I$2:$I$2102,"A"))</f>
        <v>36466</v>
      </c>
      <c r="I6" s="2" t="s">
        <v>19</v>
      </c>
      <c r="J6" s="4"/>
    </row>
    <row r="7" customFormat="false" ht="15" hidden="false" customHeight="false" outlineLevel="0" collapsed="false">
      <c r="A7" s="2" t="s">
        <v>20</v>
      </c>
      <c r="B7" s="2" t="s">
        <v>20</v>
      </c>
      <c r="C7" s="2" t="n">
        <f aca="false">COUNTIF(Fixtures!$H$2:$H$2102,A7)</f>
        <v>4</v>
      </c>
      <c r="D7" s="2" t="n">
        <f aca="false">COUNTIFS(Fixtures!$H$2:$H$2102,A7,Fixtures!$I$2:$I$2102,"H")</f>
        <v>2</v>
      </c>
      <c r="E7" s="2" t="n">
        <f aca="false">COUNTIFS(Fixtures!$H$2:$H$2102,A7,Fixtures!$I$2:$I$2102,"A")</f>
        <v>2</v>
      </c>
      <c r="F7" s="2" t="n">
        <f aca="false">COUNTIFS(Fixtures!$H$2:$H$2102,A7,Fixtures!$I$2:$I$2102,"N")</f>
        <v>0</v>
      </c>
      <c r="G7" s="3" t="n">
        <f aca="false">IF(E7=0,"",_xlfn.MINIFS(Fixtures!$A$2:$A$2102,Fixtures!$H$2:$H$2102,A7,Fixtures!$I$2:$I$2102,"A"))</f>
        <v>37678</v>
      </c>
      <c r="H7" s="3" t="n">
        <f aca="false">IF(E7=0,"",_xlfn.MAXIFS(Fixtures!$A$2:$A$2102,Fixtures!$H$2:$H$2102,A7,Fixtures!$I$2:$I$2102,"A"))</f>
        <v>38622</v>
      </c>
      <c r="I7" s="2" t="s">
        <v>21</v>
      </c>
      <c r="J7" s="4"/>
    </row>
    <row r="8" customFormat="false" ht="15" hidden="false" customHeight="false" outlineLevel="0" collapsed="false">
      <c r="A8" s="2" t="s">
        <v>22</v>
      </c>
      <c r="B8" s="2" t="s">
        <v>22</v>
      </c>
      <c r="C8" s="2" t="n">
        <f aca="false">COUNTIF(Fixtures!$H$2:$H$2102,A8)</f>
        <v>2</v>
      </c>
      <c r="D8" s="2" t="n">
        <f aca="false">COUNTIFS(Fixtures!$H$2:$H$2102,A8,Fixtures!$I$2:$I$2102,"H")</f>
        <v>1</v>
      </c>
      <c r="E8" s="2" t="n">
        <f aca="false">COUNTIFS(Fixtures!$H$2:$H$2102,A8,Fixtures!$I$2:$I$2102,"A")</f>
        <v>1</v>
      </c>
      <c r="F8" s="2" t="n">
        <f aca="false">COUNTIFS(Fixtures!$H$2:$H$2102,A8,Fixtures!$I$2:$I$2102,"N")</f>
        <v>0</v>
      </c>
      <c r="G8" s="3" t="n">
        <f aca="false">IF(E8=0,"",_xlfn.MINIFS(Fixtures!$A$2:$A$2102,Fixtures!$H$2:$H$2102,A8,Fixtures!$I$2:$I$2102,"A"))</f>
        <v>41934</v>
      </c>
      <c r="H8" s="3" t="n">
        <f aca="false">IF(E8=0,"",_xlfn.MAXIFS(Fixtures!$A$2:$A$2102,Fixtures!$H$2:$H$2102,A8,Fixtures!$I$2:$I$2102,"A"))</f>
        <v>41934</v>
      </c>
      <c r="I8" s="2" t="s">
        <v>23</v>
      </c>
      <c r="J8" s="4"/>
    </row>
    <row r="9" customFormat="false" ht="15" hidden="false" customHeight="false" outlineLevel="0" collapsed="false">
      <c r="A9" s="2" t="s">
        <v>24</v>
      </c>
      <c r="B9" s="2" t="s">
        <v>24</v>
      </c>
      <c r="C9" s="2" t="n">
        <f aca="false">COUNTIF(Fixtures!$H$2:$H$2102,A9)</f>
        <v>3</v>
      </c>
      <c r="D9" s="2" t="n">
        <f aca="false">COUNTIFS(Fixtures!$H$2:$H$2102,A9,Fixtures!$I$2:$I$2102,"H")</f>
        <v>2</v>
      </c>
      <c r="E9" s="2" t="n">
        <f aca="false">COUNTIFS(Fixtures!$H$2:$H$2102,A9,Fixtures!$I$2:$I$2102,"A")</f>
        <v>1</v>
      </c>
      <c r="F9" s="2" t="n">
        <f aca="false">COUNTIFS(Fixtures!$H$2:$H$2102,A9,Fixtures!$I$2:$I$2102,"N")</f>
        <v>0</v>
      </c>
      <c r="G9" s="3" t="n">
        <f aca="false">IF(E9=0,"",_xlfn.MINIFS(Fixtures!$A$2:$A$2102,Fixtures!$H$2:$H$2102,A9,Fixtures!$I$2:$I$2102,"A"))</f>
        <v>42080</v>
      </c>
      <c r="H9" s="3" t="n">
        <f aca="false">IF(E9=0,"",_xlfn.MAXIFS(Fixtures!$A$2:$A$2102,Fixtures!$H$2:$H$2102,A9,Fixtures!$I$2:$I$2102,"A"))</f>
        <v>42080</v>
      </c>
      <c r="I9" s="2" t="s">
        <v>23</v>
      </c>
      <c r="J9" s="4"/>
    </row>
    <row r="10" customFormat="false" ht="15" hidden="false" customHeight="false" outlineLevel="0" collapsed="false">
      <c r="A10" s="2" t="s">
        <v>25</v>
      </c>
      <c r="B10" s="2" t="s">
        <v>25</v>
      </c>
      <c r="C10" s="2" t="n">
        <f aca="false">COUNTIF(Fixtures!$H$2:$H$2102,A10)</f>
        <v>4</v>
      </c>
      <c r="D10" s="2" t="n">
        <f aca="false">COUNTIFS(Fixtures!$H$2:$H$2102,A10,Fixtures!$I$2:$I$2102,"H")</f>
        <v>2</v>
      </c>
      <c r="E10" s="2" t="n">
        <f aca="false">COUNTIFS(Fixtures!$H$2:$H$2102,A10,Fixtures!$I$2:$I$2102,"A")</f>
        <v>2</v>
      </c>
      <c r="F10" s="2" t="n">
        <f aca="false">COUNTIFS(Fixtures!$H$2:$H$2102,A10,Fixtures!$I$2:$I$2102,"N")</f>
        <v>0</v>
      </c>
      <c r="G10" s="3" t="n">
        <f aca="false">IF(E10=0,"",_xlfn.MINIFS(Fixtures!$A$2:$A$2102,Fixtures!$H$2:$H$2102,A10,Fixtures!$I$2:$I$2102,"A"))</f>
        <v>37587</v>
      </c>
      <c r="H10" s="3" t="n">
        <f aca="false">IF(E10=0,"",_xlfn.MAXIFS(Fixtures!$A$2:$A$2102,Fixtures!$H$2:$H$2102,A10,Fixtures!$I$2:$I$2102,"A"))</f>
        <v>39883</v>
      </c>
      <c r="I10" s="2" t="s">
        <v>26</v>
      </c>
      <c r="J10" s="4"/>
    </row>
    <row r="11" customFormat="false" ht="15" hidden="false" customHeight="false" outlineLevel="0" collapsed="false">
      <c r="A11" s="2" t="s">
        <v>27</v>
      </c>
      <c r="B11" s="2" t="s">
        <v>27</v>
      </c>
      <c r="C11" s="2" t="n">
        <f aca="false">COUNTIF(Fixtures!$H$2:$H$2102,A11)</f>
        <v>75</v>
      </c>
      <c r="D11" s="2" t="n">
        <f aca="false">COUNTIFS(Fixtures!$H$2:$H$2102,A11,Fixtures!$I$2:$I$2102,"H")</f>
        <v>38</v>
      </c>
      <c r="E11" s="2" t="n">
        <f aca="false">COUNTIFS(Fixtures!$H$2:$H$2102,A11,Fixtures!$I$2:$I$2102,"A")</f>
        <v>36</v>
      </c>
      <c r="F11" s="2" t="n">
        <f aca="false">COUNTIFS(Fixtures!$H$2:$H$2102,A11,Fixtures!$I$2:$I$2102,"N")</f>
        <v>1</v>
      </c>
      <c r="G11" s="3" t="n">
        <f aca="false">IF(E11=0,"",_xlfn.MINIFS(Fixtures!$A$2:$A$2102,Fixtures!$H$2:$H$2102,A11,Fixtures!$I$2:$I$2102,"A"))</f>
        <v>32508</v>
      </c>
      <c r="H11" s="3" t="n">
        <f aca="false">IF(E11=0,"",_xlfn.MAXIFS(Fixtures!$A$2:$A$2102,Fixtures!$H$2:$H$2102,A11,Fixtures!$I$2:$I$2102,"A"))</f>
        <v>45997</v>
      </c>
      <c r="I11" s="2" t="s">
        <v>28</v>
      </c>
      <c r="J11" s="4"/>
    </row>
    <row r="12" customFormat="false" ht="15" hidden="false" customHeight="false" outlineLevel="0" collapsed="false">
      <c r="A12" s="2" t="s">
        <v>29</v>
      </c>
      <c r="B12" s="2" t="s">
        <v>29</v>
      </c>
      <c r="C12" s="2" t="n">
        <f aca="false">COUNTIF(Fixtures!$H$2:$H$2102,A12)</f>
        <v>1</v>
      </c>
      <c r="D12" s="2" t="n">
        <f aca="false">COUNTIFS(Fixtures!$H$2:$H$2102,A12,Fixtures!$I$2:$I$2102,"H")</f>
        <v>0</v>
      </c>
      <c r="E12" s="2" t="n">
        <f aca="false">COUNTIFS(Fixtures!$H$2:$H$2102,A12,Fixtures!$I$2:$I$2102,"A")</f>
        <v>1</v>
      </c>
      <c r="F12" s="2" t="n">
        <f aca="false">COUNTIFS(Fixtures!$H$2:$H$2102,A12,Fixtures!$I$2:$I$2102,"N")</f>
        <v>0</v>
      </c>
      <c r="G12" s="3" t="n">
        <f aca="false">IF(E12=0,"",_xlfn.MINIFS(Fixtures!$A$2:$A$2102,Fixtures!$H$2:$H$2102,A12,Fixtures!$I$2:$I$2102,"A"))</f>
        <v>45554</v>
      </c>
      <c r="H12" s="3" t="n">
        <f aca="false">IF(E12=0,"",_xlfn.MAXIFS(Fixtures!$A$2:$A$2102,Fixtures!$H$2:$H$2102,A12,Fixtures!$I$2:$I$2102,"A"))</f>
        <v>45554</v>
      </c>
      <c r="I12" s="2" t="s">
        <v>30</v>
      </c>
      <c r="J12" s="4"/>
    </row>
    <row r="13" customFormat="false" ht="15" hidden="false" customHeight="false" outlineLevel="0" collapsed="false">
      <c r="A13" s="2" t="s">
        <v>31</v>
      </c>
      <c r="B13" s="2" t="s">
        <v>31</v>
      </c>
      <c r="C13" s="2" t="n">
        <f aca="false">COUNTIF(Fixtures!$H$2:$H$2102,A13)</f>
        <v>1</v>
      </c>
      <c r="D13" s="2" t="n">
        <f aca="false">COUNTIFS(Fixtures!$H$2:$H$2102,A13,Fixtures!$I$2:$I$2102,"H")</f>
        <v>0</v>
      </c>
      <c r="E13" s="2" t="n">
        <f aca="false">COUNTIFS(Fixtures!$H$2:$H$2102,A13,Fixtures!$I$2:$I$2102,"A")</f>
        <v>1</v>
      </c>
      <c r="F13" s="2" t="n">
        <f aca="false">COUNTIFS(Fixtures!$H$2:$H$2102,A13,Fixtures!$I$2:$I$2102,"N")</f>
        <v>0</v>
      </c>
      <c r="G13" s="3" t="n">
        <f aca="false">IF(E13=0,"",_xlfn.MINIFS(Fixtures!$A$2:$A$2102,Fixtures!$H$2:$H$2102,A13,Fixtures!$I$2:$I$2102,"A"))</f>
        <v>45916</v>
      </c>
      <c r="H13" s="3" t="n">
        <f aca="false">IF(E13=0,"",_xlfn.MAXIFS(Fixtures!$A$2:$A$2102,Fixtures!$H$2:$H$2102,A13,Fixtures!$I$2:$I$2102,"A"))</f>
        <v>45916</v>
      </c>
      <c r="I13" s="2" t="s">
        <v>32</v>
      </c>
      <c r="J13" s="4"/>
    </row>
    <row r="14" customFormat="false" ht="15" hidden="false" customHeight="false" outlineLevel="0" collapsed="false">
      <c r="A14" s="2" t="s">
        <v>33</v>
      </c>
      <c r="B14" s="5" t="s">
        <v>33</v>
      </c>
      <c r="C14" s="2" t="n">
        <f aca="false">COUNTIF(Fixtures!$H$2:$H$2102,A14)</f>
        <v>3</v>
      </c>
      <c r="D14" s="2" t="n">
        <f aca="false">COUNTIFS(Fixtures!$H$2:$H$2102,A14,Fixtures!$I$2:$I$2102,"H")</f>
        <v>2</v>
      </c>
      <c r="E14" s="2" t="n">
        <f aca="false">COUNTIFS(Fixtures!$H$2:$H$2102,A14,Fixtures!$I$2:$I$2102,"A")</f>
        <v>1</v>
      </c>
      <c r="F14" s="2" t="n">
        <f aca="false">COUNTIFS(Fixtures!$H$2:$H$2102,A14,Fixtures!$I$2:$I$2102,"N")</f>
        <v>0</v>
      </c>
      <c r="G14" s="3" t="n">
        <f aca="false">IF(E14=0,"",_xlfn.MINIFS(Fixtures!$A$2:$A$2102,Fixtures!$H$2:$H$2102,A14,Fixtures!$I$2:$I$2102,"A"))</f>
        <v>46141</v>
      </c>
      <c r="H14" s="3" t="n">
        <f aca="false">IF(E14=0,"",_xlfn.MAXIFS(Fixtures!$A$2:$A$2102,Fixtures!$H$2:$H$2102,A14,Fixtures!$I$2:$I$2102,"A"))</f>
        <v>46141</v>
      </c>
      <c r="I14" s="2" t="s">
        <v>32</v>
      </c>
      <c r="J14" s="4" t="s">
        <v>34</v>
      </c>
    </row>
    <row r="15" customFormat="false" ht="15" hidden="false" customHeight="false" outlineLevel="0" collapsed="false">
      <c r="A15" s="2" t="s">
        <v>35</v>
      </c>
      <c r="B15" s="5" t="s">
        <v>33</v>
      </c>
      <c r="C15" s="2" t="n">
        <f aca="false">COUNTIF(Fixtures!$H$2:$H$2102,A15)</f>
        <v>2</v>
      </c>
      <c r="D15" s="2" t="n">
        <f aca="false">COUNTIFS(Fixtures!$H$2:$H$2102,A15,Fixtures!$I$2:$I$2102,"H")</f>
        <v>1</v>
      </c>
      <c r="E15" s="2" t="n">
        <f aca="false">COUNTIFS(Fixtures!$H$2:$H$2102,A15,Fixtures!$I$2:$I$2102,"A")</f>
        <v>1</v>
      </c>
      <c r="F15" s="2" t="n">
        <f aca="false">COUNTIFS(Fixtures!$H$2:$H$2102,A15,Fixtures!$I$2:$I$2102,"N")</f>
        <v>0</v>
      </c>
      <c r="G15" s="3" t="n">
        <f aca="false">IF(E15=0,"",_xlfn.MINIFS(Fixtures!$A$2:$A$2102,Fixtures!$H$2:$H$2102,A15,Fixtures!$I$2:$I$2102,"A"))</f>
        <v>43223</v>
      </c>
      <c r="H15" s="3" t="n">
        <f aca="false">IF(E15=0,"",_xlfn.MAXIFS(Fixtures!$A$2:$A$2102,Fixtures!$H$2:$H$2102,A15,Fixtures!$I$2:$I$2102,"A"))</f>
        <v>43223</v>
      </c>
      <c r="I15" s="2" t="s">
        <v>11</v>
      </c>
      <c r="J15" s="4" t="s">
        <v>36</v>
      </c>
    </row>
    <row r="16" customFormat="false" ht="15" hidden="false" customHeight="false" outlineLevel="0" collapsed="false">
      <c r="A16" s="2" t="s">
        <v>37</v>
      </c>
      <c r="B16" s="2" t="s">
        <v>37</v>
      </c>
      <c r="C16" s="2" t="n">
        <f aca="false">COUNTIF(Fixtures!$H$2:$H$2102,A16)</f>
        <v>2</v>
      </c>
      <c r="D16" s="2" t="n">
        <f aca="false">COUNTIFS(Fixtures!$H$2:$H$2102,A16,Fixtures!$I$2:$I$2102,"H")</f>
        <v>1</v>
      </c>
      <c r="E16" s="2" t="n">
        <f aca="false">COUNTIFS(Fixtures!$H$2:$H$2102,A16,Fixtures!$I$2:$I$2102,"A")</f>
        <v>1</v>
      </c>
      <c r="F16" s="2" t="n">
        <f aca="false">COUNTIFS(Fixtures!$H$2:$H$2102,A16,Fixtures!$I$2:$I$2102,"N")</f>
        <v>0</v>
      </c>
      <c r="G16" s="3" t="n">
        <f aca="false">IF(E16=0,"",_xlfn.MINIFS(Fixtures!$A$2:$A$2102,Fixtures!$H$2:$H$2102,A16,Fixtures!$I$2:$I$2102,"A"))</f>
        <v>33513</v>
      </c>
      <c r="H16" s="3" t="n">
        <f aca="false">IF(E16=0,"",_xlfn.MAXIFS(Fixtures!$A$2:$A$2102,Fixtures!$H$2:$H$2102,A16,Fixtures!$I$2:$I$2102,"A"))</f>
        <v>33513</v>
      </c>
      <c r="I16" s="2" t="s">
        <v>38</v>
      </c>
      <c r="J16" s="4"/>
    </row>
    <row r="17" customFormat="false" ht="15" hidden="false" customHeight="false" outlineLevel="0" collapsed="false">
      <c r="A17" s="2" t="s">
        <v>39</v>
      </c>
      <c r="B17" s="2" t="s">
        <v>39</v>
      </c>
      <c r="C17" s="2" t="n">
        <f aca="false">COUNTIF(Fixtures!$H$2:$H$2102,A17)</f>
        <v>4</v>
      </c>
      <c r="D17" s="2" t="n">
        <f aca="false">COUNTIFS(Fixtures!$H$2:$H$2102,A17,Fixtures!$I$2:$I$2102,"H")</f>
        <v>2</v>
      </c>
      <c r="E17" s="2" t="n">
        <f aca="false">COUNTIFS(Fixtures!$H$2:$H$2102,A17,Fixtures!$I$2:$I$2102,"A")</f>
        <v>2</v>
      </c>
      <c r="F17" s="2" t="n">
        <f aca="false">COUNTIFS(Fixtures!$H$2:$H$2102,A17,Fixtures!$I$2:$I$2102,"N")</f>
        <v>0</v>
      </c>
      <c r="G17" s="3" t="n">
        <f aca="false">IF(E17=0,"",_xlfn.MINIFS(Fixtures!$A$2:$A$2102,Fixtures!$H$2:$H$2102,A17,Fixtures!$I$2:$I$2102,"A"))</f>
        <v>34774</v>
      </c>
      <c r="H17" s="3" t="n">
        <f aca="false">IF(E17=0,"",_xlfn.MAXIFS(Fixtures!$A$2:$A$2102,Fixtures!$H$2:$H$2102,A17,Fixtures!$I$2:$I$2102,"A"))</f>
        <v>37531</v>
      </c>
      <c r="I17" s="2" t="s">
        <v>40</v>
      </c>
      <c r="J17" s="4"/>
    </row>
    <row r="18" customFormat="false" ht="15" hidden="false" customHeight="false" outlineLevel="0" collapsed="false">
      <c r="A18" s="2" t="s">
        <v>41</v>
      </c>
      <c r="B18" s="2" t="s">
        <v>41</v>
      </c>
      <c r="C18" s="2" t="n">
        <f aca="false">COUNTIF(Fixtures!$H$2:$H$2102,A18)</f>
        <v>2</v>
      </c>
      <c r="D18" s="2" t="n">
        <f aca="false">COUNTIFS(Fixtures!$H$2:$H$2102,A18,Fixtures!$I$2:$I$2102,"H")</f>
        <v>1</v>
      </c>
      <c r="E18" s="2" t="n">
        <f aca="false">COUNTIFS(Fixtures!$H$2:$H$2102,A18,Fixtures!$I$2:$I$2102,"A")</f>
        <v>1</v>
      </c>
      <c r="F18" s="2" t="n">
        <f aca="false">COUNTIFS(Fixtures!$H$2:$H$2102,A18,Fixtures!$I$2:$I$2102,"N")</f>
        <v>0</v>
      </c>
      <c r="G18" s="3" t="n">
        <f aca="false">IF(E18=0,"",_xlfn.MINIFS(Fixtures!$A$2:$A$2102,Fixtures!$H$2:$H$2102,A18,Fixtures!$I$2:$I$2102,"A"))</f>
        <v>40106</v>
      </c>
      <c r="H18" s="3" t="n">
        <f aca="false">IF(E18=0,"",_xlfn.MAXIFS(Fixtures!$A$2:$A$2102,Fixtures!$H$2:$H$2102,A18,Fixtures!$I$2:$I$2102,"A"))</f>
        <v>40106</v>
      </c>
      <c r="I18" s="2" t="s">
        <v>42</v>
      </c>
      <c r="J18" s="4"/>
    </row>
    <row r="19" customFormat="false" ht="15" hidden="false" customHeight="false" outlineLevel="0" collapsed="false">
      <c r="A19" s="2" t="s">
        <v>43</v>
      </c>
      <c r="B19" s="2" t="s">
        <v>43</v>
      </c>
      <c r="C19" s="2" t="n">
        <f aca="false">COUNTIF(Fixtures!$H$2:$H$2102,A19)</f>
        <v>9</v>
      </c>
      <c r="D19" s="2" t="n">
        <f aca="false">COUNTIFS(Fixtures!$H$2:$H$2102,A19,Fixtures!$I$2:$I$2102,"H")</f>
        <v>4</v>
      </c>
      <c r="E19" s="2" t="n">
        <f aca="false">COUNTIFS(Fixtures!$H$2:$H$2102,A19,Fixtures!$I$2:$I$2102,"A")</f>
        <v>4</v>
      </c>
      <c r="F19" s="2" t="n">
        <f aca="false">COUNTIFS(Fixtures!$H$2:$H$2102,A19,Fixtures!$I$2:$I$2102,"N")</f>
        <v>1</v>
      </c>
      <c r="G19" s="3" t="n">
        <f aca="false">IF(E19=0,"",_xlfn.MINIFS(Fixtures!$A$2:$A$2102,Fixtures!$H$2:$H$2102,A19,Fixtures!$I$2:$I$2102,"A"))</f>
        <v>36432</v>
      </c>
      <c r="H19" s="3" t="n">
        <f aca="false">IF(E19=0,"",_xlfn.MAXIFS(Fixtures!$A$2:$A$2102,Fixtures!$H$2:$H$2102,A19,Fixtures!$I$2:$I$2102,"A"))</f>
        <v>42445</v>
      </c>
      <c r="I19" s="2" t="s">
        <v>44</v>
      </c>
      <c r="J19" s="4" t="s">
        <v>45</v>
      </c>
    </row>
    <row r="20" customFormat="false" ht="15" hidden="false" customHeight="false" outlineLevel="0" collapsed="false">
      <c r="A20" s="2" t="s">
        <v>46</v>
      </c>
      <c r="B20" s="2" t="s">
        <v>46</v>
      </c>
      <c r="C20" s="2" t="n">
        <f aca="false">COUNTIF(Fixtures!$H$2:$H$2102,A20)</f>
        <v>3</v>
      </c>
      <c r="D20" s="2" t="n">
        <f aca="false">COUNTIFS(Fixtures!$H$2:$H$2102,A20,Fixtures!$I$2:$I$2102,"H")</f>
        <v>1</v>
      </c>
      <c r="E20" s="2" t="n">
        <f aca="false">COUNTIFS(Fixtures!$H$2:$H$2102,A20,Fixtures!$I$2:$I$2102,"A")</f>
        <v>2</v>
      </c>
      <c r="F20" s="2" t="n">
        <f aca="false">COUNTIFS(Fixtures!$H$2:$H$2102,A20,Fixtures!$I$2:$I$2102,"N")</f>
        <v>0</v>
      </c>
      <c r="G20" s="3" t="n">
        <f aca="false">IF(E20=0,"",_xlfn.MINIFS(Fixtures!$A$2:$A$2102,Fixtures!$H$2:$H$2102,A20,Fixtures!$I$2:$I$2102,"A"))</f>
        <v>34996</v>
      </c>
      <c r="H20" s="3" t="n">
        <f aca="false">IF(E20=0,"",_xlfn.MAXIFS(Fixtures!$A$2:$A$2102,Fixtures!$H$2:$H$2102,A20,Fixtures!$I$2:$I$2102,"A"))</f>
        <v>35910</v>
      </c>
      <c r="I20" s="2" t="s">
        <v>47</v>
      </c>
      <c r="J20" s="4"/>
    </row>
    <row r="21" customFormat="false" ht="15" hidden="false" customHeight="false" outlineLevel="0" collapsed="false">
      <c r="A21" s="2" t="s">
        <v>48</v>
      </c>
      <c r="B21" s="2" t="s">
        <v>48</v>
      </c>
      <c r="C21" s="2" t="n">
        <f aca="false">COUNTIF(Fixtures!$H$2:$H$2102,A21)</f>
        <v>4</v>
      </c>
      <c r="D21" s="2" t="n">
        <f aca="false">COUNTIFS(Fixtures!$H$2:$H$2102,A21,Fixtures!$I$2:$I$2102,"H")</f>
        <v>2</v>
      </c>
      <c r="E21" s="2" t="n">
        <f aca="false">COUNTIFS(Fixtures!$H$2:$H$2102,A21,Fixtures!$I$2:$I$2102,"A")</f>
        <v>2</v>
      </c>
      <c r="F21" s="2" t="n">
        <f aca="false">COUNTIFS(Fixtures!$H$2:$H$2102,A21,Fixtures!$I$2:$I$2102,"N")</f>
        <v>0</v>
      </c>
      <c r="G21" s="3" t="n">
        <f aca="false">IF(E21=0,"",_xlfn.MINIFS(Fixtures!$A$2:$A$2102,Fixtures!$H$2:$H$2102,A21,Fixtures!$I$2:$I$2102,"A"))</f>
        <v>37306</v>
      </c>
      <c r="H21" s="3" t="n">
        <f aca="false">IF(E21=0,"",_xlfn.MAXIFS(Fixtures!$A$2:$A$2102,Fixtures!$H$2:$H$2102,A21,Fixtures!$I$2:$I$2102,"A"))</f>
        <v>46092</v>
      </c>
      <c r="I21" s="2" t="s">
        <v>49</v>
      </c>
      <c r="J21" s="4"/>
    </row>
    <row r="22" customFormat="false" ht="23.85" hidden="false" customHeight="false" outlineLevel="0" collapsed="false">
      <c r="A22" s="2" t="s">
        <v>50</v>
      </c>
      <c r="B22" s="5" t="s">
        <v>50</v>
      </c>
      <c r="C22" s="2" t="n">
        <f aca="false">COUNTIF(Fixtures!$H$2:$H$2102,A22)</f>
        <v>11</v>
      </c>
      <c r="D22" s="2" t="n">
        <f aca="false">COUNTIFS(Fixtures!$H$2:$H$2102,A22,Fixtures!$I$2:$I$2102,"H")</f>
        <v>6</v>
      </c>
      <c r="E22" s="2" t="n">
        <f aca="false">COUNTIFS(Fixtures!$H$2:$H$2102,A22,Fixtures!$I$2:$I$2102,"A")</f>
        <v>5</v>
      </c>
      <c r="F22" s="2" t="n">
        <f aca="false">COUNTIFS(Fixtures!$H$2:$H$2102,A22,Fixtures!$I$2:$I$2102,"N")</f>
        <v>0</v>
      </c>
      <c r="G22" s="3" t="n">
        <f aca="false">IF(E22=0,"",_xlfn.MINIFS(Fixtures!$A$2:$A$2102,Fixtures!$H$2:$H$2102,A22,Fixtures!$I$2:$I$2102,"A"))</f>
        <v>38405</v>
      </c>
      <c r="H22" s="3" t="n">
        <f aca="false">IF(E22=0,"",_xlfn.MAXIFS(Fixtures!$A$2:$A$2102,Fixtures!$H$2:$H$2102,A22,Fixtures!$I$2:$I$2102,"A"))</f>
        <v>45399</v>
      </c>
      <c r="I22" s="2" t="s">
        <v>51</v>
      </c>
      <c r="J22" s="4" t="s">
        <v>52</v>
      </c>
    </row>
    <row r="23" customFormat="false" ht="15" hidden="false" customHeight="false" outlineLevel="0" collapsed="false">
      <c r="A23" s="2" t="s">
        <v>53</v>
      </c>
      <c r="B23" s="5" t="s">
        <v>50</v>
      </c>
      <c r="C23" s="2" t="n">
        <f aca="false">COUNTIF(Fixtures!$H$2:$H$2102,A23)</f>
        <v>4</v>
      </c>
      <c r="D23" s="2" t="n">
        <f aca="false">COUNTIFS(Fixtures!$H$2:$H$2102,A23,Fixtures!$I$2:$I$2102,"H")</f>
        <v>2</v>
      </c>
      <c r="E23" s="2" t="n">
        <f aca="false">COUNTIFS(Fixtures!$H$2:$H$2102,A23,Fixtures!$I$2:$I$2102,"A")</f>
        <v>2</v>
      </c>
      <c r="F23" s="2" t="n">
        <f aca="false">COUNTIFS(Fixtures!$H$2:$H$2102,A23,Fixtures!$I$2:$I$2102,"N")</f>
        <v>0</v>
      </c>
      <c r="G23" s="3" t="n">
        <f aca="false">IF(E23=0,"",_xlfn.MINIFS(Fixtures!$A$2:$A$2102,Fixtures!$H$2:$H$2102,A23,Fixtures!$I$2:$I$2102,"A"))</f>
        <v>36964</v>
      </c>
      <c r="H23" s="3" t="n">
        <f aca="false">IF(E23=0,"",_xlfn.MAXIFS(Fixtures!$A$2:$A$2102,Fixtures!$H$2:$H$2102,A23,Fixtures!$I$2:$I$2102,"A"))</f>
        <v>42781</v>
      </c>
      <c r="I23" s="2" t="s">
        <v>54</v>
      </c>
      <c r="J23" s="4" t="s">
        <v>55</v>
      </c>
    </row>
    <row r="24" customFormat="false" ht="23.85" hidden="false" customHeight="false" outlineLevel="0" collapsed="false">
      <c r="A24" s="2" t="s">
        <v>56</v>
      </c>
      <c r="B24" s="2" t="s">
        <v>56</v>
      </c>
      <c r="C24" s="2" t="n">
        <f aca="false">COUNTIF(Fixtures!$H$2:$H$2102,A24)</f>
        <v>4</v>
      </c>
      <c r="D24" s="2" t="n">
        <f aca="false">COUNTIFS(Fixtures!$H$2:$H$2102,A24,Fixtures!$I$2:$I$2102,"H")</f>
        <v>2</v>
      </c>
      <c r="E24" s="2" t="n">
        <f aca="false">COUNTIFS(Fixtures!$H$2:$H$2102,A24,Fixtures!$I$2:$I$2102,"A")</f>
        <v>2</v>
      </c>
      <c r="F24" s="2" t="n">
        <f aca="false">COUNTIFS(Fixtures!$H$2:$H$2102,A24,Fixtures!$I$2:$I$2102,"N")</f>
        <v>0</v>
      </c>
      <c r="G24" s="3" t="n">
        <f aca="false">IF(E24=0,"",_xlfn.MINIFS(Fixtures!$A$2:$A$2102,Fixtures!$H$2:$H$2102,A24,Fixtures!$I$2:$I$2102,"A"))</f>
        <v>33534</v>
      </c>
      <c r="H24" s="3" t="n">
        <f aca="false">IF(E24=0,"",_xlfn.MAXIFS(Fixtures!$A$2:$A$2102,Fixtures!$H$2:$H$2102,A24,Fixtures!$I$2:$I$2102,"A"))</f>
        <v>44245</v>
      </c>
      <c r="I24" s="2" t="s">
        <v>57</v>
      </c>
      <c r="J24" s="4" t="s">
        <v>58</v>
      </c>
    </row>
    <row r="25" customFormat="false" ht="23.85" hidden="false" customHeight="false" outlineLevel="0" collapsed="false">
      <c r="A25" s="2" t="s">
        <v>59</v>
      </c>
      <c r="B25" s="2" t="s">
        <v>59</v>
      </c>
      <c r="C25" s="2" t="n">
        <f aca="false">COUNTIF(Fixtures!$H$2:$H$2102,A25)</f>
        <v>2</v>
      </c>
      <c r="D25" s="2" t="n">
        <f aca="false">COUNTIFS(Fixtures!$H$2:$H$2102,A25,Fixtures!$I$2:$I$2102,"H")</f>
        <v>1</v>
      </c>
      <c r="E25" s="2" t="n">
        <f aca="false">COUNTIFS(Fixtures!$H$2:$H$2102,A25,Fixtures!$I$2:$I$2102,"A")</f>
        <v>1</v>
      </c>
      <c r="F25" s="2" t="n">
        <f aca="false">COUNTIFS(Fixtures!$H$2:$H$2102,A25,Fixtures!$I$2:$I$2102,"N")</f>
        <v>0</v>
      </c>
      <c r="G25" s="3" t="n">
        <f aca="false">IF(E25=0,"",_xlfn.MINIFS(Fixtures!$A$2:$A$2102,Fixtures!$H$2:$H$2102,A25,Fixtures!$I$2:$I$2102,"A"))</f>
        <v>41870</v>
      </c>
      <c r="H25" s="3" t="n">
        <f aca="false">IF(E25=0,"",_xlfn.MAXIFS(Fixtures!$A$2:$A$2102,Fixtures!$H$2:$H$2102,A25,Fixtures!$I$2:$I$2102,"A"))</f>
        <v>41870</v>
      </c>
      <c r="I25" s="2" t="s">
        <v>23</v>
      </c>
      <c r="J25" s="4" t="s">
        <v>60</v>
      </c>
    </row>
    <row r="26" customFormat="false" ht="15" hidden="false" customHeight="false" outlineLevel="0" collapsed="false">
      <c r="A26" s="2" t="s">
        <v>61</v>
      </c>
      <c r="B26" s="2" t="s">
        <v>61</v>
      </c>
      <c r="C26" s="2" t="n">
        <f aca="false">COUNTIF(Fixtures!$H$2:$H$2102,A26)</f>
        <v>16</v>
      </c>
      <c r="D26" s="2" t="n">
        <f aca="false">COUNTIFS(Fixtures!$H$2:$H$2102,A26,Fixtures!$I$2:$I$2102,"H")</f>
        <v>8</v>
      </c>
      <c r="E26" s="2" t="n">
        <f aca="false">COUNTIFS(Fixtures!$H$2:$H$2102,A26,Fixtures!$I$2:$I$2102,"A")</f>
        <v>7</v>
      </c>
      <c r="F26" s="2" t="n">
        <f aca="false">COUNTIFS(Fixtures!$H$2:$H$2102,A26,Fixtures!$I$2:$I$2102,"N")</f>
        <v>1</v>
      </c>
      <c r="G26" s="3" t="n">
        <f aca="false">IF(E26=0,"",_xlfn.MINIFS(Fixtures!$A$2:$A$2102,Fixtures!$H$2:$H$2102,A26,Fixtures!$I$2:$I$2102,"A"))</f>
        <v>37633</v>
      </c>
      <c r="H26" s="3" t="n">
        <f aca="false">IF(E26=0,"",_xlfn.MAXIFS(Fixtures!$A$2:$A$2102,Fixtures!$H$2:$H$2102,A26,Fixtures!$I$2:$I$2102,"A"))</f>
        <v>40544</v>
      </c>
      <c r="I26" s="2" t="s">
        <v>62</v>
      </c>
      <c r="J26" s="4"/>
    </row>
    <row r="27" customFormat="false" ht="15" hidden="false" customHeight="false" outlineLevel="0" collapsed="false">
      <c r="A27" s="2" t="s">
        <v>63</v>
      </c>
      <c r="B27" s="2" t="s">
        <v>63</v>
      </c>
      <c r="C27" s="2" t="n">
        <f aca="false">COUNTIF(Fixtures!$H$2:$H$2102,A27)</f>
        <v>43</v>
      </c>
      <c r="D27" s="2" t="n">
        <f aca="false">COUNTIFS(Fixtures!$H$2:$H$2102,A27,Fixtures!$I$2:$I$2102,"H")</f>
        <v>21</v>
      </c>
      <c r="E27" s="2" t="n">
        <f aca="false">COUNTIFS(Fixtures!$H$2:$H$2102,A27,Fixtures!$I$2:$I$2102,"A")</f>
        <v>21</v>
      </c>
      <c r="F27" s="2" t="n">
        <f aca="false">COUNTIFS(Fixtures!$H$2:$H$2102,A27,Fixtures!$I$2:$I$2102,"N")</f>
        <v>1</v>
      </c>
      <c r="G27" s="3" t="n">
        <f aca="false">IF(E27=0,"",_xlfn.MINIFS(Fixtures!$A$2:$A$2102,Fixtures!$H$2:$H$2102,A27,Fixtures!$I$2:$I$2102,"A"))</f>
        <v>33834</v>
      </c>
      <c r="H27" s="3" t="n">
        <f aca="false">IF(E27=0,"",_xlfn.MAXIFS(Fixtures!$A$2:$A$2102,Fixtures!$H$2:$H$2102,A27,Fixtures!$I$2:$I$2102,"A"))</f>
        <v>40803</v>
      </c>
      <c r="I27" s="2" t="s">
        <v>64</v>
      </c>
      <c r="J27" s="4"/>
    </row>
    <row r="28" customFormat="false" ht="15" hidden="false" customHeight="false" outlineLevel="0" collapsed="false">
      <c r="A28" s="2" t="s">
        <v>65</v>
      </c>
      <c r="B28" s="2" t="s">
        <v>65</v>
      </c>
      <c r="C28" s="2" t="n">
        <f aca="false">COUNTIF(Fixtures!$H$2:$H$2102,A28)</f>
        <v>5</v>
      </c>
      <c r="D28" s="2" t="n">
        <f aca="false">COUNTIFS(Fixtures!$H$2:$H$2102,A28,Fixtures!$I$2:$I$2102,"H")</f>
        <v>3</v>
      </c>
      <c r="E28" s="2" t="n">
        <f aca="false">COUNTIFS(Fixtures!$H$2:$H$2102,A28,Fixtures!$I$2:$I$2102,"A")</f>
        <v>2</v>
      </c>
      <c r="F28" s="2" t="n">
        <f aca="false">COUNTIFS(Fixtures!$H$2:$H$2102,A28,Fixtures!$I$2:$I$2102,"N")</f>
        <v>0</v>
      </c>
      <c r="G28" s="3" t="n">
        <f aca="false">IF(E28=0,"",_xlfn.MINIFS(Fixtures!$A$2:$A$2102,Fixtures!$H$2:$H$2102,A28,Fixtures!$I$2:$I$2102,"A"))</f>
        <v>40643</v>
      </c>
      <c r="H28" s="3" t="n">
        <f aca="false">IF(E28=0,"",_xlfn.MAXIFS(Fixtures!$A$2:$A$2102,Fixtures!$H$2:$H$2102,A28,Fixtures!$I$2:$I$2102,"A"))</f>
        <v>43470</v>
      </c>
      <c r="I28" s="2" t="s">
        <v>66</v>
      </c>
      <c r="J28" s="4"/>
    </row>
    <row r="29" customFormat="false" ht="15" hidden="false" customHeight="false" outlineLevel="0" collapsed="false">
      <c r="A29" s="2" t="s">
        <v>67</v>
      </c>
      <c r="B29" s="2" t="s">
        <v>67</v>
      </c>
      <c r="C29" s="2" t="n">
        <f aca="false">COUNTIF(Fixtures!$H$2:$H$2102,A29)</f>
        <v>34</v>
      </c>
      <c r="D29" s="2" t="n">
        <f aca="false">COUNTIFS(Fixtures!$H$2:$H$2102,A29,Fixtures!$I$2:$I$2102,"H")</f>
        <v>17</v>
      </c>
      <c r="E29" s="2" t="n">
        <f aca="false">COUNTIFS(Fixtures!$H$2:$H$2102,A29,Fixtures!$I$2:$I$2102,"A")</f>
        <v>17</v>
      </c>
      <c r="F29" s="2" t="n">
        <f aca="false">COUNTIFS(Fixtures!$H$2:$H$2102,A29,Fixtures!$I$2:$I$2102,"N")</f>
        <v>0</v>
      </c>
      <c r="G29" s="3" t="n">
        <f aca="false">IF(E29=0,"",_xlfn.MINIFS(Fixtures!$A$2:$A$2102,Fixtures!$H$2:$H$2102,A29,Fixtures!$I$2:$I$2102,"A"))</f>
        <v>34365</v>
      </c>
      <c r="H29" s="3" t="n">
        <f aca="false">IF(E29=0,"",_xlfn.MAXIFS(Fixtures!$A$2:$A$2102,Fixtures!$H$2:$H$2102,A29,Fixtures!$I$2:$I$2102,"A"))</f>
        <v>40940</v>
      </c>
      <c r="I29" s="2" t="s">
        <v>68</v>
      </c>
      <c r="J29" s="4" t="s">
        <v>69</v>
      </c>
    </row>
    <row r="30" customFormat="false" ht="15" hidden="false" customHeight="false" outlineLevel="0" collapsed="false">
      <c r="A30" s="2" t="s">
        <v>70</v>
      </c>
      <c r="B30" s="2" t="s">
        <v>70</v>
      </c>
      <c r="C30" s="2" t="n">
        <f aca="false">COUNTIF(Fixtures!$H$2:$H$2102,A30)</f>
        <v>8</v>
      </c>
      <c r="D30" s="2" t="n">
        <f aca="false">COUNTIFS(Fixtures!$H$2:$H$2102,A30,Fixtures!$I$2:$I$2102,"H")</f>
        <v>4</v>
      </c>
      <c r="E30" s="2" t="n">
        <f aca="false">COUNTIFS(Fixtures!$H$2:$H$2102,A30,Fixtures!$I$2:$I$2102,"A")</f>
        <v>4</v>
      </c>
      <c r="F30" s="2" t="n">
        <f aca="false">COUNTIFS(Fixtures!$H$2:$H$2102,A30,Fixtures!$I$2:$I$2102,"N")</f>
        <v>0</v>
      </c>
      <c r="G30" s="3" t="n">
        <f aca="false">IF(E30=0,"",_xlfn.MINIFS(Fixtures!$A$2:$A$2102,Fixtures!$H$2:$H$2102,A30,Fixtures!$I$2:$I$2102,"A"))</f>
        <v>37559</v>
      </c>
      <c r="H30" s="3" t="n">
        <f aca="false">IF(E30=0,"",_xlfn.MAXIFS(Fixtures!$A$2:$A$2102,Fixtures!$H$2:$H$2102,A30,Fixtures!$I$2:$I$2102,"A"))</f>
        <v>41898</v>
      </c>
      <c r="I30" s="2" t="s">
        <v>71</v>
      </c>
      <c r="J30" s="4"/>
    </row>
    <row r="31" customFormat="false" ht="15" hidden="false" customHeight="false" outlineLevel="0" collapsed="false">
      <c r="A31" s="2" t="s">
        <v>72</v>
      </c>
      <c r="B31" s="2" t="s">
        <v>72</v>
      </c>
      <c r="C31" s="2" t="n">
        <f aca="false">COUNTIF(Fixtures!$H$2:$H$2102,A31)</f>
        <v>2</v>
      </c>
      <c r="D31" s="2" t="n">
        <f aca="false">COUNTIFS(Fixtures!$H$2:$H$2102,A31,Fixtures!$I$2:$I$2102,"H")</f>
        <v>1</v>
      </c>
      <c r="E31" s="2" t="n">
        <f aca="false">COUNTIFS(Fixtures!$H$2:$H$2102,A31,Fixtures!$I$2:$I$2102,"A")</f>
        <v>1</v>
      </c>
      <c r="F31" s="2" t="n">
        <f aca="false">COUNTIFS(Fixtures!$H$2:$H$2102,A31,Fixtures!$I$2:$I$2102,"N")</f>
        <v>0</v>
      </c>
      <c r="G31" s="3" t="n">
        <f aca="false">IF(E31=0,"",_xlfn.MINIFS(Fixtures!$A$2:$A$2102,Fixtures!$H$2:$H$2102,A31,Fixtures!$I$2:$I$2102,"A"))</f>
        <v>35333</v>
      </c>
      <c r="H31" s="3" t="n">
        <f aca="false">IF(E31=0,"",_xlfn.MAXIFS(Fixtures!$A$2:$A$2102,Fixtures!$H$2:$H$2102,A31,Fixtures!$I$2:$I$2102,"A"))</f>
        <v>35333</v>
      </c>
      <c r="I31" s="2" t="s">
        <v>73</v>
      </c>
      <c r="J31" s="4"/>
    </row>
    <row r="32" customFormat="false" ht="15" hidden="false" customHeight="false" outlineLevel="0" collapsed="false">
      <c r="A32" s="2" t="s">
        <v>74</v>
      </c>
      <c r="B32" s="2" t="s">
        <v>74</v>
      </c>
      <c r="C32" s="2" t="n">
        <f aca="false">COUNTIF(Fixtures!$H$2:$H$2102,A32)</f>
        <v>5</v>
      </c>
      <c r="D32" s="2" t="n">
        <f aca="false">COUNTIFS(Fixtures!$H$2:$H$2102,A32,Fixtures!$I$2:$I$2102,"H")</f>
        <v>2</v>
      </c>
      <c r="E32" s="2" t="n">
        <f aca="false">COUNTIFS(Fixtures!$H$2:$H$2102,A32,Fixtures!$I$2:$I$2102,"A")</f>
        <v>3</v>
      </c>
      <c r="F32" s="2" t="n">
        <f aca="false">COUNTIFS(Fixtures!$H$2:$H$2102,A32,Fixtures!$I$2:$I$2102,"N")</f>
        <v>0</v>
      </c>
      <c r="G32" s="3" t="n">
        <f aca="false">IF(E32=0,"",_xlfn.MINIFS(Fixtures!$A$2:$A$2102,Fixtures!$H$2:$H$2102,A32,Fixtures!$I$2:$I$2102,"A"))</f>
        <v>36561</v>
      </c>
      <c r="H32" s="3" t="n">
        <f aca="false">IF(E32=0,"",_xlfn.MAXIFS(Fixtures!$A$2:$A$2102,Fixtures!$H$2:$H$2102,A32,Fixtures!$I$2:$I$2102,"A"))</f>
        <v>41254</v>
      </c>
      <c r="I32" s="2" t="s">
        <v>75</v>
      </c>
      <c r="J32" s="4"/>
    </row>
    <row r="33" customFormat="false" ht="15" hidden="false" customHeight="false" outlineLevel="0" collapsed="false">
      <c r="A33" s="2" t="s">
        <v>76</v>
      </c>
      <c r="B33" s="2" t="s">
        <v>76</v>
      </c>
      <c r="C33" s="2" t="n">
        <f aca="false">COUNTIF(Fixtures!$H$2:$H$2102,A33)</f>
        <v>12</v>
      </c>
      <c r="D33" s="2" t="n">
        <f aca="false">COUNTIFS(Fixtures!$H$2:$H$2102,A33,Fixtures!$I$2:$I$2102,"H")</f>
        <v>6</v>
      </c>
      <c r="E33" s="2" t="n">
        <f aca="false">COUNTIFS(Fixtures!$H$2:$H$2102,A33,Fixtures!$I$2:$I$2102,"A")</f>
        <v>6</v>
      </c>
      <c r="F33" s="2" t="n">
        <f aca="false">COUNTIFS(Fixtures!$H$2:$H$2102,A33,Fixtures!$I$2:$I$2102,"N")</f>
        <v>0</v>
      </c>
      <c r="G33" s="3" t="n">
        <f aca="false">IF(E33=0,"",_xlfn.MINIFS(Fixtures!$A$2:$A$2102,Fixtures!$H$2:$H$2102,A33,Fixtures!$I$2:$I$2102,"A"))</f>
        <v>44421</v>
      </c>
      <c r="H33" s="3" t="n">
        <f aca="false">IF(E33=0,"",_xlfn.MAXIFS(Fixtures!$A$2:$A$2102,Fixtures!$H$2:$H$2102,A33,Fixtures!$I$2:$I$2102,"A"))</f>
        <v>46065</v>
      </c>
      <c r="I33" s="2" t="s">
        <v>77</v>
      </c>
      <c r="J33" s="4"/>
    </row>
    <row r="34" customFormat="false" ht="15" hidden="false" customHeight="false" outlineLevel="0" collapsed="false">
      <c r="A34" s="2" t="s">
        <v>78</v>
      </c>
      <c r="B34" s="2" t="s">
        <v>78</v>
      </c>
      <c r="C34" s="2" t="n">
        <f aca="false">COUNTIF(Fixtures!$H$2:$H$2102,A34)</f>
        <v>22</v>
      </c>
      <c r="D34" s="2" t="n">
        <f aca="false">COUNTIFS(Fixtures!$H$2:$H$2102,A34,Fixtures!$I$2:$I$2102,"H")</f>
        <v>11</v>
      </c>
      <c r="E34" s="2" t="n">
        <f aca="false">COUNTIFS(Fixtures!$H$2:$H$2102,A34,Fixtures!$I$2:$I$2102,"A")</f>
        <v>11</v>
      </c>
      <c r="F34" s="2" t="n">
        <f aca="false">COUNTIFS(Fixtures!$H$2:$H$2102,A34,Fixtures!$I$2:$I$2102,"N")</f>
        <v>0</v>
      </c>
      <c r="G34" s="3" t="n">
        <f aca="false">IF(E34=0,"",_xlfn.MINIFS(Fixtures!$A$2:$A$2102,Fixtures!$H$2:$H$2102,A34,Fixtures!$I$2:$I$2102,"A"))</f>
        <v>41300</v>
      </c>
      <c r="H34" s="3" t="n">
        <f aca="false">IF(E34=0,"",_xlfn.MAXIFS(Fixtures!$A$2:$A$2102,Fixtures!$H$2:$H$2102,A34,Fixtures!$I$2:$I$2102,"A"))</f>
        <v>46085</v>
      </c>
      <c r="I34" s="2" t="s">
        <v>79</v>
      </c>
      <c r="J34" s="4"/>
    </row>
    <row r="35" customFormat="false" ht="15" hidden="false" customHeight="false" outlineLevel="0" collapsed="false">
      <c r="A35" s="2" t="s">
        <v>80</v>
      </c>
      <c r="B35" s="2" t="s">
        <v>80</v>
      </c>
      <c r="C35" s="2" t="n">
        <f aca="false">COUNTIF(Fixtures!$H$2:$H$2102,A35)</f>
        <v>2</v>
      </c>
      <c r="D35" s="2" t="n">
        <f aca="false">COUNTIFS(Fixtures!$H$2:$H$2102,A35,Fixtures!$I$2:$I$2102,"H")</f>
        <v>1</v>
      </c>
      <c r="E35" s="2" t="n">
        <f aca="false">COUNTIFS(Fixtures!$H$2:$H$2102,A35,Fixtures!$I$2:$I$2102,"A")</f>
        <v>1</v>
      </c>
      <c r="F35" s="2" t="n">
        <f aca="false">COUNTIFS(Fixtures!$H$2:$H$2102,A35,Fixtures!$I$2:$I$2102,"N")</f>
        <v>0</v>
      </c>
      <c r="G35" s="3" t="n">
        <f aca="false">IF(E35=0,"",_xlfn.MINIFS(Fixtures!$A$2:$A$2102,Fixtures!$H$2:$H$2102,A35,Fixtures!$I$2:$I$2102,"A"))</f>
        <v>34627</v>
      </c>
      <c r="H35" s="3" t="n">
        <f aca="false">IF(E35=0,"",_xlfn.MAXIFS(Fixtures!$A$2:$A$2102,Fixtures!$H$2:$H$2102,A35,Fixtures!$I$2:$I$2102,"A"))</f>
        <v>34627</v>
      </c>
      <c r="I35" s="2" t="s">
        <v>81</v>
      </c>
      <c r="J35" s="4"/>
    </row>
    <row r="36" customFormat="false" ht="15" hidden="false" customHeight="false" outlineLevel="0" collapsed="false">
      <c r="A36" s="2" t="s">
        <v>82</v>
      </c>
      <c r="B36" s="2" t="s">
        <v>82</v>
      </c>
      <c r="C36" s="2" t="n">
        <f aca="false">COUNTIF(Fixtures!$H$2:$H$2102,A36)</f>
        <v>24</v>
      </c>
      <c r="D36" s="2" t="n">
        <f aca="false">COUNTIFS(Fixtures!$H$2:$H$2102,A36,Fixtures!$I$2:$I$2102,"H")</f>
        <v>12</v>
      </c>
      <c r="E36" s="2" t="n">
        <f aca="false">COUNTIFS(Fixtures!$H$2:$H$2102,A36,Fixtures!$I$2:$I$2102,"A")</f>
        <v>12</v>
      </c>
      <c r="F36" s="2" t="n">
        <f aca="false">COUNTIFS(Fixtures!$H$2:$H$2102,A36,Fixtures!$I$2:$I$2102,"N")</f>
        <v>0</v>
      </c>
      <c r="G36" s="3" t="n">
        <f aca="false">IF(E36=0,"",_xlfn.MINIFS(Fixtures!$A$2:$A$2102,Fixtures!$H$2:$H$2102,A36,Fixtures!$I$2:$I$2102,"A"))</f>
        <v>39453</v>
      </c>
      <c r="H36" s="3" t="n">
        <f aca="false">IF(E36=0,"",_xlfn.MAXIFS(Fixtures!$A$2:$A$2102,Fixtures!$H$2:$H$2102,A36,Fixtures!$I$2:$I$2102,"A"))</f>
        <v>45962</v>
      </c>
      <c r="I36" s="2" t="s">
        <v>83</v>
      </c>
      <c r="J36" s="4"/>
    </row>
    <row r="37" customFormat="false" ht="15" hidden="false" customHeight="false" outlineLevel="0" collapsed="false">
      <c r="A37" s="2" t="s">
        <v>84</v>
      </c>
      <c r="B37" s="2" t="s">
        <v>84</v>
      </c>
      <c r="C37" s="2" t="n">
        <f aca="false">COUNTIF(Fixtures!$H$2:$H$2102,A37)</f>
        <v>1</v>
      </c>
      <c r="D37" s="2" t="n">
        <f aca="false">COUNTIFS(Fixtures!$H$2:$H$2102,A37,Fixtures!$I$2:$I$2102,"H")</f>
        <v>1</v>
      </c>
      <c r="E37" s="2" t="n">
        <f aca="false">COUNTIFS(Fixtures!$H$2:$H$2102,A37,Fixtures!$I$2:$I$2102,"A")</f>
        <v>0</v>
      </c>
      <c r="F37" s="2" t="n">
        <f aca="false">COUNTIFS(Fixtures!$H$2:$H$2102,A37,Fixtures!$I$2:$I$2102,"N")</f>
        <v>0</v>
      </c>
      <c r="G37" s="3" t="str">
        <f aca="false">IF(E37=0,"",_xlfn.MINIFS(Fixtures!$A$2:$A$2102,Fixtures!$H$2:$H$2102,A37,Fixtures!$I$2:$I$2102,"A"))</f>
        <v/>
      </c>
      <c r="H37" s="3" t="str">
        <f aca="false">IF(E37=0,"",_xlfn.MAXIFS(Fixtures!$A$2:$A$2102,Fixtures!$H$2:$H$2102,A37,Fixtures!$I$2:$I$2102,"A"))</f>
        <v/>
      </c>
      <c r="I37" s="2"/>
      <c r="J37" s="4"/>
    </row>
    <row r="38" customFormat="false" ht="15" hidden="false" customHeight="false" outlineLevel="0" collapsed="false">
      <c r="A38" s="2" t="s">
        <v>85</v>
      </c>
      <c r="B38" s="2" t="s">
        <v>85</v>
      </c>
      <c r="C38" s="2" t="n">
        <f aca="false">COUNTIF(Fixtures!$H$2:$H$2102,A38)</f>
        <v>7</v>
      </c>
      <c r="D38" s="2" t="n">
        <f aca="false">COUNTIFS(Fixtures!$H$2:$H$2102,A38,Fixtures!$I$2:$I$2102,"H")</f>
        <v>4</v>
      </c>
      <c r="E38" s="2" t="n">
        <f aca="false">COUNTIFS(Fixtures!$H$2:$H$2102,A38,Fixtures!$I$2:$I$2102,"A")</f>
        <v>3</v>
      </c>
      <c r="F38" s="2" t="n">
        <f aca="false">COUNTIFS(Fixtures!$H$2:$H$2102,A38,Fixtures!$I$2:$I$2102,"N")</f>
        <v>0</v>
      </c>
      <c r="G38" s="3" t="n">
        <f aca="false">IF(E38=0,"",_xlfn.MINIFS(Fixtures!$A$2:$A$2102,Fixtures!$H$2:$H$2102,A38,Fixtures!$I$2:$I$2102,"A"))</f>
        <v>39838</v>
      </c>
      <c r="H38" s="3" t="n">
        <f aca="false">IF(E38=0,"",_xlfn.MAXIFS(Fixtures!$A$2:$A$2102,Fixtures!$H$2:$H$2102,A38,Fixtures!$I$2:$I$2102,"A"))</f>
        <v>43345</v>
      </c>
      <c r="I38" s="2" t="s">
        <v>86</v>
      </c>
      <c r="J38" s="4" t="s">
        <v>87</v>
      </c>
    </row>
    <row r="39" customFormat="false" ht="15" hidden="false" customHeight="false" outlineLevel="0" collapsed="false">
      <c r="A39" s="2" t="s">
        <v>88</v>
      </c>
      <c r="B39" s="2" t="s">
        <v>88</v>
      </c>
      <c r="C39" s="2" t="n">
        <f aca="false">COUNTIF(Fixtures!$H$2:$H$2102,A39)</f>
        <v>1</v>
      </c>
      <c r="D39" s="2" t="n">
        <f aca="false">COUNTIFS(Fixtures!$H$2:$H$2102,A39,Fixtures!$I$2:$I$2102,"H")</f>
        <v>0</v>
      </c>
      <c r="E39" s="2" t="n">
        <f aca="false">COUNTIFS(Fixtures!$H$2:$H$2102,A39,Fixtures!$I$2:$I$2102,"A")</f>
        <v>1</v>
      </c>
      <c r="F39" s="2" t="n">
        <f aca="false">COUNTIFS(Fixtures!$H$2:$H$2102,A39,Fixtures!$I$2:$I$2102,"N")</f>
        <v>0</v>
      </c>
      <c r="G39" s="3" t="n">
        <f aca="false">IF(E39=0,"",_xlfn.MINIFS(Fixtures!$A$2:$A$2102,Fixtures!$H$2:$H$2102,A39,Fixtures!$I$2:$I$2102,"A"))</f>
        <v>36897</v>
      </c>
      <c r="H39" s="3" t="n">
        <f aca="false">IF(E39=0,"",_xlfn.MAXIFS(Fixtures!$A$2:$A$2102,Fixtures!$H$2:$H$2102,A39,Fixtures!$I$2:$I$2102,"A"))</f>
        <v>36897</v>
      </c>
      <c r="I39" s="2" t="s">
        <v>89</v>
      </c>
      <c r="J39" s="4"/>
    </row>
    <row r="40" customFormat="false" ht="15" hidden="false" customHeight="false" outlineLevel="0" collapsed="false">
      <c r="A40" s="2" t="s">
        <v>90</v>
      </c>
      <c r="B40" s="2" t="s">
        <v>90</v>
      </c>
      <c r="C40" s="2" t="n">
        <f aca="false">COUNTIF(Fixtures!$H$2:$H$2102,A40)</f>
        <v>2</v>
      </c>
      <c r="D40" s="2" t="n">
        <f aca="false">COUNTIFS(Fixtures!$H$2:$H$2102,A40,Fixtures!$I$2:$I$2102,"H")</f>
        <v>1</v>
      </c>
      <c r="E40" s="2" t="n">
        <f aca="false">COUNTIFS(Fixtures!$H$2:$H$2102,A40,Fixtures!$I$2:$I$2102,"A")</f>
        <v>1</v>
      </c>
      <c r="F40" s="2" t="n">
        <f aca="false">COUNTIFS(Fixtures!$H$2:$H$2102,A40,Fixtures!$I$2:$I$2102,"N")</f>
        <v>0</v>
      </c>
      <c r="G40" s="3" t="n">
        <f aca="false">IF(E40=0,"",_xlfn.MINIFS(Fixtures!$A$2:$A$2102,Fixtures!$H$2:$H$2102,A40,Fixtures!$I$2:$I$2102,"A"))</f>
        <v>38041</v>
      </c>
      <c r="H40" s="3" t="n">
        <f aca="false">IF(E40=0,"",_xlfn.MAXIFS(Fixtures!$A$2:$A$2102,Fixtures!$H$2:$H$2102,A40,Fixtures!$I$2:$I$2102,"A"))</f>
        <v>38041</v>
      </c>
      <c r="I40" s="2" t="s">
        <v>91</v>
      </c>
      <c r="J40" s="4"/>
    </row>
    <row r="41" customFormat="false" ht="15" hidden="false" customHeight="false" outlineLevel="0" collapsed="false">
      <c r="A41" s="2" t="s">
        <v>92</v>
      </c>
      <c r="B41" s="2" t="s">
        <v>92</v>
      </c>
      <c r="C41" s="2" t="n">
        <f aca="false">COUNTIF(Fixtures!$H$2:$H$2102,A41)</f>
        <v>2</v>
      </c>
      <c r="D41" s="2" t="n">
        <f aca="false">COUNTIFS(Fixtures!$H$2:$H$2102,A41,Fixtures!$I$2:$I$2102,"H")</f>
        <v>1</v>
      </c>
      <c r="E41" s="2" t="n">
        <f aca="false">COUNTIFS(Fixtures!$H$2:$H$2102,A41,Fixtures!$I$2:$I$2102,"A")</f>
        <v>1</v>
      </c>
      <c r="F41" s="2" t="n">
        <f aca="false">COUNTIFS(Fixtures!$H$2:$H$2102,A41,Fixtures!$I$2:$I$2102,"N")</f>
        <v>0</v>
      </c>
      <c r="G41" s="3" t="n">
        <f aca="false">IF(E41=0,"",_xlfn.MINIFS(Fixtures!$A$2:$A$2102,Fixtures!$H$2:$H$2102,A41,Fixtures!$I$2:$I$2102,"A"))</f>
        <v>40043</v>
      </c>
      <c r="H41" s="3" t="n">
        <f aca="false">IF(E41=0,"",_xlfn.MAXIFS(Fixtures!$A$2:$A$2102,Fixtures!$H$2:$H$2102,A41,Fixtures!$I$2:$I$2102,"A"))</f>
        <v>40043</v>
      </c>
      <c r="I41" s="2" t="s">
        <v>42</v>
      </c>
      <c r="J41" s="4"/>
    </row>
    <row r="42" customFormat="false" ht="15" hidden="false" customHeight="false" outlineLevel="0" collapsed="false">
      <c r="A42" s="2" t="s">
        <v>93</v>
      </c>
      <c r="B42" s="2" t="s">
        <v>93</v>
      </c>
      <c r="C42" s="2" t="n">
        <f aca="false">COUNTIF(Fixtures!$H$2:$H$2102,A42)</f>
        <v>20</v>
      </c>
      <c r="D42" s="2" t="n">
        <f aca="false">COUNTIFS(Fixtures!$H$2:$H$2102,A42,Fixtures!$I$2:$I$2102,"H")</f>
        <v>10</v>
      </c>
      <c r="E42" s="2" t="n">
        <f aca="false">COUNTIFS(Fixtures!$H$2:$H$2102,A42,Fixtures!$I$2:$I$2102,"A")</f>
        <v>10</v>
      </c>
      <c r="F42" s="2" t="n">
        <f aca="false">COUNTIFS(Fixtures!$H$2:$H$2102,A42,Fixtures!$I$2:$I$2102,"N")</f>
        <v>0</v>
      </c>
      <c r="G42" s="3" t="n">
        <f aca="false">IF(E42=0,"",_xlfn.MINIFS(Fixtures!$A$2:$A$2102,Fixtures!$H$2:$H$2102,A42,Fixtures!$I$2:$I$2102,"A"))</f>
        <v>32503</v>
      </c>
      <c r="H42" s="3" t="n">
        <f aca="false">IF(E42=0,"",_xlfn.MAXIFS(Fixtures!$A$2:$A$2102,Fixtures!$H$2:$H$2102,A42,Fixtures!$I$2:$I$2102,"A"))</f>
        <v>38990</v>
      </c>
      <c r="I42" s="2" t="s">
        <v>94</v>
      </c>
      <c r="J42" s="4" t="s">
        <v>95</v>
      </c>
    </row>
    <row r="43" customFormat="false" ht="15" hidden="false" customHeight="false" outlineLevel="0" collapsed="false">
      <c r="A43" s="2" t="s">
        <v>96</v>
      </c>
      <c r="B43" s="2" t="s">
        <v>96</v>
      </c>
      <c r="C43" s="2" t="n">
        <f aca="false">COUNTIF(Fixtures!$H$2:$H$2102,A43)</f>
        <v>97</v>
      </c>
      <c r="D43" s="2" t="n">
        <f aca="false">COUNTIFS(Fixtures!$H$2:$H$2102,A43,Fixtures!$I$2:$I$2102,"H")</f>
        <v>46</v>
      </c>
      <c r="E43" s="2" t="n">
        <f aca="false">COUNTIFS(Fixtures!$H$2:$H$2102,A43,Fixtures!$I$2:$I$2102,"A")</f>
        <v>42</v>
      </c>
      <c r="F43" s="2" t="n">
        <f aca="false">COUNTIFS(Fixtures!$H$2:$H$2102,A43,Fixtures!$I$2:$I$2102,"N")</f>
        <v>9</v>
      </c>
      <c r="G43" s="3" t="n">
        <f aca="false">IF(E43=0,"",_xlfn.MINIFS(Fixtures!$A$2:$A$2102,Fixtures!$H$2:$H$2102,A43,Fixtures!$I$2:$I$2102,"A"))</f>
        <v>32781</v>
      </c>
      <c r="H43" s="3" t="n">
        <f aca="false">IF(E43=0,"",_xlfn.MAXIFS(Fixtures!$A$2:$A$2102,Fixtures!$H$2:$H$2102,A43,Fixtures!$I$2:$I$2102,"A"))</f>
        <v>46036</v>
      </c>
      <c r="I43" s="2" t="s">
        <v>97</v>
      </c>
      <c r="J43" s="4"/>
    </row>
    <row r="44" customFormat="false" ht="15" hidden="false" customHeight="false" outlineLevel="0" collapsed="false">
      <c r="A44" s="2" t="s">
        <v>98</v>
      </c>
      <c r="B44" s="2" t="s">
        <v>98</v>
      </c>
      <c r="C44" s="2" t="n">
        <f aca="false">COUNTIF(Fixtures!$H$2:$H$2102,A44)</f>
        <v>2</v>
      </c>
      <c r="D44" s="2" t="n">
        <f aca="false">COUNTIFS(Fixtures!$H$2:$H$2102,A44,Fixtures!$I$2:$I$2102,"H")</f>
        <v>1</v>
      </c>
      <c r="E44" s="2" t="n">
        <f aca="false">COUNTIFS(Fixtures!$H$2:$H$2102,A44,Fixtures!$I$2:$I$2102,"A")</f>
        <v>1</v>
      </c>
      <c r="F44" s="2" t="n">
        <f aca="false">COUNTIFS(Fixtures!$H$2:$H$2102,A44,Fixtures!$I$2:$I$2102,"N")</f>
        <v>0</v>
      </c>
      <c r="G44" s="3" t="n">
        <f aca="false">IF(E44=0,"",_xlfn.MINIFS(Fixtures!$A$2:$A$2102,Fixtures!$H$2:$H$2102,A44,Fixtures!$I$2:$I$2102,"A"))</f>
        <v>33141</v>
      </c>
      <c r="H44" s="3" t="n">
        <f aca="false">IF(E44=0,"",_xlfn.MAXIFS(Fixtures!$A$2:$A$2102,Fixtures!$H$2:$H$2102,A44,Fixtures!$I$2:$I$2102,"A"))</f>
        <v>33141</v>
      </c>
      <c r="I44" s="2" t="s">
        <v>99</v>
      </c>
      <c r="J44" s="4" t="s">
        <v>100</v>
      </c>
    </row>
    <row r="45" customFormat="false" ht="15" hidden="false" customHeight="false" outlineLevel="0" collapsed="false">
      <c r="A45" s="2" t="s">
        <v>101</v>
      </c>
      <c r="B45" s="2" t="s">
        <v>101</v>
      </c>
      <c r="C45" s="2" t="n">
        <f aca="false">COUNTIF(Fixtures!$H$2:$H$2102,A45)</f>
        <v>1</v>
      </c>
      <c r="D45" s="2" t="n">
        <f aca="false">COUNTIFS(Fixtures!$H$2:$H$2102,A45,Fixtures!$I$2:$I$2102,"H")</f>
        <v>0</v>
      </c>
      <c r="E45" s="2" t="n">
        <f aca="false">COUNTIFS(Fixtures!$H$2:$H$2102,A45,Fixtures!$I$2:$I$2102,"A")</f>
        <v>1</v>
      </c>
      <c r="F45" s="2" t="n">
        <f aca="false">COUNTIFS(Fixtures!$H$2:$H$2102,A45,Fixtures!$I$2:$I$2102,"N")</f>
        <v>0</v>
      </c>
      <c r="G45" s="3" t="n">
        <f aca="false">IF(E45=0,"",_xlfn.MINIFS(Fixtures!$A$2:$A$2102,Fixtures!$H$2:$H$2102,A45,Fixtures!$I$2:$I$2102,"A"))</f>
        <v>46001</v>
      </c>
      <c r="H45" s="3" t="n">
        <f aca="false">IF(E45=0,"",_xlfn.MAXIFS(Fixtures!$A$2:$A$2102,Fixtures!$H$2:$H$2102,A45,Fixtures!$I$2:$I$2102,"A"))</f>
        <v>46001</v>
      </c>
      <c r="I45" s="2" t="s">
        <v>32</v>
      </c>
      <c r="J45" s="4"/>
    </row>
    <row r="46" customFormat="false" ht="15" hidden="false" customHeight="false" outlineLevel="0" collapsed="false">
      <c r="A46" s="2" t="s">
        <v>102</v>
      </c>
      <c r="B46" s="2" t="s">
        <v>102</v>
      </c>
      <c r="C46" s="2" t="n">
        <f aca="false">COUNTIF(Fixtures!$H$2:$H$2102,A46)</f>
        <v>30</v>
      </c>
      <c r="D46" s="2" t="n">
        <f aca="false">COUNTIFS(Fixtures!$H$2:$H$2102,A46,Fixtures!$I$2:$I$2102,"H")</f>
        <v>16</v>
      </c>
      <c r="E46" s="2" t="n">
        <f aca="false">COUNTIFS(Fixtures!$H$2:$H$2102,A46,Fixtures!$I$2:$I$2102,"A")</f>
        <v>14</v>
      </c>
      <c r="F46" s="2" t="n">
        <f aca="false">COUNTIFS(Fixtures!$H$2:$H$2102,A46,Fixtures!$I$2:$I$2102,"N")</f>
        <v>0</v>
      </c>
      <c r="G46" s="3" t="n">
        <f aca="false">IF(E46=0,"",_xlfn.MINIFS(Fixtures!$A$2:$A$2102,Fixtures!$H$2:$H$2102,A46,Fixtures!$I$2:$I$2102,"A"))</f>
        <v>32560</v>
      </c>
      <c r="H46" s="3" t="n">
        <f aca="false">IF(E46=0,"",_xlfn.MAXIFS(Fixtures!$A$2:$A$2102,Fixtures!$H$2:$H$2102,A46,Fixtures!$I$2:$I$2102,"A"))</f>
        <v>36925</v>
      </c>
      <c r="I46" s="2" t="s">
        <v>103</v>
      </c>
      <c r="J46" s="4"/>
    </row>
    <row r="47" customFormat="false" ht="15" hidden="false" customHeight="false" outlineLevel="0" collapsed="false">
      <c r="A47" s="2" t="s">
        <v>104</v>
      </c>
      <c r="B47" s="2" t="s">
        <v>104</v>
      </c>
      <c r="C47" s="2" t="n">
        <f aca="false">COUNTIF(Fixtures!$H$2:$H$2102,A47)</f>
        <v>2</v>
      </c>
      <c r="D47" s="2" t="n">
        <f aca="false">COUNTIFS(Fixtures!$H$2:$H$2102,A47,Fixtures!$I$2:$I$2102,"H")</f>
        <v>1</v>
      </c>
      <c r="E47" s="2" t="n">
        <f aca="false">COUNTIFS(Fixtures!$H$2:$H$2102,A47,Fixtures!$I$2:$I$2102,"A")</f>
        <v>1</v>
      </c>
      <c r="F47" s="2" t="n">
        <f aca="false">COUNTIFS(Fixtures!$H$2:$H$2102,A47,Fixtures!$I$2:$I$2102,"N")</f>
        <v>0</v>
      </c>
      <c r="G47" s="3" t="n">
        <f aca="false">IF(E47=0,"",_xlfn.MINIFS(Fixtures!$A$2:$A$2102,Fixtures!$H$2:$H$2102,A47,Fixtures!$I$2:$I$2102,"A"))</f>
        <v>43027</v>
      </c>
      <c r="H47" s="3" t="n">
        <f aca="false">IF(E47=0,"",_xlfn.MAXIFS(Fixtures!$A$2:$A$2102,Fixtures!$H$2:$H$2102,A47,Fixtures!$I$2:$I$2102,"A"))</f>
        <v>43027</v>
      </c>
      <c r="I47" s="2" t="s">
        <v>11</v>
      </c>
      <c r="J47" s="4"/>
    </row>
    <row r="48" customFormat="false" ht="15" hidden="false" customHeight="false" outlineLevel="0" collapsed="false">
      <c r="A48" s="2" t="s">
        <v>105</v>
      </c>
      <c r="B48" s="2" t="s">
        <v>105</v>
      </c>
      <c r="C48" s="2" t="n">
        <f aca="false">COUNTIF(Fixtures!$H$2:$H$2102,A48)</f>
        <v>46</v>
      </c>
      <c r="D48" s="2" t="n">
        <f aca="false">COUNTIFS(Fixtures!$H$2:$H$2102,A48,Fixtures!$I$2:$I$2102,"H")</f>
        <v>24</v>
      </c>
      <c r="E48" s="2" t="n">
        <f aca="false">COUNTIFS(Fixtures!$H$2:$H$2102,A48,Fixtures!$I$2:$I$2102,"A")</f>
        <v>22</v>
      </c>
      <c r="F48" s="2" t="n">
        <f aca="false">COUNTIFS(Fixtures!$H$2:$H$2102,A48,Fixtures!$I$2:$I$2102,"N")</f>
        <v>0</v>
      </c>
      <c r="G48" s="3" t="n">
        <f aca="false">IF(E48=0,"",_xlfn.MINIFS(Fixtures!$A$2:$A$2102,Fixtures!$H$2:$H$2102,A48,Fixtures!$I$2:$I$2102,"A"))</f>
        <v>32977</v>
      </c>
      <c r="H48" s="3" t="n">
        <f aca="false">IF(E48=0,"",_xlfn.MAXIFS(Fixtures!$A$2:$A$2102,Fixtures!$H$2:$H$2102,A48,Fixtures!$I$2:$I$2102,"A"))</f>
        <v>46166</v>
      </c>
      <c r="I48" s="2" t="s">
        <v>106</v>
      </c>
      <c r="J48" s="4"/>
    </row>
    <row r="49" customFormat="false" ht="15" hidden="false" customHeight="false" outlineLevel="0" collapsed="false">
      <c r="A49" s="2" t="s">
        <v>107</v>
      </c>
      <c r="B49" s="5" t="s">
        <v>107</v>
      </c>
      <c r="C49" s="2" t="n">
        <f aca="false">COUNTIF(Fixtures!$H$2:$H$2102,A49)</f>
        <v>2</v>
      </c>
      <c r="D49" s="2" t="n">
        <f aca="false">COUNTIFS(Fixtures!$H$2:$H$2102,A49,Fixtures!$I$2:$I$2102,"H")</f>
        <v>1</v>
      </c>
      <c r="E49" s="2" t="n">
        <f aca="false">COUNTIFS(Fixtures!$H$2:$H$2102,A49,Fixtures!$I$2:$I$2102,"A")</f>
        <v>1</v>
      </c>
      <c r="F49" s="2" t="n">
        <f aca="false">COUNTIFS(Fixtures!$H$2:$H$2102,A49,Fixtures!$I$2:$I$2102,"N")</f>
        <v>0</v>
      </c>
      <c r="G49" s="3" t="n">
        <f aca="false">IF(E49=0,"",_xlfn.MINIFS(Fixtures!$A$2:$A$2102,Fixtures!$H$2:$H$2102,A49,Fixtures!$I$2:$I$2102,"A"))</f>
        <v>43202</v>
      </c>
      <c r="H49" s="3" t="n">
        <f aca="false">IF(E49=0,"",_xlfn.MAXIFS(Fixtures!$A$2:$A$2102,Fixtures!$H$2:$H$2102,A49,Fixtures!$I$2:$I$2102,"A"))</f>
        <v>43202</v>
      </c>
      <c r="I49" s="2" t="s">
        <v>11</v>
      </c>
      <c r="J49" s="4" t="s">
        <v>108</v>
      </c>
    </row>
    <row r="50" customFormat="false" ht="15" hidden="false" customHeight="false" outlineLevel="0" collapsed="false">
      <c r="A50" s="2" t="s">
        <v>109</v>
      </c>
      <c r="B50" s="5" t="s">
        <v>107</v>
      </c>
      <c r="C50" s="2" t="n">
        <f aca="false">COUNTIF(Fixtures!$H$2:$H$2102,A50)</f>
        <v>2</v>
      </c>
      <c r="D50" s="2" t="n">
        <f aca="false">COUNTIFS(Fixtures!$H$2:$H$2102,A50,Fixtures!$I$2:$I$2102,"H")</f>
        <v>1</v>
      </c>
      <c r="E50" s="2" t="n">
        <f aca="false">COUNTIFS(Fixtures!$H$2:$H$2102,A50,Fixtures!$I$2:$I$2102,"A")</f>
        <v>1</v>
      </c>
      <c r="F50" s="2" t="n">
        <f aca="false">COUNTIFS(Fixtures!$H$2:$H$2102,A50,Fixtures!$I$2:$I$2102,"N")</f>
        <v>0</v>
      </c>
      <c r="G50" s="3" t="n">
        <f aca="false">IF(E50=0,"",_xlfn.MINIFS(Fixtures!$A$2:$A$2102,Fixtures!$H$2:$H$2102,A50,Fixtures!$I$2:$I$2102,"A"))</f>
        <v>39007</v>
      </c>
      <c r="H50" s="3" t="n">
        <f aca="false">IF(E50=0,"",_xlfn.MAXIFS(Fixtures!$A$2:$A$2102,Fixtures!$H$2:$H$2102,A50,Fixtures!$I$2:$I$2102,"A"))</f>
        <v>39007</v>
      </c>
      <c r="I50" s="2" t="s">
        <v>110</v>
      </c>
      <c r="J50" s="4" t="s">
        <v>111</v>
      </c>
    </row>
    <row r="51" customFormat="false" ht="15" hidden="false" customHeight="false" outlineLevel="0" collapsed="false">
      <c r="A51" s="2" t="s">
        <v>112</v>
      </c>
      <c r="B51" s="5" t="s">
        <v>112</v>
      </c>
      <c r="C51" s="2" t="n">
        <f aca="false">COUNTIF(Fixtures!$H$2:$H$2102,A51)</f>
        <v>2</v>
      </c>
      <c r="D51" s="2" t="n">
        <f aca="false">COUNTIFS(Fixtures!$H$2:$H$2102,A51,Fixtures!$I$2:$I$2102,"H")</f>
        <v>1</v>
      </c>
      <c r="E51" s="2" t="n">
        <f aca="false">COUNTIFS(Fixtures!$H$2:$H$2102,A51,Fixtures!$I$2:$I$2102,"A")</f>
        <v>1</v>
      </c>
      <c r="F51" s="2" t="n">
        <f aca="false">COUNTIFS(Fixtures!$H$2:$H$2102,A51,Fixtures!$I$2:$I$2102,"N")</f>
        <v>0</v>
      </c>
      <c r="G51" s="3" t="n">
        <f aca="false">IF(E51=0,"",_xlfn.MINIFS(Fixtures!$A$2:$A$2102,Fixtures!$H$2:$H$2102,A51,Fixtures!$I$2:$I$2102,"A"))</f>
        <v>36594</v>
      </c>
      <c r="H51" s="3" t="n">
        <f aca="false">IF(E51=0,"",_xlfn.MAXIFS(Fixtures!$A$2:$A$2102,Fixtures!$H$2:$H$2102,A51,Fixtures!$I$2:$I$2102,"A"))</f>
        <v>36594</v>
      </c>
      <c r="I51" s="2" t="s">
        <v>19</v>
      </c>
      <c r="J51" s="4" t="s">
        <v>113</v>
      </c>
    </row>
    <row r="52" customFormat="false" ht="15" hidden="false" customHeight="false" outlineLevel="0" collapsed="false">
      <c r="A52" s="2" t="s">
        <v>114</v>
      </c>
      <c r="B52" s="5" t="s">
        <v>112</v>
      </c>
      <c r="C52" s="2" t="n">
        <f aca="false">COUNTIF(Fixtures!$H$2:$H$2102,A52)</f>
        <v>2</v>
      </c>
      <c r="D52" s="2" t="n">
        <f aca="false">COUNTIFS(Fixtures!$H$2:$H$2102,A52,Fixtures!$I$2:$I$2102,"H")</f>
        <v>1</v>
      </c>
      <c r="E52" s="2" t="n">
        <f aca="false">COUNTIFS(Fixtures!$H$2:$H$2102,A52,Fixtures!$I$2:$I$2102,"A")</f>
        <v>1</v>
      </c>
      <c r="F52" s="2" t="n">
        <f aca="false">COUNTIFS(Fixtures!$H$2:$H$2102,A52,Fixtures!$I$2:$I$2102,"N")</f>
        <v>0</v>
      </c>
      <c r="G52" s="3" t="n">
        <f aca="false">IF(E52=0,"",_xlfn.MINIFS(Fixtures!$A$2:$A$2102,Fixtures!$H$2:$H$2102,A52,Fixtures!$I$2:$I$2102,"A"))</f>
        <v>37216</v>
      </c>
      <c r="H52" s="3" t="n">
        <f aca="false">IF(E52=0,"",_xlfn.MAXIFS(Fixtures!$A$2:$A$2102,Fixtures!$H$2:$H$2102,A52,Fixtures!$I$2:$I$2102,"A"))</f>
        <v>37216</v>
      </c>
      <c r="I52" s="2" t="s">
        <v>115</v>
      </c>
      <c r="J52" s="4" t="s">
        <v>116</v>
      </c>
    </row>
    <row r="53" customFormat="false" ht="15" hidden="false" customHeight="false" outlineLevel="0" collapsed="false">
      <c r="A53" s="2" t="s">
        <v>117</v>
      </c>
      <c r="B53" s="2" t="s">
        <v>117</v>
      </c>
      <c r="C53" s="2" t="n">
        <f aca="false">COUNTIF(Fixtures!$H$2:$H$2102,A53)</f>
        <v>24</v>
      </c>
      <c r="D53" s="2" t="n">
        <f aca="false">COUNTIFS(Fixtures!$H$2:$H$2102,A53,Fixtures!$I$2:$I$2102,"H")</f>
        <v>12</v>
      </c>
      <c r="E53" s="2" t="n">
        <f aca="false">COUNTIFS(Fixtures!$H$2:$H$2102,A53,Fixtures!$I$2:$I$2102,"A")</f>
        <v>12</v>
      </c>
      <c r="F53" s="2" t="n">
        <f aca="false">COUNTIFS(Fixtures!$H$2:$H$2102,A53,Fixtures!$I$2:$I$2102,"N")</f>
        <v>0</v>
      </c>
      <c r="G53" s="3" t="n">
        <f aca="false">IF(E53=0,"",_xlfn.MINIFS(Fixtures!$A$2:$A$2102,Fixtures!$H$2:$H$2102,A53,Fixtures!$I$2:$I$2102,"A"))</f>
        <v>32473</v>
      </c>
      <c r="H53" s="3" t="n">
        <f aca="false">IF(E53=0,"",_xlfn.MAXIFS(Fixtures!$A$2:$A$2102,Fixtures!$H$2:$H$2102,A53,Fixtures!$I$2:$I$2102,"A"))</f>
        <v>39566</v>
      </c>
      <c r="I53" s="2" t="s">
        <v>118</v>
      </c>
      <c r="J53" s="4" t="s">
        <v>119</v>
      </c>
    </row>
    <row r="54" customFormat="false" ht="15" hidden="false" customHeight="false" outlineLevel="0" collapsed="false">
      <c r="A54" s="2" t="s">
        <v>120</v>
      </c>
      <c r="B54" s="2" t="s">
        <v>120</v>
      </c>
      <c r="C54" s="2" t="n">
        <f aca="false">COUNTIF(Fixtures!$H$2:$H$2102,A54)</f>
        <v>5</v>
      </c>
      <c r="D54" s="2" t="n">
        <f aca="false">COUNTIFS(Fixtures!$H$2:$H$2102,A54,Fixtures!$I$2:$I$2102,"H")</f>
        <v>3</v>
      </c>
      <c r="E54" s="2" t="n">
        <f aca="false">COUNTIFS(Fixtures!$H$2:$H$2102,A54,Fixtures!$I$2:$I$2102,"A")</f>
        <v>2</v>
      </c>
      <c r="F54" s="2" t="n">
        <f aca="false">COUNTIFS(Fixtures!$H$2:$H$2102,A54,Fixtures!$I$2:$I$2102,"N")</f>
        <v>0</v>
      </c>
      <c r="G54" s="3" t="n">
        <f aca="false">IF(E54=0,"",_xlfn.MINIFS(Fixtures!$A$2:$A$2102,Fixtures!$H$2:$H$2102,A54,Fixtures!$I$2:$I$2102,"A"))</f>
        <v>38937</v>
      </c>
      <c r="H54" s="3" t="n">
        <f aca="false">IF(E54=0,"",_xlfn.MAXIFS(Fixtures!$A$2:$A$2102,Fixtures!$H$2:$H$2102,A54,Fixtures!$I$2:$I$2102,"A"))</f>
        <v>42263</v>
      </c>
      <c r="I54" s="2" t="s">
        <v>121</v>
      </c>
      <c r="J54" s="4"/>
    </row>
    <row r="55" customFormat="false" ht="15" hidden="false" customHeight="false" outlineLevel="0" collapsed="false">
      <c r="A55" s="2" t="s">
        <v>122</v>
      </c>
      <c r="B55" s="2" t="s">
        <v>122</v>
      </c>
      <c r="C55" s="2" t="n">
        <f aca="false">COUNTIF(Fixtures!$H$2:$H$2102,A55)</f>
        <v>2</v>
      </c>
      <c r="D55" s="2" t="n">
        <f aca="false">COUNTIFS(Fixtures!$H$2:$H$2102,A55,Fixtures!$I$2:$I$2102,"H")</f>
        <v>1</v>
      </c>
      <c r="E55" s="2" t="n">
        <f aca="false">COUNTIFS(Fixtures!$H$2:$H$2102,A55,Fixtures!$I$2:$I$2102,"A")</f>
        <v>1</v>
      </c>
      <c r="F55" s="2" t="n">
        <f aca="false">COUNTIFS(Fixtures!$H$2:$H$2102,A55,Fixtures!$I$2:$I$2102,"N")</f>
        <v>0</v>
      </c>
      <c r="G55" s="3" t="n">
        <f aca="false">IF(E55=0,"",_xlfn.MINIFS(Fixtures!$A$2:$A$2102,Fixtures!$H$2:$H$2102,A55,Fixtures!$I$2:$I$2102,"A"))</f>
        <v>38707</v>
      </c>
      <c r="H55" s="3" t="n">
        <f aca="false">IF(E55=0,"",_xlfn.MAXIFS(Fixtures!$A$2:$A$2102,Fixtures!$H$2:$H$2102,A55,Fixtures!$I$2:$I$2102,"A"))</f>
        <v>38707</v>
      </c>
      <c r="I55" s="2" t="s">
        <v>123</v>
      </c>
      <c r="J55" s="4"/>
    </row>
    <row r="56" customFormat="false" ht="15" hidden="false" customHeight="false" outlineLevel="0" collapsed="false">
      <c r="A56" s="2" t="s">
        <v>124</v>
      </c>
      <c r="B56" s="2" t="s">
        <v>124</v>
      </c>
      <c r="C56" s="2" t="n">
        <f aca="false">COUNTIF(Fixtures!$H$2:$H$2102,A56)</f>
        <v>2</v>
      </c>
      <c r="D56" s="2" t="n">
        <f aca="false">COUNTIFS(Fixtures!$H$2:$H$2102,A56,Fixtures!$I$2:$I$2102,"H")</f>
        <v>1</v>
      </c>
      <c r="E56" s="2" t="n">
        <f aca="false">COUNTIFS(Fixtures!$H$2:$H$2102,A56,Fixtures!$I$2:$I$2102,"A")</f>
        <v>1</v>
      </c>
      <c r="F56" s="2" t="n">
        <f aca="false">COUNTIFS(Fixtures!$H$2:$H$2102,A56,Fixtures!$I$2:$I$2102,"N")</f>
        <v>0</v>
      </c>
      <c r="G56" s="3" t="n">
        <f aca="false">IF(E56=0,"",_xlfn.MINIFS(Fixtures!$A$2:$A$2102,Fixtures!$H$2:$H$2102,A56,Fixtures!$I$2:$I$2102,"A"))</f>
        <v>44175</v>
      </c>
      <c r="H56" s="3" t="n">
        <f aca="false">IF(E56=0,"",_xlfn.MAXIFS(Fixtures!$A$2:$A$2102,Fixtures!$H$2:$H$2102,A56,Fixtures!$I$2:$I$2102,"A"))</f>
        <v>44175</v>
      </c>
      <c r="I56" s="2" t="s">
        <v>125</v>
      </c>
      <c r="J56" s="4" t="s">
        <v>126</v>
      </c>
    </row>
    <row r="57" customFormat="false" ht="15" hidden="false" customHeight="false" outlineLevel="0" collapsed="false">
      <c r="A57" s="2" t="s">
        <v>127</v>
      </c>
      <c r="B57" s="2" t="s">
        <v>127</v>
      </c>
      <c r="C57" s="2" t="n">
        <f aca="false">COUNTIF(Fixtures!$H$2:$H$2102,A57)</f>
        <v>6</v>
      </c>
      <c r="D57" s="2" t="n">
        <f aca="false">COUNTIFS(Fixtures!$H$2:$H$2102,A57,Fixtures!$I$2:$I$2102,"H")</f>
        <v>3</v>
      </c>
      <c r="E57" s="2" t="n">
        <f aca="false">COUNTIFS(Fixtures!$H$2:$H$2102,A57,Fixtures!$I$2:$I$2102,"A")</f>
        <v>3</v>
      </c>
      <c r="F57" s="2" t="n">
        <f aca="false">COUNTIFS(Fixtures!$H$2:$H$2102,A57,Fixtures!$I$2:$I$2102,"N")</f>
        <v>0</v>
      </c>
      <c r="G57" s="3" t="n">
        <f aca="false">IF(E57=0,"",_xlfn.MINIFS(Fixtures!$A$2:$A$2102,Fixtures!$H$2:$H$2102,A57,Fixtures!$I$2:$I$2102,"A"))</f>
        <v>36103</v>
      </c>
      <c r="H57" s="3" t="n">
        <f aca="false">IF(E57=0,"",_xlfn.MAXIFS(Fixtures!$A$2:$A$2102,Fixtures!$H$2:$H$2102,A57,Fixtures!$I$2:$I$2102,"A"))</f>
        <v>39708</v>
      </c>
      <c r="I57" s="2" t="s">
        <v>128</v>
      </c>
      <c r="J57" s="4"/>
    </row>
    <row r="58" customFormat="false" ht="15" hidden="false" customHeight="false" outlineLevel="0" collapsed="false">
      <c r="A58" s="2" t="s">
        <v>129</v>
      </c>
      <c r="B58" s="2" t="s">
        <v>129</v>
      </c>
      <c r="C58" s="2" t="n">
        <f aca="false">COUNTIF(Fixtures!$H$2:$H$2102,A58)</f>
        <v>2</v>
      </c>
      <c r="D58" s="2" t="n">
        <f aca="false">COUNTIFS(Fixtures!$H$2:$H$2102,A58,Fixtures!$I$2:$I$2102,"H")</f>
        <v>1</v>
      </c>
      <c r="E58" s="2" t="n">
        <f aca="false">COUNTIFS(Fixtures!$H$2:$H$2102,A58,Fixtures!$I$2:$I$2102,"A")</f>
        <v>1</v>
      </c>
      <c r="F58" s="2" t="n">
        <f aca="false">COUNTIFS(Fixtures!$H$2:$H$2102,A58,Fixtures!$I$2:$I$2102,"N")</f>
        <v>0</v>
      </c>
      <c r="G58" s="3" t="n">
        <f aca="false">IF(E58=0,"",_xlfn.MINIFS(Fixtures!$A$2:$A$2102,Fixtures!$H$2:$H$2102,A58,Fixtures!$I$2:$I$2102,"A"))</f>
        <v>43727</v>
      </c>
      <c r="H58" s="3" t="n">
        <f aca="false">IF(E58=0,"",_xlfn.MAXIFS(Fixtures!$A$2:$A$2102,Fixtures!$H$2:$H$2102,A58,Fixtures!$I$2:$I$2102,"A"))</f>
        <v>43727</v>
      </c>
      <c r="I58" s="2" t="s">
        <v>130</v>
      </c>
      <c r="J58" s="4"/>
    </row>
    <row r="59" customFormat="false" ht="15" hidden="false" customHeight="false" outlineLevel="0" collapsed="false">
      <c r="A59" s="2" t="s">
        <v>131</v>
      </c>
      <c r="B59" s="2" t="s">
        <v>131</v>
      </c>
      <c r="C59" s="2" t="n">
        <f aca="false">COUNTIF(Fixtures!$H$2:$H$2102,A59)</f>
        <v>79</v>
      </c>
      <c r="D59" s="2" t="n">
        <f aca="false">COUNTIFS(Fixtures!$H$2:$H$2102,A59,Fixtures!$I$2:$I$2102,"H")</f>
        <v>40</v>
      </c>
      <c r="E59" s="2" t="n">
        <f aca="false">COUNTIFS(Fixtures!$H$2:$H$2102,A59,Fixtures!$I$2:$I$2102,"A")</f>
        <v>39</v>
      </c>
      <c r="F59" s="2" t="n">
        <f aca="false">COUNTIFS(Fixtures!$H$2:$H$2102,A59,Fixtures!$I$2:$I$2102,"N")</f>
        <v>0</v>
      </c>
      <c r="G59" s="3" t="n">
        <f aca="false">IF(E59=0,"",_xlfn.MINIFS(Fixtures!$A$2:$A$2102,Fixtures!$H$2:$H$2102,A59,Fixtures!$I$2:$I$2102,"A"))</f>
        <v>32522</v>
      </c>
      <c r="H59" s="3" t="n">
        <f aca="false">IF(E59=0,"",_xlfn.MAXIFS(Fixtures!$A$2:$A$2102,Fixtures!$H$2:$H$2102,A59,Fixtures!$I$2:$I$2102,"A"))</f>
        <v>46011</v>
      </c>
      <c r="I59" s="2" t="s">
        <v>132</v>
      </c>
      <c r="J59" s="4" t="s">
        <v>133</v>
      </c>
    </row>
    <row r="60" customFormat="false" ht="15" hidden="false" customHeight="false" outlineLevel="0" collapsed="false">
      <c r="A60" s="2" t="s">
        <v>134</v>
      </c>
      <c r="B60" s="2" t="s">
        <v>134</v>
      </c>
      <c r="C60" s="2" t="n">
        <f aca="false">COUNTIF(Fixtures!$H$2:$H$2102,A60)</f>
        <v>1</v>
      </c>
      <c r="D60" s="2" t="n">
        <f aca="false">COUNTIFS(Fixtures!$H$2:$H$2102,A60,Fixtures!$I$2:$I$2102,"H")</f>
        <v>0</v>
      </c>
      <c r="E60" s="2" t="n">
        <f aca="false">COUNTIFS(Fixtures!$H$2:$H$2102,A60,Fixtures!$I$2:$I$2102,"A")</f>
        <v>1</v>
      </c>
      <c r="F60" s="2" t="n">
        <f aca="false">COUNTIFS(Fixtures!$H$2:$H$2102,A60,Fixtures!$I$2:$I$2102,"N")</f>
        <v>0</v>
      </c>
      <c r="G60" s="3" t="n">
        <f aca="false">IF(E60=0,"",_xlfn.MINIFS(Fixtures!$A$2:$A$2102,Fixtures!$H$2:$H$2102,A60,Fixtures!$I$2:$I$2102,"A"))</f>
        <v>37646</v>
      </c>
      <c r="H60" s="3" t="n">
        <f aca="false">IF(E60=0,"",_xlfn.MAXIFS(Fixtures!$A$2:$A$2102,Fixtures!$H$2:$H$2102,A60,Fixtures!$I$2:$I$2102,"A"))</f>
        <v>37646</v>
      </c>
      <c r="I60" s="2" t="s">
        <v>135</v>
      </c>
      <c r="J60" s="4" t="s">
        <v>136</v>
      </c>
    </row>
    <row r="61" customFormat="false" ht="15" hidden="false" customHeight="false" outlineLevel="0" collapsed="false">
      <c r="A61" s="2" t="s">
        <v>137</v>
      </c>
      <c r="B61" s="2" t="s">
        <v>137</v>
      </c>
      <c r="C61" s="2" t="n">
        <f aca="false">COUNTIF(Fixtures!$H$2:$H$2102,A61)</f>
        <v>2</v>
      </c>
      <c r="D61" s="2" t="n">
        <f aca="false">COUNTIFS(Fixtures!$H$2:$H$2102,A61,Fixtures!$I$2:$I$2102,"H")</f>
        <v>1</v>
      </c>
      <c r="E61" s="2" t="n">
        <f aca="false">COUNTIFS(Fixtures!$H$2:$H$2102,A61,Fixtures!$I$2:$I$2102,"A")</f>
        <v>1</v>
      </c>
      <c r="F61" s="2" t="n">
        <f aca="false">COUNTIFS(Fixtures!$H$2:$H$2102,A61,Fixtures!$I$2:$I$2102,"N")</f>
        <v>0</v>
      </c>
      <c r="G61" s="3" t="n">
        <f aca="false">IF(E61=0,"",_xlfn.MINIFS(Fixtures!$A$2:$A$2102,Fixtures!$H$2:$H$2102,A61,Fixtures!$I$2:$I$2102,"A"))</f>
        <v>42710</v>
      </c>
      <c r="H61" s="3" t="n">
        <f aca="false">IF(E61=0,"",_xlfn.MAXIFS(Fixtures!$A$2:$A$2102,Fixtures!$H$2:$H$2102,A61,Fixtures!$I$2:$I$2102,"A"))</f>
        <v>42710</v>
      </c>
      <c r="I61" s="2" t="s">
        <v>138</v>
      </c>
      <c r="J61" s="4"/>
    </row>
    <row r="62" customFormat="false" ht="15" hidden="false" customHeight="false" outlineLevel="0" collapsed="false">
      <c r="A62" s="2" t="s">
        <v>139</v>
      </c>
      <c r="B62" s="2" t="s">
        <v>139</v>
      </c>
      <c r="C62" s="2" t="n">
        <f aca="false">COUNTIF(Fixtures!$H$2:$H$2102,A62)</f>
        <v>4</v>
      </c>
      <c r="D62" s="2" t="n">
        <f aca="false">COUNTIFS(Fixtures!$H$2:$H$2102,A62,Fixtures!$I$2:$I$2102,"H")</f>
        <v>2</v>
      </c>
      <c r="E62" s="2" t="n">
        <f aca="false">COUNTIFS(Fixtures!$H$2:$H$2102,A62,Fixtures!$I$2:$I$2102,"A")</f>
        <v>2</v>
      </c>
      <c r="F62" s="2" t="n">
        <f aca="false">COUNTIFS(Fixtures!$H$2:$H$2102,A62,Fixtures!$I$2:$I$2102,"N")</f>
        <v>0</v>
      </c>
      <c r="G62" s="3" t="n">
        <f aca="false">IF(E62=0,"",_xlfn.MINIFS(Fixtures!$A$2:$A$2102,Fixtures!$H$2:$H$2102,A62,Fixtures!$I$2:$I$2102,"A"))</f>
        <v>43006</v>
      </c>
      <c r="H62" s="3" t="n">
        <f aca="false">IF(E62=0,"",_xlfn.MAXIFS(Fixtures!$A$2:$A$2102,Fixtures!$H$2:$H$2102,A62,Fixtures!$I$2:$I$2102,"A"))</f>
        <v>43510</v>
      </c>
      <c r="I62" s="2" t="s">
        <v>140</v>
      </c>
      <c r="J62" s="4"/>
    </row>
    <row r="63" customFormat="false" ht="15" hidden="false" customHeight="false" outlineLevel="0" collapsed="false">
      <c r="A63" s="2" t="s">
        <v>141</v>
      </c>
      <c r="B63" s="2" t="s">
        <v>141</v>
      </c>
      <c r="C63" s="2" t="n">
        <f aca="false">COUNTIF(Fixtures!$H$2:$H$2102,A63)</f>
        <v>1</v>
      </c>
      <c r="D63" s="2" t="n">
        <f aca="false">COUNTIFS(Fixtures!$H$2:$H$2102,A63,Fixtures!$I$2:$I$2102,"H")</f>
        <v>1</v>
      </c>
      <c r="E63" s="2" t="n">
        <f aca="false">COUNTIFS(Fixtures!$H$2:$H$2102,A63,Fixtures!$I$2:$I$2102,"A")</f>
        <v>0</v>
      </c>
      <c r="F63" s="2" t="n">
        <f aca="false">COUNTIFS(Fixtures!$H$2:$H$2102,A63,Fixtures!$I$2:$I$2102,"N")</f>
        <v>0</v>
      </c>
      <c r="G63" s="3" t="str">
        <f aca="false">IF(E63=0,"",_xlfn.MINIFS(Fixtures!$A$2:$A$2102,Fixtures!$H$2:$H$2102,A63,Fixtures!$I$2:$I$2102,"A"))</f>
        <v/>
      </c>
      <c r="H63" s="3" t="str">
        <f aca="false">IF(E63=0,"",_xlfn.MAXIFS(Fixtures!$A$2:$A$2102,Fixtures!$H$2:$H$2102,A63,Fixtures!$I$2:$I$2102,"A"))</f>
        <v/>
      </c>
      <c r="I63" s="2"/>
      <c r="J63" s="4"/>
    </row>
    <row r="64" customFormat="false" ht="15" hidden="false" customHeight="false" outlineLevel="0" collapsed="false">
      <c r="A64" s="2" t="s">
        <v>142</v>
      </c>
      <c r="B64" s="2" t="s">
        <v>142</v>
      </c>
      <c r="C64" s="2" t="n">
        <f aca="false">COUNTIF(Fixtures!$H$2:$H$2102,A64)</f>
        <v>8</v>
      </c>
      <c r="D64" s="2" t="n">
        <f aca="false">COUNTIFS(Fixtures!$H$2:$H$2102,A64,Fixtures!$I$2:$I$2102,"H")</f>
        <v>4</v>
      </c>
      <c r="E64" s="2" t="n">
        <f aca="false">COUNTIFS(Fixtures!$H$2:$H$2102,A64,Fixtures!$I$2:$I$2102,"A")</f>
        <v>4</v>
      </c>
      <c r="F64" s="2" t="n">
        <f aca="false">COUNTIFS(Fixtures!$H$2:$H$2102,A64,Fixtures!$I$2:$I$2102,"N")</f>
        <v>0</v>
      </c>
      <c r="G64" s="3" t="n">
        <f aca="false">IF(E64=0,"",_xlfn.MINIFS(Fixtures!$A$2:$A$2102,Fixtures!$H$2:$H$2102,A64,Fixtures!$I$2:$I$2102,"A"))</f>
        <v>39057</v>
      </c>
      <c r="H64" s="3" t="n">
        <f aca="false">IF(E64=0,"",_xlfn.MAXIFS(Fixtures!$A$2:$A$2102,Fixtures!$H$2:$H$2102,A64,Fixtures!$I$2:$I$2102,"A"))</f>
        <v>45343</v>
      </c>
      <c r="I64" s="2" t="s">
        <v>143</v>
      </c>
      <c r="J64" s="4"/>
    </row>
    <row r="65" customFormat="false" ht="15" hidden="false" customHeight="false" outlineLevel="0" collapsed="false">
      <c r="A65" s="2" t="s">
        <v>144</v>
      </c>
      <c r="B65" s="2" t="s">
        <v>144</v>
      </c>
      <c r="C65" s="2" t="n">
        <f aca="false">COUNTIF(Fixtures!$H$2:$H$2102,A65)</f>
        <v>2</v>
      </c>
      <c r="D65" s="2" t="n">
        <f aca="false">COUNTIFS(Fixtures!$H$2:$H$2102,A65,Fixtures!$I$2:$I$2102,"H")</f>
        <v>1</v>
      </c>
      <c r="E65" s="2" t="n">
        <f aca="false">COUNTIFS(Fixtures!$H$2:$H$2102,A65,Fixtures!$I$2:$I$2102,"A")</f>
        <v>1</v>
      </c>
      <c r="F65" s="2" t="n">
        <f aca="false">COUNTIFS(Fixtures!$H$2:$H$2102,A65,Fixtures!$I$2:$I$2102,"N")</f>
        <v>0</v>
      </c>
      <c r="G65" s="3" t="n">
        <f aca="false">IF(E65=0,"",_xlfn.MINIFS(Fixtures!$A$2:$A$2102,Fixtures!$H$2:$H$2102,A65,Fixtures!$I$2:$I$2102,"A"))</f>
        <v>38678</v>
      </c>
      <c r="H65" s="3" t="n">
        <f aca="false">IF(E65=0,"",_xlfn.MAXIFS(Fixtures!$A$2:$A$2102,Fixtures!$H$2:$H$2102,A65,Fixtures!$I$2:$I$2102,"A"))</f>
        <v>38678</v>
      </c>
      <c r="I65" s="2" t="s">
        <v>123</v>
      </c>
      <c r="J65" s="4" t="s">
        <v>145</v>
      </c>
    </row>
    <row r="66" customFormat="false" ht="15" hidden="false" customHeight="false" outlineLevel="0" collapsed="false">
      <c r="A66" s="2" t="s">
        <v>146</v>
      </c>
      <c r="B66" s="2" t="s">
        <v>146</v>
      </c>
      <c r="C66" s="2" t="n">
        <f aca="false">COUNTIF(Fixtures!$H$2:$H$2102,A66)</f>
        <v>2</v>
      </c>
      <c r="D66" s="2" t="n">
        <f aca="false">COUNTIFS(Fixtures!$H$2:$H$2102,A66,Fixtures!$I$2:$I$2102,"H")</f>
        <v>1</v>
      </c>
      <c r="E66" s="2" t="n">
        <f aca="false">COUNTIFS(Fixtures!$H$2:$H$2102,A66,Fixtures!$I$2:$I$2102,"A")</f>
        <v>1</v>
      </c>
      <c r="F66" s="2" t="n">
        <f aca="false">COUNTIFS(Fixtures!$H$2:$H$2102,A66,Fixtures!$I$2:$I$2102,"N")</f>
        <v>0</v>
      </c>
      <c r="G66" s="3" t="n">
        <f aca="false">IF(E66=0,"",_xlfn.MINIFS(Fixtures!$A$2:$A$2102,Fixtures!$H$2:$H$2102,A66,Fixtures!$I$2:$I$2102,"A"))</f>
        <v>44812</v>
      </c>
      <c r="H66" s="3" t="n">
        <f aca="false">IF(E66=0,"",_xlfn.MAXIFS(Fixtures!$A$2:$A$2102,Fixtures!$H$2:$H$2102,A66,Fixtures!$I$2:$I$2102,"A"))</f>
        <v>44812</v>
      </c>
      <c r="I66" s="2" t="s">
        <v>147</v>
      </c>
      <c r="J66" s="4"/>
    </row>
    <row r="67" customFormat="false" ht="15" hidden="false" customHeight="false" outlineLevel="0" collapsed="false">
      <c r="A67" s="2" t="s">
        <v>148</v>
      </c>
      <c r="B67" s="2" t="s">
        <v>148</v>
      </c>
      <c r="C67" s="2" t="n">
        <f aca="false">COUNTIF(Fixtures!$H$2:$H$2102,A67)</f>
        <v>4</v>
      </c>
      <c r="D67" s="2" t="n">
        <f aca="false">COUNTIFS(Fixtures!$H$2:$H$2102,A67,Fixtures!$I$2:$I$2102,"H")</f>
        <v>2</v>
      </c>
      <c r="E67" s="2" t="n">
        <f aca="false">COUNTIFS(Fixtures!$H$2:$H$2102,A67,Fixtures!$I$2:$I$2102,"A")</f>
        <v>2</v>
      </c>
      <c r="F67" s="2" t="n">
        <f aca="false">COUNTIFS(Fixtures!$H$2:$H$2102,A67,Fixtures!$I$2:$I$2102,"N")</f>
        <v>0</v>
      </c>
      <c r="G67" s="3" t="n">
        <f aca="false">IF(E67=0,"",_xlfn.MINIFS(Fixtures!$A$2:$A$2102,Fixtures!$H$2:$H$2102,A67,Fixtures!$I$2:$I$2102,"A"))</f>
        <v>39742</v>
      </c>
      <c r="H67" s="3" t="n">
        <f aca="false">IF(E67=0,"",_xlfn.MAXIFS(Fixtures!$A$2:$A$2102,Fixtures!$H$2:$H$2102,A67,Fixtures!$I$2:$I$2102,"A"))</f>
        <v>41507</v>
      </c>
      <c r="I67" s="2" t="s">
        <v>149</v>
      </c>
      <c r="J67" s="4"/>
    </row>
    <row r="68" customFormat="false" ht="15" hidden="false" customHeight="false" outlineLevel="0" collapsed="false">
      <c r="A68" s="2" t="s">
        <v>150</v>
      </c>
      <c r="B68" s="2" t="s">
        <v>150</v>
      </c>
      <c r="C68" s="2" t="n">
        <f aca="false">COUNTIF(Fixtures!$H$2:$H$2102,A68)</f>
        <v>2</v>
      </c>
      <c r="D68" s="2" t="n">
        <f aca="false">COUNTIFS(Fixtures!$H$2:$H$2102,A68,Fixtures!$I$2:$I$2102,"H")</f>
        <v>1</v>
      </c>
      <c r="E68" s="2" t="n">
        <f aca="false">COUNTIFS(Fixtures!$H$2:$H$2102,A68,Fixtures!$I$2:$I$2102,"A")</f>
        <v>1</v>
      </c>
      <c r="F68" s="2" t="n">
        <f aca="false">COUNTIFS(Fixtures!$H$2:$H$2102,A68,Fixtures!$I$2:$I$2102,"N")</f>
        <v>0</v>
      </c>
      <c r="G68" s="3" t="n">
        <f aca="false">IF(E68=0,"",_xlfn.MINIFS(Fixtures!$A$2:$A$2102,Fixtures!$H$2:$H$2102,A68,Fixtures!$I$2:$I$2102,"A"))</f>
        <v>36417</v>
      </c>
      <c r="H68" s="3" t="n">
        <f aca="false">IF(E68=0,"",_xlfn.MAXIFS(Fixtures!$A$2:$A$2102,Fixtures!$H$2:$H$2102,A68,Fixtures!$I$2:$I$2102,"A"))</f>
        <v>36417</v>
      </c>
      <c r="I68" s="2" t="s">
        <v>19</v>
      </c>
      <c r="J68" s="4"/>
    </row>
    <row r="69" customFormat="false" ht="15" hidden="false" customHeight="false" outlineLevel="0" collapsed="false">
      <c r="A69" s="2" t="s">
        <v>151</v>
      </c>
      <c r="B69" s="2" t="s">
        <v>151</v>
      </c>
      <c r="C69" s="2" t="n">
        <f aca="false">COUNTIF(Fixtures!$H$2:$H$2102,A69)</f>
        <v>2</v>
      </c>
      <c r="D69" s="2" t="n">
        <f aca="false">COUNTIFS(Fixtures!$H$2:$H$2102,A69,Fixtures!$I$2:$I$2102,"H")</f>
        <v>1</v>
      </c>
      <c r="E69" s="2" t="n">
        <f aca="false">COUNTIFS(Fixtures!$H$2:$H$2102,A69,Fixtures!$I$2:$I$2102,"A")</f>
        <v>1</v>
      </c>
      <c r="F69" s="2" t="n">
        <f aca="false">COUNTIFS(Fixtures!$H$2:$H$2102,A69,Fixtures!$I$2:$I$2102,"N")</f>
        <v>0</v>
      </c>
      <c r="G69" s="3" t="n">
        <f aca="false">IF(E69=0,"",_xlfn.MINIFS(Fixtures!$A$2:$A$2102,Fixtures!$H$2:$H$2102,A69,Fixtures!$I$2:$I$2102,"A"))</f>
        <v>44847</v>
      </c>
      <c r="H69" s="3" t="n">
        <f aca="false">IF(E69=0,"",_xlfn.MAXIFS(Fixtures!$A$2:$A$2102,Fixtures!$H$2:$H$2102,A69,Fixtures!$I$2:$I$2102,"A"))</f>
        <v>44847</v>
      </c>
      <c r="I69" s="2" t="s">
        <v>147</v>
      </c>
      <c r="J69" s="4"/>
    </row>
    <row r="70" customFormat="false" ht="15" hidden="false" customHeight="false" outlineLevel="0" collapsed="false">
      <c r="A70" s="2" t="s">
        <v>152</v>
      </c>
      <c r="B70" s="2" t="s">
        <v>152</v>
      </c>
      <c r="C70" s="2" t="n">
        <f aca="false">COUNTIF(Fixtures!$H$2:$H$2102,A70)</f>
        <v>2</v>
      </c>
      <c r="D70" s="2" t="n">
        <f aca="false">COUNTIFS(Fixtures!$H$2:$H$2102,A70,Fixtures!$I$2:$I$2102,"H")</f>
        <v>1</v>
      </c>
      <c r="E70" s="2" t="n">
        <f aca="false">COUNTIFS(Fixtures!$H$2:$H$2102,A70,Fixtures!$I$2:$I$2102,"A")</f>
        <v>1</v>
      </c>
      <c r="F70" s="2" t="n">
        <f aca="false">COUNTIFS(Fixtures!$H$2:$H$2102,A70,Fixtures!$I$2:$I$2102,"N")</f>
        <v>0</v>
      </c>
      <c r="G70" s="3" t="n">
        <f aca="false">IF(E70=0,"",_xlfn.MINIFS(Fixtures!$A$2:$A$2102,Fixtures!$H$2:$H$2102,A70,Fixtures!$I$2:$I$2102,"A"))</f>
        <v>43377</v>
      </c>
      <c r="H70" s="3" t="n">
        <f aca="false">IF(E70=0,"",_xlfn.MAXIFS(Fixtures!$A$2:$A$2102,Fixtures!$H$2:$H$2102,A70,Fixtures!$I$2:$I$2102,"A"))</f>
        <v>43377</v>
      </c>
      <c r="I70" s="2" t="s">
        <v>153</v>
      </c>
      <c r="J70" s="4" t="s">
        <v>154</v>
      </c>
    </row>
    <row r="71" customFormat="false" ht="23.85" hidden="false" customHeight="false" outlineLevel="0" collapsed="false">
      <c r="A71" s="2" t="s">
        <v>155</v>
      </c>
      <c r="B71" s="2" t="s">
        <v>155</v>
      </c>
      <c r="C71" s="2" t="n">
        <f aca="false">COUNTIF(Fixtures!$H$2:$H$2102,A71)</f>
        <v>38</v>
      </c>
      <c r="D71" s="2" t="n">
        <f aca="false">COUNTIFS(Fixtures!$H$2:$H$2102,A71,Fixtures!$I$2:$I$2102,"H")</f>
        <v>19</v>
      </c>
      <c r="E71" s="2" t="n">
        <f aca="false">COUNTIFS(Fixtures!$H$2:$H$2102,A71,Fixtures!$I$2:$I$2102,"A")</f>
        <v>19</v>
      </c>
      <c r="F71" s="2" t="n">
        <f aca="false">COUNTIFS(Fixtures!$H$2:$H$2102,A71,Fixtures!$I$2:$I$2102,"N")</f>
        <v>0</v>
      </c>
      <c r="G71" s="3" t="n">
        <f aca="false">IF(E71=0,"",_xlfn.MINIFS(Fixtures!$A$2:$A$2102,Fixtures!$H$2:$H$2102,A71,Fixtures!$I$2:$I$2102,"A"))</f>
        <v>37149</v>
      </c>
      <c r="H71" s="3" t="n">
        <f aca="false">IF(E71=0,"",_xlfn.MAXIFS(Fixtures!$A$2:$A$2102,Fixtures!$H$2:$H$2102,A71,Fixtures!$I$2:$I$2102,"A"))</f>
        <v>45948</v>
      </c>
      <c r="I71" s="2" t="s">
        <v>156</v>
      </c>
      <c r="J71" s="4" t="s">
        <v>157</v>
      </c>
    </row>
    <row r="72" customFormat="false" ht="15" hidden="false" customHeight="false" outlineLevel="0" collapsed="false">
      <c r="A72" s="2" t="s">
        <v>158</v>
      </c>
      <c r="B72" s="2" t="s">
        <v>158</v>
      </c>
      <c r="C72" s="2" t="n">
        <f aca="false">COUNTIF(Fixtures!$H$2:$H$2102,A72)</f>
        <v>3</v>
      </c>
      <c r="D72" s="2" t="n">
        <f aca="false">COUNTIFS(Fixtures!$H$2:$H$2102,A72,Fixtures!$I$2:$I$2102,"H")</f>
        <v>1</v>
      </c>
      <c r="E72" s="2" t="n">
        <f aca="false">COUNTIFS(Fixtures!$H$2:$H$2102,A72,Fixtures!$I$2:$I$2102,"A")</f>
        <v>1</v>
      </c>
      <c r="F72" s="2" t="n">
        <f aca="false">COUNTIFS(Fixtures!$H$2:$H$2102,A72,Fixtures!$I$2:$I$2102,"N")</f>
        <v>1</v>
      </c>
      <c r="G72" s="3" t="n">
        <f aca="false">IF(E72=0,"",_xlfn.MINIFS(Fixtures!$A$2:$A$2102,Fixtures!$H$2:$H$2102,A72,Fixtures!$I$2:$I$2102,"A"))</f>
        <v>41982</v>
      </c>
      <c r="H72" s="3" t="n">
        <f aca="false">IF(E72=0,"",_xlfn.MAXIFS(Fixtures!$A$2:$A$2102,Fixtures!$H$2:$H$2102,A72,Fixtures!$I$2:$I$2102,"A"))</f>
        <v>41982</v>
      </c>
      <c r="I72" s="2" t="s">
        <v>23</v>
      </c>
      <c r="J72" s="4"/>
    </row>
    <row r="73" customFormat="false" ht="15" hidden="false" customHeight="false" outlineLevel="0" collapsed="false">
      <c r="A73" s="2" t="s">
        <v>159</v>
      </c>
      <c r="B73" s="2" t="s">
        <v>159</v>
      </c>
      <c r="C73" s="2" t="n">
        <f aca="false">COUNTIF(Fixtures!$H$2:$H$2102,A73)</f>
        <v>1</v>
      </c>
      <c r="D73" s="2" t="n">
        <f aca="false">COUNTIFS(Fixtures!$H$2:$H$2102,A73,Fixtures!$I$2:$I$2102,"H")</f>
        <v>1</v>
      </c>
      <c r="E73" s="2" t="n">
        <f aca="false">COUNTIFS(Fixtures!$H$2:$H$2102,A73,Fixtures!$I$2:$I$2102,"A")</f>
        <v>0</v>
      </c>
      <c r="F73" s="2" t="n">
        <f aca="false">COUNTIFS(Fixtures!$H$2:$H$2102,A73,Fixtures!$I$2:$I$2102,"N")</f>
        <v>0</v>
      </c>
      <c r="G73" s="3" t="str">
        <f aca="false">IF(E73=0,"",_xlfn.MINIFS(Fixtures!$A$2:$A$2102,Fixtures!$H$2:$H$2102,A73,Fixtures!$I$2:$I$2102,"A"))</f>
        <v/>
      </c>
      <c r="H73" s="3" t="str">
        <f aca="false">IF(E73=0,"",_xlfn.MAXIFS(Fixtures!$A$2:$A$2102,Fixtures!$H$2:$H$2102,A73,Fixtures!$I$2:$I$2102,"A"))</f>
        <v/>
      </c>
      <c r="I73" s="2"/>
      <c r="J73" s="4"/>
    </row>
    <row r="74" customFormat="false" ht="15" hidden="false" customHeight="false" outlineLevel="0" collapsed="false">
      <c r="A74" s="2" t="s">
        <v>160</v>
      </c>
      <c r="B74" s="2" t="s">
        <v>160</v>
      </c>
      <c r="C74" s="2" t="n">
        <f aca="false">COUNTIF(Fixtures!$H$2:$H$2102,A74)</f>
        <v>1</v>
      </c>
      <c r="D74" s="2" t="n">
        <f aca="false">COUNTIFS(Fixtures!$H$2:$H$2102,A74,Fixtures!$I$2:$I$2102,"H")</f>
        <v>0</v>
      </c>
      <c r="E74" s="2" t="n">
        <f aca="false">COUNTIFS(Fixtures!$H$2:$H$2102,A74,Fixtures!$I$2:$I$2102,"A")</f>
        <v>1</v>
      </c>
      <c r="F74" s="2" t="n">
        <f aca="false">COUNTIFS(Fixtures!$H$2:$H$2102,A74,Fixtures!$I$2:$I$2102,"N")</f>
        <v>0</v>
      </c>
      <c r="G74" s="3" t="n">
        <f aca="false">IF(E74=0,"",_xlfn.MINIFS(Fixtures!$A$2:$A$2102,Fixtures!$H$2:$H$2102,A74,Fixtures!$I$2:$I$2102,"A"))</f>
        <v>45686</v>
      </c>
      <c r="H74" s="3" t="n">
        <f aca="false">IF(E74=0,"",_xlfn.MAXIFS(Fixtures!$A$2:$A$2102,Fixtures!$H$2:$H$2102,A74,Fixtures!$I$2:$I$2102,"A"))</f>
        <v>45686</v>
      </c>
      <c r="I74" s="2" t="s">
        <v>30</v>
      </c>
      <c r="J74" s="4"/>
    </row>
    <row r="75" customFormat="false" ht="15" hidden="false" customHeight="false" outlineLevel="0" collapsed="false">
      <c r="A75" s="2" t="s">
        <v>161</v>
      </c>
      <c r="B75" s="2" t="s">
        <v>161</v>
      </c>
      <c r="C75" s="2" t="n">
        <f aca="false">COUNTIF(Fixtures!$H$2:$H$2102,A75)</f>
        <v>1</v>
      </c>
      <c r="D75" s="2" t="n">
        <f aca="false">COUNTIFS(Fixtures!$H$2:$H$2102,A75,Fixtures!$I$2:$I$2102,"H")</f>
        <v>1</v>
      </c>
      <c r="E75" s="2" t="n">
        <f aca="false">COUNTIFS(Fixtures!$H$2:$H$2102,A75,Fixtures!$I$2:$I$2102,"A")</f>
        <v>0</v>
      </c>
      <c r="F75" s="2" t="n">
        <f aca="false">COUNTIFS(Fixtures!$H$2:$H$2102,A75,Fixtures!$I$2:$I$2102,"N")</f>
        <v>0</v>
      </c>
      <c r="G75" s="3" t="str">
        <f aca="false">IF(E75=0,"",_xlfn.MINIFS(Fixtures!$A$2:$A$2102,Fixtures!$H$2:$H$2102,A75,Fixtures!$I$2:$I$2102,"A"))</f>
        <v/>
      </c>
      <c r="H75" s="3" t="str">
        <f aca="false">IF(E75=0,"",_xlfn.MAXIFS(Fixtures!$A$2:$A$2102,Fixtures!$H$2:$H$2102,A75,Fixtures!$I$2:$I$2102,"A"))</f>
        <v/>
      </c>
      <c r="I75" s="2"/>
      <c r="J75" s="4"/>
    </row>
    <row r="76" customFormat="false" ht="15" hidden="false" customHeight="false" outlineLevel="0" collapsed="false">
      <c r="A76" s="2" t="s">
        <v>162</v>
      </c>
      <c r="B76" s="2" t="s">
        <v>162</v>
      </c>
      <c r="C76" s="2" t="n">
        <f aca="false">COUNTIF(Fixtures!$H$2:$H$2102,A76)</f>
        <v>2</v>
      </c>
      <c r="D76" s="2" t="n">
        <f aca="false">COUNTIFS(Fixtures!$H$2:$H$2102,A76,Fixtures!$I$2:$I$2102,"H")</f>
        <v>1</v>
      </c>
      <c r="E76" s="2" t="n">
        <f aca="false">COUNTIFS(Fixtures!$H$2:$H$2102,A76,Fixtures!$I$2:$I$2102,"A")</f>
        <v>1</v>
      </c>
      <c r="F76" s="2" t="n">
        <f aca="false">COUNTIFS(Fixtures!$H$2:$H$2102,A76,Fixtures!$I$2:$I$2102,"N")</f>
        <v>0</v>
      </c>
      <c r="G76" s="3" t="n">
        <f aca="false">IF(E76=0,"",_xlfn.MINIFS(Fixtures!$A$2:$A$2102,Fixtures!$H$2:$H$2102,A76,Fixtures!$I$2:$I$2102,"A"))</f>
        <v>38973</v>
      </c>
      <c r="H76" s="3" t="n">
        <f aca="false">IF(E76=0,"",_xlfn.MAXIFS(Fixtures!$A$2:$A$2102,Fixtures!$H$2:$H$2102,A76,Fixtures!$I$2:$I$2102,"A"))</f>
        <v>38973</v>
      </c>
      <c r="I76" s="2" t="s">
        <v>110</v>
      </c>
      <c r="J76" s="4"/>
    </row>
    <row r="77" customFormat="false" ht="15" hidden="false" customHeight="false" outlineLevel="0" collapsed="false">
      <c r="A77" s="2" t="s">
        <v>163</v>
      </c>
      <c r="B77" s="2" t="s">
        <v>163</v>
      </c>
      <c r="C77" s="2" t="n">
        <f aca="false">COUNTIF(Fixtures!$H$2:$H$2102,A77)</f>
        <v>4</v>
      </c>
      <c r="D77" s="2" t="n">
        <f aca="false">COUNTIFS(Fixtures!$H$2:$H$2102,A77,Fixtures!$I$2:$I$2102,"H")</f>
        <v>2</v>
      </c>
      <c r="E77" s="2" t="n">
        <f aca="false">COUNTIFS(Fixtures!$H$2:$H$2102,A77,Fixtures!$I$2:$I$2102,"A")</f>
        <v>2</v>
      </c>
      <c r="F77" s="2" t="n">
        <f aca="false">COUNTIFS(Fixtures!$H$2:$H$2102,A77,Fixtures!$I$2:$I$2102,"N")</f>
        <v>0</v>
      </c>
      <c r="G77" s="3" t="n">
        <f aca="false">IF(E77=0,"",_xlfn.MINIFS(Fixtures!$A$2:$A$2102,Fixtures!$H$2:$H$2102,A77,Fixtures!$I$2:$I$2102,"A"))</f>
        <v>34598</v>
      </c>
      <c r="H77" s="3" t="n">
        <f aca="false">IF(E77=0,"",_xlfn.MAXIFS(Fixtures!$A$2:$A$2102,Fixtures!$H$2:$H$2102,A77,Fixtures!$I$2:$I$2102,"A"))</f>
        <v>34961</v>
      </c>
      <c r="I77" s="2" t="s">
        <v>164</v>
      </c>
      <c r="J77" s="4"/>
    </row>
    <row r="78" customFormat="false" ht="15" hidden="false" customHeight="false" outlineLevel="0" collapsed="false">
      <c r="A78" s="2" t="s">
        <v>165</v>
      </c>
      <c r="B78" s="2" t="s">
        <v>165</v>
      </c>
      <c r="C78" s="2" t="n">
        <f aca="false">COUNTIF(Fixtures!$H$2:$H$2102,A78)</f>
        <v>7</v>
      </c>
      <c r="D78" s="2" t="n">
        <f aca="false">COUNTIFS(Fixtures!$H$2:$H$2102,A78,Fixtures!$I$2:$I$2102,"H")</f>
        <v>4</v>
      </c>
      <c r="E78" s="2" t="n">
        <f aca="false">COUNTIFS(Fixtures!$H$2:$H$2102,A78,Fixtures!$I$2:$I$2102,"A")</f>
        <v>3</v>
      </c>
      <c r="F78" s="2" t="n">
        <f aca="false">COUNTIFS(Fixtures!$H$2:$H$2102,A78,Fixtures!$I$2:$I$2102,"N")</f>
        <v>0</v>
      </c>
      <c r="G78" s="3" t="n">
        <f aca="false">IF(E78=0,"",_xlfn.MINIFS(Fixtures!$A$2:$A$2102,Fixtures!$H$2:$H$2102,A78,Fixtures!$I$2:$I$2102,"A"))</f>
        <v>34233</v>
      </c>
      <c r="H78" s="3" t="n">
        <f aca="false">IF(E78=0,"",_xlfn.MAXIFS(Fixtures!$A$2:$A$2102,Fixtures!$H$2:$H$2102,A78,Fixtures!$I$2:$I$2102,"A"))</f>
        <v>43505</v>
      </c>
      <c r="I78" s="2" t="s">
        <v>166</v>
      </c>
      <c r="J78" s="4" t="s">
        <v>167</v>
      </c>
    </row>
    <row r="79" customFormat="false" ht="15" hidden="false" customHeight="false" outlineLevel="0" collapsed="false">
      <c r="A79" s="2" t="s">
        <v>168</v>
      </c>
      <c r="B79" s="2" t="s">
        <v>168</v>
      </c>
      <c r="C79" s="2" t="n">
        <f aca="false">COUNTIF(Fixtures!$H$2:$H$2102,A79)</f>
        <v>17</v>
      </c>
      <c r="D79" s="2" t="n">
        <f aca="false">COUNTIFS(Fixtures!$H$2:$H$2102,A79,Fixtures!$I$2:$I$2102,"H")</f>
        <v>9</v>
      </c>
      <c r="E79" s="2" t="n">
        <f aca="false">COUNTIFS(Fixtures!$H$2:$H$2102,A79,Fixtures!$I$2:$I$2102,"A")</f>
        <v>7</v>
      </c>
      <c r="F79" s="2" t="n">
        <f aca="false">COUNTIFS(Fixtures!$H$2:$H$2102,A79,Fixtures!$I$2:$I$2102,"N")</f>
        <v>1</v>
      </c>
      <c r="G79" s="3" t="n">
        <f aca="false">IF(E79=0,"",_xlfn.MINIFS(Fixtures!$A$2:$A$2102,Fixtures!$H$2:$H$2102,A79,Fixtures!$I$2:$I$2102,"A"))</f>
        <v>32414</v>
      </c>
      <c r="H79" s="3" t="n">
        <f aca="false">IF(E79=0,"",_xlfn.MAXIFS(Fixtures!$A$2:$A$2102,Fixtures!$H$2:$H$2102,A79,Fixtures!$I$2:$I$2102,"A"))</f>
        <v>42630</v>
      </c>
      <c r="I79" s="2" t="s">
        <v>169</v>
      </c>
      <c r="J79" s="4" t="s">
        <v>170</v>
      </c>
    </row>
    <row r="80" customFormat="false" ht="15" hidden="false" customHeight="false" outlineLevel="0" collapsed="false">
      <c r="A80" s="2" t="s">
        <v>171</v>
      </c>
      <c r="B80" s="5" t="s">
        <v>172</v>
      </c>
      <c r="C80" s="2" t="n">
        <f aca="false">COUNTIF(Fixtures!$H$2:$H$2102,A80)</f>
        <v>2</v>
      </c>
      <c r="D80" s="2" t="n">
        <f aca="false">COUNTIFS(Fixtures!$H$2:$H$2102,A80,Fixtures!$I$2:$I$2102,"H")</f>
        <v>1</v>
      </c>
      <c r="E80" s="2" t="n">
        <f aca="false">COUNTIFS(Fixtures!$H$2:$H$2102,A80,Fixtures!$I$2:$I$2102,"A")</f>
        <v>1</v>
      </c>
      <c r="F80" s="2" t="n">
        <f aca="false">COUNTIFS(Fixtures!$H$2:$H$2102,A80,Fixtures!$I$2:$I$2102,"N")</f>
        <v>0</v>
      </c>
      <c r="G80" s="3" t="n">
        <f aca="false">IF(E80=0,"",_xlfn.MINIFS(Fixtures!$A$2:$A$2102,Fixtures!$H$2:$H$2102,A80,Fixtures!$I$2:$I$2102,"A"))</f>
        <v>37950</v>
      </c>
      <c r="H80" s="3" t="n">
        <f aca="false">IF(E80=0,"",_xlfn.MAXIFS(Fixtures!$A$2:$A$2102,Fixtures!$H$2:$H$2102,A80,Fixtures!$I$2:$I$2102,"A"))</f>
        <v>37950</v>
      </c>
      <c r="I80" s="2" t="s">
        <v>91</v>
      </c>
      <c r="J80" s="4" t="s">
        <v>173</v>
      </c>
    </row>
    <row r="81" customFormat="false" ht="15" hidden="false" customHeight="false" outlineLevel="0" collapsed="false">
      <c r="A81" s="2" t="s">
        <v>172</v>
      </c>
      <c r="B81" s="5" t="s">
        <v>172</v>
      </c>
      <c r="C81" s="2" t="n">
        <f aca="false">COUNTIF(Fixtures!$H$2:$H$2102,A81)</f>
        <v>2</v>
      </c>
      <c r="D81" s="2" t="n">
        <f aca="false">COUNTIFS(Fixtures!$H$2:$H$2102,A81,Fixtures!$I$2:$I$2102,"H")</f>
        <v>0</v>
      </c>
      <c r="E81" s="2" t="n">
        <f aca="false">COUNTIFS(Fixtures!$H$2:$H$2102,A81,Fixtures!$I$2:$I$2102,"A")</f>
        <v>2</v>
      </c>
      <c r="F81" s="2" t="n">
        <f aca="false">COUNTIFS(Fixtures!$H$2:$H$2102,A81,Fixtures!$I$2:$I$2102,"N")</f>
        <v>0</v>
      </c>
      <c r="G81" s="3" t="n">
        <f aca="false">IF(E81=0,"",_xlfn.MINIFS(Fixtures!$A$2:$A$2102,Fixtures!$H$2:$H$2102,A81,Fixtures!$I$2:$I$2102,"A"))</f>
        <v>45602</v>
      </c>
      <c r="H81" s="3" t="n">
        <f aca="false">IF(E81=0,"",_xlfn.MAXIFS(Fixtures!$A$2:$A$2102,Fixtures!$H$2:$H$2102,A81,Fixtures!$I$2:$I$2102,"A"))</f>
        <v>46042</v>
      </c>
      <c r="I81" s="2" t="s">
        <v>174</v>
      </c>
      <c r="J81" s="4" t="s">
        <v>175</v>
      </c>
    </row>
    <row r="82" customFormat="false" ht="15" hidden="false" customHeight="false" outlineLevel="0" collapsed="false">
      <c r="A82" s="2" t="s">
        <v>176</v>
      </c>
      <c r="B82" s="2" t="s">
        <v>176</v>
      </c>
      <c r="C82" s="2" t="n">
        <f aca="false">COUNTIF(Fixtures!$H$2:$H$2102,A82)</f>
        <v>16</v>
      </c>
      <c r="D82" s="2" t="n">
        <f aca="false">COUNTIFS(Fixtures!$H$2:$H$2102,A82,Fixtures!$I$2:$I$2102,"H")</f>
        <v>8</v>
      </c>
      <c r="E82" s="2" t="n">
        <f aca="false">COUNTIFS(Fixtures!$H$2:$H$2102,A82,Fixtures!$I$2:$I$2102,"A")</f>
        <v>8</v>
      </c>
      <c r="F82" s="2" t="n">
        <f aca="false">COUNTIFS(Fixtures!$H$2:$H$2102,A82,Fixtures!$I$2:$I$2102,"N")</f>
        <v>0</v>
      </c>
      <c r="G82" s="3" t="n">
        <f aca="false">IF(E82=0,"",_xlfn.MINIFS(Fixtures!$A$2:$A$2102,Fixtures!$H$2:$H$2102,A82,Fixtures!$I$2:$I$2102,"A"))</f>
        <v>34034</v>
      </c>
      <c r="H82" s="3" t="n">
        <f aca="false">IF(E82=0,"",_xlfn.MAXIFS(Fixtures!$A$2:$A$2102,Fixtures!$H$2:$H$2102,A82,Fixtures!$I$2:$I$2102,"A"))</f>
        <v>45767</v>
      </c>
      <c r="I82" s="2" t="s">
        <v>177</v>
      </c>
      <c r="J82" s="4"/>
    </row>
    <row r="83" customFormat="false" ht="15" hidden="false" customHeight="false" outlineLevel="0" collapsed="false">
      <c r="A83" s="2" t="s">
        <v>178</v>
      </c>
      <c r="B83" s="2" t="s">
        <v>178</v>
      </c>
      <c r="C83" s="2" t="n">
        <f aca="false">COUNTIF(Fixtures!$H$2:$H$2102,A83)</f>
        <v>4</v>
      </c>
      <c r="D83" s="2" t="n">
        <f aca="false">COUNTIFS(Fixtures!$H$2:$H$2102,A83,Fixtures!$I$2:$I$2102,"H")</f>
        <v>2</v>
      </c>
      <c r="E83" s="2" t="n">
        <f aca="false">COUNTIFS(Fixtures!$H$2:$H$2102,A83,Fixtures!$I$2:$I$2102,"A")</f>
        <v>2</v>
      </c>
      <c r="F83" s="2" t="n">
        <f aca="false">COUNTIFS(Fixtures!$H$2:$H$2102,A83,Fixtures!$I$2:$I$2102,"N")</f>
        <v>0</v>
      </c>
      <c r="G83" s="3" t="n">
        <f aca="false">IF(E83=0,"",_xlfn.MINIFS(Fixtures!$A$2:$A$2102,Fixtures!$H$2:$H$2102,A83,Fixtures!$I$2:$I$2102,"A"))</f>
        <v>37335</v>
      </c>
      <c r="H83" s="3" t="n">
        <f aca="false">IF(E83=0,"",_xlfn.MAXIFS(Fixtures!$A$2:$A$2102,Fixtures!$H$2:$H$2102,A83,Fixtures!$I$2:$I$2102,"A"))</f>
        <v>38812</v>
      </c>
      <c r="I83" s="2" t="s">
        <v>179</v>
      </c>
      <c r="J83" s="4"/>
    </row>
    <row r="84" customFormat="false" ht="15" hidden="false" customHeight="false" outlineLevel="0" collapsed="false">
      <c r="A84" s="2" t="s">
        <v>180</v>
      </c>
      <c r="B84" s="2" t="s">
        <v>180</v>
      </c>
      <c r="C84" s="2" t="n">
        <f aca="false">COUNTIF(Fixtures!$H$2:$H$2102,A84)</f>
        <v>2</v>
      </c>
      <c r="D84" s="2" t="n">
        <f aca="false">COUNTIFS(Fixtures!$H$2:$H$2102,A84,Fixtures!$I$2:$I$2102,"H")</f>
        <v>1</v>
      </c>
      <c r="E84" s="2" t="n">
        <f aca="false">COUNTIFS(Fixtures!$H$2:$H$2102,A84,Fixtures!$I$2:$I$2102,"A")</f>
        <v>1</v>
      </c>
      <c r="F84" s="2" t="n">
        <f aca="false">COUNTIFS(Fixtures!$H$2:$H$2102,A84,Fixtures!$I$2:$I$2102,"N")</f>
        <v>0</v>
      </c>
      <c r="G84" s="3" t="n">
        <f aca="false">IF(E84=0,"",_xlfn.MINIFS(Fixtures!$A$2:$A$2102,Fixtures!$H$2:$H$2102,A84,Fixtures!$I$2:$I$2102,"A"))</f>
        <v>36816</v>
      </c>
      <c r="H84" s="3" t="n">
        <f aca="false">IF(E84=0,"",_xlfn.MAXIFS(Fixtures!$A$2:$A$2102,Fixtures!$H$2:$H$2102,A84,Fixtures!$I$2:$I$2102,"A"))</f>
        <v>36816</v>
      </c>
      <c r="I84" s="2" t="s">
        <v>89</v>
      </c>
      <c r="J84" s="4"/>
    </row>
    <row r="85" customFormat="false" ht="15" hidden="false" customHeight="false" outlineLevel="0" collapsed="false">
      <c r="A85" s="2" t="s">
        <v>181</v>
      </c>
      <c r="B85" s="2" t="s">
        <v>181</v>
      </c>
      <c r="C85" s="2" t="n">
        <f aca="false">COUNTIF(Fixtures!$H$2:$H$2102,A85)</f>
        <v>49</v>
      </c>
      <c r="D85" s="2" t="n">
        <f aca="false">COUNTIFS(Fixtures!$H$2:$H$2102,A85,Fixtures!$I$2:$I$2102,"H")</f>
        <v>26</v>
      </c>
      <c r="E85" s="2" t="n">
        <f aca="false">COUNTIFS(Fixtures!$H$2:$H$2102,A85,Fixtures!$I$2:$I$2102,"A")</f>
        <v>23</v>
      </c>
      <c r="F85" s="2" t="n">
        <f aca="false">COUNTIFS(Fixtures!$H$2:$H$2102,A85,Fixtures!$I$2:$I$2102,"N")</f>
        <v>0</v>
      </c>
      <c r="G85" s="3" t="n">
        <f aca="false">IF(E85=0,"",_xlfn.MINIFS(Fixtures!$A$2:$A$2102,Fixtures!$H$2:$H$2102,A85,Fixtures!$I$2:$I$2102,"A"))</f>
        <v>33145</v>
      </c>
      <c r="H85" s="3" t="n">
        <f aca="false">IF(E85=0,"",_xlfn.MAXIFS(Fixtures!$A$2:$A$2102,Fixtures!$H$2:$H$2102,A85,Fixtures!$I$2:$I$2102,"A"))</f>
        <v>46053</v>
      </c>
      <c r="I85" s="2" t="s">
        <v>182</v>
      </c>
      <c r="J85" s="4"/>
    </row>
    <row r="86" customFormat="false" ht="15" hidden="false" customHeight="false" outlineLevel="0" collapsed="false">
      <c r="A86" s="2" t="s">
        <v>183</v>
      </c>
      <c r="B86" s="2" t="s">
        <v>183</v>
      </c>
      <c r="C86" s="2" t="n">
        <f aca="false">COUNTIF(Fixtures!$H$2:$H$2102,A86)</f>
        <v>41</v>
      </c>
      <c r="D86" s="2" t="n">
        <f aca="false">COUNTIFS(Fixtures!$H$2:$H$2102,A86,Fixtures!$I$2:$I$2102,"H")</f>
        <v>20</v>
      </c>
      <c r="E86" s="2" t="n">
        <f aca="false">COUNTIFS(Fixtures!$H$2:$H$2102,A86,Fixtures!$I$2:$I$2102,"A")</f>
        <v>21</v>
      </c>
      <c r="F86" s="2" t="n">
        <f aca="false">COUNTIFS(Fixtures!$H$2:$H$2102,A86,Fixtures!$I$2:$I$2102,"N")</f>
        <v>0</v>
      </c>
      <c r="G86" s="3" t="n">
        <f aca="false">IF(E86=0,"",_xlfn.MINIFS(Fixtures!$A$2:$A$2102,Fixtures!$H$2:$H$2102,A86,Fixtures!$I$2:$I$2102,"A"))</f>
        <v>33506</v>
      </c>
      <c r="H86" s="3" t="n">
        <f aca="false">IF(E86=0,"",_xlfn.MAXIFS(Fixtures!$A$2:$A$2102,Fixtures!$H$2:$H$2102,A86,Fixtures!$I$2:$I$2102,"A"))</f>
        <v>45703</v>
      </c>
      <c r="I86" s="2" t="s">
        <v>184</v>
      </c>
      <c r="J86" s="4" t="s">
        <v>185</v>
      </c>
    </row>
    <row r="87" customFormat="false" ht="15" hidden="false" customHeight="false" outlineLevel="0" collapsed="false">
      <c r="A87" s="2" t="s">
        <v>186</v>
      </c>
      <c r="B87" s="2" t="s">
        <v>186</v>
      </c>
      <c r="C87" s="2" t="n">
        <f aca="false">COUNTIF(Fixtures!$H$2:$H$2102,A87)</f>
        <v>2</v>
      </c>
      <c r="D87" s="2" t="n">
        <f aca="false">COUNTIFS(Fixtures!$H$2:$H$2102,A87,Fixtures!$I$2:$I$2102,"H")</f>
        <v>1</v>
      </c>
      <c r="E87" s="2" t="n">
        <f aca="false">COUNTIFS(Fixtures!$H$2:$H$2102,A87,Fixtures!$I$2:$I$2102,"A")</f>
        <v>1</v>
      </c>
      <c r="F87" s="2" t="n">
        <f aca="false">COUNTIFS(Fixtures!$H$2:$H$2102,A87,Fixtures!$I$2:$I$2102,"N")</f>
        <v>0</v>
      </c>
      <c r="G87" s="3" t="n">
        <f aca="false">IF(E87=0,"",_xlfn.MINIFS(Fixtures!$A$2:$A$2102,Fixtures!$H$2:$H$2102,A87,Fixtures!$I$2:$I$2102,"A"))</f>
        <v>40594</v>
      </c>
      <c r="H87" s="3" t="n">
        <f aca="false">IF(E87=0,"",_xlfn.MAXIFS(Fixtures!$A$2:$A$2102,Fixtures!$H$2:$H$2102,A87,Fixtures!$I$2:$I$2102,"A"))</f>
        <v>40594</v>
      </c>
      <c r="I87" s="2" t="s">
        <v>187</v>
      </c>
      <c r="J87" s="4"/>
    </row>
    <row r="88" customFormat="false" ht="15" hidden="false" customHeight="false" outlineLevel="0" collapsed="false">
      <c r="A88" s="2" t="s">
        <v>188</v>
      </c>
      <c r="B88" s="2" t="s">
        <v>188</v>
      </c>
      <c r="C88" s="2" t="n">
        <f aca="false">COUNTIF(Fixtures!$H$2:$H$2102,A88)</f>
        <v>1</v>
      </c>
      <c r="D88" s="2" t="n">
        <f aca="false">COUNTIFS(Fixtures!$H$2:$H$2102,A88,Fixtures!$I$2:$I$2102,"H")</f>
        <v>1</v>
      </c>
      <c r="E88" s="2" t="n">
        <f aca="false">COUNTIFS(Fixtures!$H$2:$H$2102,A88,Fixtures!$I$2:$I$2102,"A")</f>
        <v>0</v>
      </c>
      <c r="F88" s="2" t="n">
        <f aca="false">COUNTIFS(Fixtures!$H$2:$H$2102,A88,Fixtures!$I$2:$I$2102,"N")</f>
        <v>0</v>
      </c>
      <c r="G88" s="3" t="str">
        <f aca="false">IF(E88=0,"",_xlfn.MINIFS(Fixtures!$A$2:$A$2102,Fixtures!$H$2:$H$2102,A88,Fixtures!$I$2:$I$2102,"A"))</f>
        <v/>
      </c>
      <c r="H88" s="3" t="str">
        <f aca="false">IF(E88=0,"",_xlfn.MAXIFS(Fixtures!$A$2:$A$2102,Fixtures!$H$2:$H$2102,A88,Fixtures!$I$2:$I$2102,"A"))</f>
        <v/>
      </c>
      <c r="I88" s="2"/>
      <c r="J88" s="4"/>
    </row>
    <row r="89" customFormat="false" ht="15" hidden="false" customHeight="false" outlineLevel="0" collapsed="false">
      <c r="A89" s="2" t="s">
        <v>189</v>
      </c>
      <c r="B89" s="2" t="s">
        <v>189</v>
      </c>
      <c r="C89" s="2" t="n">
        <f aca="false">COUNTIF(Fixtures!$H$2:$H$2102,A89)</f>
        <v>98</v>
      </c>
      <c r="D89" s="2" t="n">
        <f aca="false">COUNTIFS(Fixtures!$H$2:$H$2102,A89,Fixtures!$I$2:$I$2102,"H")</f>
        <v>47</v>
      </c>
      <c r="E89" s="2" t="n">
        <f aca="false">COUNTIFS(Fixtures!$H$2:$H$2102,A89,Fixtures!$I$2:$I$2102,"A")</f>
        <v>48</v>
      </c>
      <c r="F89" s="2" t="n">
        <f aca="false">COUNTIFS(Fixtures!$H$2:$H$2102,A89,Fixtures!$I$2:$I$2102,"N")</f>
        <v>3</v>
      </c>
      <c r="G89" s="3" t="n">
        <f aca="false">IF(E89=0,"",_xlfn.MINIFS(Fixtures!$A$2:$A$2102,Fixtures!$H$2:$H$2102,A89,Fixtures!$I$2:$I$2102,"A"))</f>
        <v>32449</v>
      </c>
      <c r="H89" s="3" t="n">
        <f aca="false">IF(E89=0,"",_xlfn.MAXIFS(Fixtures!$A$2:$A$2102,Fixtures!$H$2:$H$2102,A89,Fixtures!$I$2:$I$2102,"A"))</f>
        <v>45900</v>
      </c>
      <c r="I89" s="2" t="s">
        <v>132</v>
      </c>
      <c r="J89" s="4"/>
    </row>
    <row r="90" customFormat="false" ht="15" hidden="false" customHeight="false" outlineLevel="0" collapsed="false">
      <c r="A90" s="2" t="s">
        <v>190</v>
      </c>
      <c r="B90" s="2" t="s">
        <v>190</v>
      </c>
      <c r="C90" s="2" t="n">
        <f aca="false">COUNTIF(Fixtures!$H$2:$H$2102,A90)</f>
        <v>2</v>
      </c>
      <c r="D90" s="2" t="n">
        <f aca="false">COUNTIFS(Fixtures!$H$2:$H$2102,A90,Fixtures!$I$2:$I$2102,"H")</f>
        <v>1</v>
      </c>
      <c r="E90" s="2" t="n">
        <f aca="false">COUNTIFS(Fixtures!$H$2:$H$2102,A90,Fixtures!$I$2:$I$2102,"A")</f>
        <v>1</v>
      </c>
      <c r="F90" s="2" t="n">
        <f aca="false">COUNTIFS(Fixtures!$H$2:$H$2102,A90,Fixtures!$I$2:$I$2102,"N")</f>
        <v>0</v>
      </c>
      <c r="G90" s="3" t="n">
        <f aca="false">IF(E90=0,"",_xlfn.MINIFS(Fixtures!$A$2:$A$2102,Fixtures!$H$2:$H$2102,A90,Fixtures!$I$2:$I$2102,"A"))</f>
        <v>37894</v>
      </c>
      <c r="H90" s="3" t="n">
        <f aca="false">IF(E90=0,"",_xlfn.MAXIFS(Fixtures!$A$2:$A$2102,Fixtures!$H$2:$H$2102,A90,Fixtures!$I$2:$I$2102,"A"))</f>
        <v>37894</v>
      </c>
      <c r="I90" s="2" t="s">
        <v>91</v>
      </c>
      <c r="J90" s="4"/>
    </row>
    <row r="91" customFormat="false" ht="15" hidden="false" customHeight="false" outlineLevel="0" collapsed="false">
      <c r="A91" s="2" t="s">
        <v>191</v>
      </c>
      <c r="B91" s="2" t="s">
        <v>191</v>
      </c>
      <c r="C91" s="2" t="n">
        <f aca="false">COUNTIF(Fixtures!$H$2:$H$2102,A91)</f>
        <v>10</v>
      </c>
      <c r="D91" s="2" t="n">
        <f aca="false">COUNTIFS(Fixtures!$H$2:$H$2102,A91,Fixtures!$I$2:$I$2102,"H")</f>
        <v>5</v>
      </c>
      <c r="E91" s="2" t="n">
        <f aca="false">COUNTIFS(Fixtures!$H$2:$H$2102,A91,Fixtures!$I$2:$I$2102,"A")</f>
        <v>5</v>
      </c>
      <c r="F91" s="2" t="n">
        <f aca="false">COUNTIFS(Fixtures!$H$2:$H$2102,A91,Fixtures!$I$2:$I$2102,"N")</f>
        <v>0</v>
      </c>
      <c r="G91" s="3" t="n">
        <f aca="false">IF(E91=0,"",_xlfn.MINIFS(Fixtures!$A$2:$A$2102,Fixtures!$H$2:$H$2102,A91,Fixtures!$I$2:$I$2102,"A"))</f>
        <v>32441</v>
      </c>
      <c r="H91" s="3" t="n">
        <f aca="false">IF(E91=0,"",_xlfn.MAXIFS(Fixtures!$A$2:$A$2102,Fixtures!$H$2:$H$2102,A91,Fixtures!$I$2:$I$2102,"A"))</f>
        <v>45265</v>
      </c>
      <c r="I91" s="2" t="s">
        <v>192</v>
      </c>
      <c r="J91" s="4"/>
    </row>
    <row r="92" customFormat="false" ht="15" hidden="false" customHeight="false" outlineLevel="0" collapsed="false">
      <c r="A92" s="2" t="s">
        <v>193</v>
      </c>
      <c r="B92" s="2" t="s">
        <v>193</v>
      </c>
      <c r="C92" s="2" t="n">
        <f aca="false">COUNTIF(Fixtures!$H$2:$H$2102,A92)</f>
        <v>76</v>
      </c>
      <c r="D92" s="2" t="n">
        <f aca="false">COUNTIFS(Fixtures!$H$2:$H$2102,A92,Fixtures!$I$2:$I$2102,"H")</f>
        <v>35</v>
      </c>
      <c r="E92" s="2" t="n">
        <f aca="false">COUNTIFS(Fixtures!$H$2:$H$2102,A92,Fixtures!$I$2:$I$2102,"A")</f>
        <v>36</v>
      </c>
      <c r="F92" s="2" t="n">
        <f aca="false">COUNTIFS(Fixtures!$H$2:$H$2102,A92,Fixtures!$I$2:$I$2102,"N")</f>
        <v>5</v>
      </c>
      <c r="G92" s="3" t="n">
        <f aca="false">IF(E92=0,"",_xlfn.MINIFS(Fixtures!$A$2:$A$2102,Fixtures!$H$2:$H$2102,A92,Fixtures!$I$2:$I$2102,"A"))</f>
        <v>32942</v>
      </c>
      <c r="H92" s="3" t="n">
        <f aca="false">IF(E92=0,"",_xlfn.MAXIFS(Fixtures!$A$2:$A$2102,Fixtures!$H$2:$H$2102,A92,Fixtures!$I$2:$I$2102,"A"))</f>
        <v>46131</v>
      </c>
      <c r="I92" s="2" t="s">
        <v>194</v>
      </c>
      <c r="J92" s="4" t="s">
        <v>195</v>
      </c>
    </row>
    <row r="93" customFormat="false" ht="15" hidden="false" customHeight="false" outlineLevel="0" collapsed="false">
      <c r="A93" s="2" t="s">
        <v>196</v>
      </c>
      <c r="B93" s="2" t="s">
        <v>196</v>
      </c>
      <c r="C93" s="2" t="n">
        <f aca="false">COUNTIF(Fixtures!$H$2:$H$2102,A93)</f>
        <v>96</v>
      </c>
      <c r="D93" s="2" t="n">
        <f aca="false">COUNTIFS(Fixtures!$H$2:$H$2102,A93,Fixtures!$I$2:$I$2102,"H")</f>
        <v>46</v>
      </c>
      <c r="E93" s="2" t="n">
        <f aca="false">COUNTIFS(Fixtures!$H$2:$H$2102,A93,Fixtures!$I$2:$I$2102,"A")</f>
        <v>44</v>
      </c>
      <c r="F93" s="2" t="n">
        <f aca="false">COUNTIFS(Fixtures!$H$2:$H$2102,A93,Fixtures!$I$2:$I$2102,"N")</f>
        <v>6</v>
      </c>
      <c r="G93" s="3" t="n">
        <f aca="false">IF(E93=0,"",_xlfn.MINIFS(Fixtures!$A$2:$A$2102,Fixtures!$H$2:$H$2102,A93,Fixtures!$I$2:$I$2102,"A"))</f>
        <v>32600</v>
      </c>
      <c r="H93" s="3" t="n">
        <f aca="false">IF(E93=0,"",_xlfn.MAXIFS(Fixtures!$A$2:$A$2102,Fixtures!$H$2:$H$2102,A93,Fixtures!$I$2:$I$2102,"A"))</f>
        <v>45886</v>
      </c>
      <c r="I93" s="2" t="s">
        <v>132</v>
      </c>
      <c r="J93" s="4"/>
    </row>
    <row r="94" customFormat="false" ht="15" hidden="false" customHeight="false" outlineLevel="0" collapsed="false">
      <c r="A94" s="2" t="s">
        <v>197</v>
      </c>
      <c r="B94" s="2" t="s">
        <v>197</v>
      </c>
      <c r="C94" s="2" t="n">
        <f aca="false">COUNTIF(Fixtures!$H$2:$H$2102,A94)</f>
        <v>1</v>
      </c>
      <c r="D94" s="2" t="n">
        <f aca="false">COUNTIFS(Fixtures!$H$2:$H$2102,A94,Fixtures!$I$2:$I$2102,"H")</f>
        <v>0</v>
      </c>
      <c r="E94" s="2" t="n">
        <f aca="false">COUNTIFS(Fixtures!$H$2:$H$2102,A94,Fixtures!$I$2:$I$2102,"A")</f>
        <v>1</v>
      </c>
      <c r="F94" s="2" t="n">
        <f aca="false">COUNTIFS(Fixtures!$H$2:$H$2102,A94,Fixtures!$I$2:$I$2102,"N")</f>
        <v>0</v>
      </c>
      <c r="G94" s="3" t="n">
        <f aca="false">IF(E94=0,"",_xlfn.MINIFS(Fixtures!$A$2:$A$2102,Fixtures!$H$2:$H$2102,A94,Fixtures!$I$2:$I$2102,"A"))</f>
        <v>46088</v>
      </c>
      <c r="H94" s="3" t="n">
        <f aca="false">IF(E94=0,"",_xlfn.MAXIFS(Fixtures!$A$2:$A$2102,Fixtures!$H$2:$H$2102,A94,Fixtures!$I$2:$I$2102,"A"))</f>
        <v>46088</v>
      </c>
      <c r="I94" s="2" t="s">
        <v>32</v>
      </c>
      <c r="J94" s="4"/>
    </row>
    <row r="95" customFormat="false" ht="15" hidden="false" customHeight="false" outlineLevel="0" collapsed="false">
      <c r="A95" s="2" t="s">
        <v>198</v>
      </c>
      <c r="B95" s="2" t="s">
        <v>198</v>
      </c>
      <c r="C95" s="2" t="n">
        <f aca="false">COUNTIF(Fixtures!$H$2:$H$2102,A95)</f>
        <v>39</v>
      </c>
      <c r="D95" s="2" t="n">
        <f aca="false">COUNTIFS(Fixtures!$H$2:$H$2102,A95,Fixtures!$I$2:$I$2102,"H")</f>
        <v>19</v>
      </c>
      <c r="E95" s="2" t="n">
        <f aca="false">COUNTIFS(Fixtures!$H$2:$H$2102,A95,Fixtures!$I$2:$I$2102,"A")</f>
        <v>19</v>
      </c>
      <c r="F95" s="2" t="n">
        <f aca="false">COUNTIFS(Fixtures!$H$2:$H$2102,A95,Fixtures!$I$2:$I$2102,"N")</f>
        <v>1</v>
      </c>
      <c r="G95" s="3" t="n">
        <f aca="false">IF(E95=0,"",_xlfn.MINIFS(Fixtures!$A$2:$A$2102,Fixtures!$H$2:$H$2102,A95,Fixtures!$I$2:$I$2102,"A"))</f>
        <v>32634</v>
      </c>
      <c r="H95" s="3" t="n">
        <f aca="false">IF(E95=0,"",_xlfn.MAXIFS(Fixtures!$A$2:$A$2102,Fixtures!$H$2:$H$2102,A95,Fixtures!$I$2:$I$2102,"A"))</f>
        <v>42842</v>
      </c>
      <c r="I95" s="2" t="s">
        <v>199</v>
      </c>
      <c r="J95" s="4" t="s">
        <v>200</v>
      </c>
    </row>
    <row r="96" customFormat="false" ht="15" hidden="false" customHeight="false" outlineLevel="0" collapsed="false">
      <c r="A96" s="2" t="s">
        <v>201</v>
      </c>
      <c r="B96" s="2" t="s">
        <v>201</v>
      </c>
      <c r="C96" s="2" t="n">
        <f aca="false">COUNTIF(Fixtures!$H$2:$H$2102,A96)</f>
        <v>9</v>
      </c>
      <c r="D96" s="2" t="n">
        <f aca="false">COUNTIFS(Fixtures!$H$2:$H$2102,A96,Fixtures!$I$2:$I$2102,"H")</f>
        <v>4</v>
      </c>
      <c r="E96" s="2" t="n">
        <f aca="false">COUNTIFS(Fixtures!$H$2:$H$2102,A96,Fixtures!$I$2:$I$2102,"A")</f>
        <v>5</v>
      </c>
      <c r="F96" s="2" t="n">
        <f aca="false">COUNTIFS(Fixtures!$H$2:$H$2102,A96,Fixtures!$I$2:$I$2102,"N")</f>
        <v>0</v>
      </c>
      <c r="G96" s="3" t="n">
        <f aca="false">IF(E96=0,"",_xlfn.MINIFS(Fixtures!$A$2:$A$2102,Fixtures!$H$2:$H$2102,A96,Fixtures!$I$2:$I$2102,"A"))</f>
        <v>32550</v>
      </c>
      <c r="H96" s="3" t="n">
        <f aca="false">IF(E96=0,"",_xlfn.MAXIFS(Fixtures!$A$2:$A$2102,Fixtures!$H$2:$H$2102,A96,Fixtures!$I$2:$I$2102,"A"))</f>
        <v>34706</v>
      </c>
      <c r="I96" s="2" t="s">
        <v>202</v>
      </c>
      <c r="J96" s="4" t="s">
        <v>203</v>
      </c>
    </row>
    <row r="97" customFormat="false" ht="15" hidden="false" customHeight="false" outlineLevel="0" collapsed="false">
      <c r="A97" s="2" t="s">
        <v>204</v>
      </c>
      <c r="B97" s="2" t="s">
        <v>204</v>
      </c>
      <c r="C97" s="2" t="n">
        <f aca="false">COUNTIF(Fixtures!$H$2:$H$2102,A97)</f>
        <v>2</v>
      </c>
      <c r="D97" s="2" t="n">
        <f aca="false">COUNTIFS(Fixtures!$H$2:$H$2102,A97,Fixtures!$I$2:$I$2102,"H")</f>
        <v>1</v>
      </c>
      <c r="E97" s="2" t="n">
        <f aca="false">COUNTIFS(Fixtures!$H$2:$H$2102,A97,Fixtures!$I$2:$I$2102,"A")</f>
        <v>1</v>
      </c>
      <c r="F97" s="2" t="n">
        <f aca="false">COUNTIFS(Fixtures!$H$2:$H$2102,A97,Fixtures!$I$2:$I$2102,"N")</f>
        <v>0</v>
      </c>
      <c r="G97" s="3" t="n">
        <f aca="false">IF(E97=0,"",_xlfn.MINIFS(Fixtures!$A$2:$A$2102,Fixtures!$H$2:$H$2102,A97,Fixtures!$I$2:$I$2102,"A"))</f>
        <v>44161</v>
      </c>
      <c r="H97" s="3" t="n">
        <f aca="false">IF(E97=0,"",_xlfn.MAXIFS(Fixtures!$A$2:$A$2102,Fixtures!$H$2:$H$2102,A97,Fixtures!$I$2:$I$2102,"A"))</f>
        <v>44161</v>
      </c>
      <c r="I97" s="2" t="s">
        <v>125</v>
      </c>
      <c r="J97" s="4"/>
    </row>
    <row r="98" customFormat="false" ht="15" hidden="false" customHeight="false" outlineLevel="0" collapsed="false">
      <c r="A98" s="2" t="s">
        <v>205</v>
      </c>
      <c r="B98" s="2" t="s">
        <v>205</v>
      </c>
      <c r="C98" s="2" t="n">
        <f aca="false">COUNTIF(Fixtures!$H$2:$H$2102,A98)</f>
        <v>2</v>
      </c>
      <c r="D98" s="2" t="n">
        <f aca="false">COUNTIFS(Fixtures!$H$2:$H$2102,A98,Fixtures!$I$2:$I$2102,"H")</f>
        <v>1</v>
      </c>
      <c r="E98" s="2" t="n">
        <f aca="false">COUNTIFS(Fixtures!$H$2:$H$2102,A98,Fixtures!$I$2:$I$2102,"A")</f>
        <v>1</v>
      </c>
      <c r="F98" s="2" t="n">
        <f aca="false">COUNTIFS(Fixtures!$H$2:$H$2102,A98,Fixtures!$I$2:$I$2102,"N")</f>
        <v>0</v>
      </c>
      <c r="G98" s="3" t="n">
        <f aca="false">IF(E98=0,"",_xlfn.MINIFS(Fixtures!$A$2:$A$2102,Fixtures!$H$2:$H$2102,A98,Fixtures!$I$2:$I$2102,"A"))</f>
        <v>41170</v>
      </c>
      <c r="H98" s="3" t="n">
        <f aca="false">IF(E98=0,"",_xlfn.MAXIFS(Fixtures!$A$2:$A$2102,Fixtures!$H$2:$H$2102,A98,Fixtures!$I$2:$I$2102,"A"))</f>
        <v>41170</v>
      </c>
      <c r="I98" s="2" t="s">
        <v>206</v>
      </c>
      <c r="J98" s="4"/>
    </row>
    <row r="99" customFormat="false" ht="15" hidden="false" customHeight="false" outlineLevel="0" collapsed="false">
      <c r="A99" s="2" t="s">
        <v>207</v>
      </c>
      <c r="B99" s="2" t="s">
        <v>207</v>
      </c>
      <c r="C99" s="2" t="n">
        <f aca="false">COUNTIF(Fixtures!$H$2:$H$2102,A99)</f>
        <v>2</v>
      </c>
      <c r="D99" s="2" t="n">
        <f aca="false">COUNTIFS(Fixtures!$H$2:$H$2102,A99,Fixtures!$I$2:$I$2102,"H")</f>
        <v>1</v>
      </c>
      <c r="E99" s="2" t="n">
        <f aca="false">COUNTIFS(Fixtures!$H$2:$H$2102,A99,Fixtures!$I$2:$I$2102,"A")</f>
        <v>1</v>
      </c>
      <c r="F99" s="2" t="n">
        <f aca="false">COUNTIFS(Fixtures!$H$2:$H$2102,A99,Fixtures!$I$2:$I$2102,"N")</f>
        <v>0</v>
      </c>
      <c r="G99" s="3" t="n">
        <f aca="false">IF(E99=0,"",_xlfn.MINIFS(Fixtures!$A$2:$A$2102,Fixtures!$H$2:$H$2102,A99,Fixtures!$I$2:$I$2102,"A"))</f>
        <v>36503</v>
      </c>
      <c r="H99" s="3" t="n">
        <f aca="false">IF(E99=0,"",_xlfn.MAXIFS(Fixtures!$A$2:$A$2102,Fixtures!$H$2:$H$2102,A99,Fixtures!$I$2:$I$2102,"A"))</f>
        <v>36503</v>
      </c>
      <c r="I99" s="2" t="s">
        <v>19</v>
      </c>
      <c r="J99" s="4"/>
    </row>
    <row r="100" customFormat="false" ht="15" hidden="false" customHeight="false" outlineLevel="0" collapsed="false">
      <c r="A100" s="2" t="s">
        <v>208</v>
      </c>
      <c r="B100" s="2" t="s">
        <v>208</v>
      </c>
      <c r="C100" s="2" t="n">
        <f aca="false">COUNTIF(Fixtures!$H$2:$H$2102,A100)</f>
        <v>4</v>
      </c>
      <c r="D100" s="2" t="n">
        <f aca="false">COUNTIFS(Fixtures!$H$2:$H$2102,A100,Fixtures!$I$2:$I$2102,"H")</f>
        <v>2</v>
      </c>
      <c r="E100" s="2" t="n">
        <f aca="false">COUNTIFS(Fixtures!$H$2:$H$2102,A100,Fixtures!$I$2:$I$2102,"A")</f>
        <v>2</v>
      </c>
      <c r="F100" s="2" t="n">
        <f aca="false">COUNTIFS(Fixtures!$H$2:$H$2102,A100,Fixtures!$I$2:$I$2102,"N")</f>
        <v>0</v>
      </c>
      <c r="G100" s="3" t="n">
        <f aca="false">IF(E100=0,"",_xlfn.MINIFS(Fixtures!$A$2:$A$2102,Fixtures!$H$2:$H$2102,A100,Fixtures!$I$2:$I$2102,"A"))</f>
        <v>41619</v>
      </c>
      <c r="H100" s="3" t="n">
        <f aca="false">IF(E100=0,"",_xlfn.MAXIFS(Fixtures!$A$2:$A$2102,Fixtures!$H$2:$H$2102,A100,Fixtures!$I$2:$I$2102,"A"))</f>
        <v>43573</v>
      </c>
      <c r="I100" s="2" t="s">
        <v>209</v>
      </c>
      <c r="J100" s="4"/>
    </row>
    <row r="101" customFormat="false" ht="15" hidden="false" customHeight="false" outlineLevel="0" collapsed="false">
      <c r="A101" s="2" t="s">
        <v>210</v>
      </c>
      <c r="B101" s="2" t="s">
        <v>210</v>
      </c>
      <c r="C101" s="2" t="n">
        <f aca="false">COUNTIF(Fixtures!$H$2:$H$2102,A101)</f>
        <v>74</v>
      </c>
      <c r="D101" s="2" t="n">
        <f aca="false">COUNTIFS(Fixtures!$H$2:$H$2102,A101,Fixtures!$I$2:$I$2102,"H")</f>
        <v>38</v>
      </c>
      <c r="E101" s="2" t="n">
        <f aca="false">COUNTIFS(Fixtures!$H$2:$H$2102,A101,Fixtures!$I$2:$I$2102,"A")</f>
        <v>35</v>
      </c>
      <c r="F101" s="2" t="n">
        <f aca="false">COUNTIFS(Fixtures!$H$2:$H$2102,A101,Fixtures!$I$2:$I$2102,"N")</f>
        <v>1</v>
      </c>
      <c r="G101" s="3" t="n">
        <f aca="false">IF(E101=0,"",_xlfn.MINIFS(Fixtures!$A$2:$A$2102,Fixtures!$H$2:$H$2102,A101,Fixtures!$I$2:$I$2102,"A"))</f>
        <v>32459</v>
      </c>
      <c r="H101" s="3" t="n">
        <f aca="false">IF(E101=0,"",_xlfn.MAXIFS(Fixtures!$A$2:$A$2102,Fixtures!$H$2:$H$2102,A101,Fixtures!$I$2:$I$2102,"A"))</f>
        <v>45928</v>
      </c>
      <c r="I101" s="2" t="s">
        <v>211</v>
      </c>
      <c r="J101" s="4"/>
    </row>
    <row r="102" customFormat="false" ht="15" hidden="false" customHeight="false" outlineLevel="0" collapsed="false">
      <c r="A102" s="2" t="s">
        <v>212</v>
      </c>
      <c r="B102" s="2" t="s">
        <v>212</v>
      </c>
      <c r="C102" s="2" t="n">
        <f aca="false">COUNTIF(Fixtures!$H$2:$H$2102,A102)</f>
        <v>31</v>
      </c>
      <c r="D102" s="2" t="n">
        <f aca="false">COUNTIFS(Fixtures!$H$2:$H$2102,A102,Fixtures!$I$2:$I$2102,"H")</f>
        <v>16</v>
      </c>
      <c r="E102" s="2" t="n">
        <f aca="false">COUNTIFS(Fixtures!$H$2:$H$2102,A102,Fixtures!$I$2:$I$2102,"A")</f>
        <v>15</v>
      </c>
      <c r="F102" s="2" t="n">
        <f aca="false">COUNTIFS(Fixtures!$H$2:$H$2102,A102,Fixtures!$I$2:$I$2102,"N")</f>
        <v>0</v>
      </c>
      <c r="G102" s="3" t="n">
        <f aca="false">IF(E102=0,"",_xlfn.MINIFS(Fixtures!$A$2:$A$2102,Fixtures!$H$2:$H$2102,A102,Fixtures!$I$2:$I$2102,"A"))</f>
        <v>32487</v>
      </c>
      <c r="H102" s="3" t="n">
        <f aca="false">IF(E102=0,"",_xlfn.MAXIFS(Fixtures!$A$2:$A$2102,Fixtures!$H$2:$H$2102,A102,Fixtures!$I$2:$I$2102,"A"))</f>
        <v>44556</v>
      </c>
      <c r="I102" s="2" t="s">
        <v>213</v>
      </c>
      <c r="J102" s="4"/>
    </row>
    <row r="103" customFormat="false" ht="15" hidden="false" customHeight="false" outlineLevel="0" collapsed="false">
      <c r="A103" s="2" t="s">
        <v>214</v>
      </c>
      <c r="B103" s="2" t="s">
        <v>214</v>
      </c>
      <c r="C103" s="2" t="n">
        <f aca="false">COUNTIF(Fixtures!$H$2:$H$2102,A103)</f>
        <v>32</v>
      </c>
      <c r="D103" s="2" t="n">
        <f aca="false">COUNTIFS(Fixtures!$H$2:$H$2102,A103,Fixtures!$I$2:$I$2102,"H")</f>
        <v>16</v>
      </c>
      <c r="E103" s="2" t="n">
        <f aca="false">COUNTIFS(Fixtures!$H$2:$H$2102,A103,Fixtures!$I$2:$I$2102,"A")</f>
        <v>16</v>
      </c>
      <c r="F103" s="2" t="n">
        <f aca="false">COUNTIFS(Fixtures!$H$2:$H$2102,A103,Fixtures!$I$2:$I$2102,"N")</f>
        <v>0</v>
      </c>
      <c r="G103" s="3" t="n">
        <f aca="false">IF(E103=0,"",_xlfn.MINIFS(Fixtures!$A$2:$A$2102,Fixtures!$H$2:$H$2102,A103,Fixtures!$I$2:$I$2102,"A"))</f>
        <v>32453</v>
      </c>
      <c r="H103" s="3" t="n">
        <f aca="false">IF(E103=0,"",_xlfn.MAXIFS(Fixtures!$A$2:$A$2102,Fixtures!$H$2:$H$2102,A103,Fixtures!$I$2:$I$2102,"A"))</f>
        <v>46039</v>
      </c>
      <c r="I103" s="2" t="s">
        <v>215</v>
      </c>
      <c r="J103" s="4"/>
    </row>
    <row r="104" customFormat="false" ht="15" hidden="false" customHeight="false" outlineLevel="0" collapsed="false">
      <c r="A104" s="2" t="s">
        <v>216</v>
      </c>
      <c r="B104" s="2" t="s">
        <v>216</v>
      </c>
      <c r="C104" s="2" t="n">
        <f aca="false">COUNTIF(Fixtures!$H$2:$H$2102,A104)</f>
        <v>2</v>
      </c>
      <c r="D104" s="2" t="n">
        <f aca="false">COUNTIFS(Fixtures!$H$2:$H$2102,A104,Fixtures!$I$2:$I$2102,"H")</f>
        <v>1</v>
      </c>
      <c r="E104" s="2" t="n">
        <f aca="false">COUNTIFS(Fixtures!$H$2:$H$2102,A104,Fixtures!$I$2:$I$2102,"A")</f>
        <v>1</v>
      </c>
      <c r="F104" s="2" t="n">
        <f aca="false">COUNTIFS(Fixtures!$H$2:$H$2102,A104,Fixtures!$I$2:$I$2102,"N")</f>
        <v>0</v>
      </c>
      <c r="G104" s="3" t="n">
        <f aca="false">IF(E104=0,"",_xlfn.MINIFS(Fixtures!$A$2:$A$2102,Fixtures!$H$2:$H$2102,A104,Fixtures!$I$2:$I$2102,"A"))</f>
        <v>33642</v>
      </c>
      <c r="H104" s="3" t="n">
        <f aca="false">IF(E104=0,"",_xlfn.MAXIFS(Fixtures!$A$2:$A$2102,Fixtures!$H$2:$H$2102,A104,Fixtures!$I$2:$I$2102,"A"))</f>
        <v>33642</v>
      </c>
      <c r="I104" s="2" t="s">
        <v>38</v>
      </c>
      <c r="J104" s="4"/>
    </row>
    <row r="105" customFormat="false" ht="15" hidden="false" customHeight="false" outlineLevel="0" collapsed="false">
      <c r="A105" s="2" t="s">
        <v>217</v>
      </c>
      <c r="B105" s="2" t="s">
        <v>217</v>
      </c>
      <c r="C105" s="2" t="n">
        <f aca="false">COUNTIF(Fixtures!$H$2:$H$2102,A105)</f>
        <v>2</v>
      </c>
      <c r="D105" s="2" t="n">
        <f aca="false">COUNTIFS(Fixtures!$H$2:$H$2102,A105,Fixtures!$I$2:$I$2102,"H")</f>
        <v>1</v>
      </c>
      <c r="E105" s="2" t="n">
        <f aca="false">COUNTIFS(Fixtures!$H$2:$H$2102,A105,Fixtures!$I$2:$I$2102,"A")</f>
        <v>1</v>
      </c>
      <c r="F105" s="2" t="n">
        <f aca="false">COUNTIFS(Fixtures!$H$2:$H$2102,A105,Fixtures!$I$2:$I$2102,"N")</f>
        <v>0</v>
      </c>
      <c r="G105" s="3" t="n">
        <f aca="false">IF(E105=0,"",_xlfn.MINIFS(Fixtures!$A$2:$A$2102,Fixtures!$H$2:$H$2102,A105,Fixtures!$I$2:$I$2102,"A"))</f>
        <v>34227</v>
      </c>
      <c r="H105" s="3" t="n">
        <f aca="false">IF(E105=0,"",_xlfn.MAXIFS(Fixtures!$A$2:$A$2102,Fixtures!$H$2:$H$2102,A105,Fixtures!$I$2:$I$2102,"A"))</f>
        <v>34227</v>
      </c>
      <c r="I105" s="2" t="s">
        <v>218</v>
      </c>
      <c r="J105" s="4"/>
    </row>
    <row r="106" customFormat="false" ht="15" hidden="false" customHeight="false" outlineLevel="0" collapsed="false">
      <c r="A106" s="2" t="s">
        <v>219</v>
      </c>
      <c r="B106" s="2" t="s">
        <v>219</v>
      </c>
      <c r="C106" s="2" t="n">
        <f aca="false">COUNTIF(Fixtures!$H$2:$H$2102,A106)</f>
        <v>9</v>
      </c>
      <c r="D106" s="2" t="n">
        <f aca="false">COUNTIFS(Fixtures!$H$2:$H$2102,A106,Fixtures!$I$2:$I$2102,"H")</f>
        <v>4</v>
      </c>
      <c r="E106" s="2" t="n">
        <f aca="false">COUNTIFS(Fixtures!$H$2:$H$2102,A106,Fixtures!$I$2:$I$2102,"A")</f>
        <v>5</v>
      </c>
      <c r="F106" s="2" t="n">
        <f aca="false">COUNTIFS(Fixtures!$H$2:$H$2102,A106,Fixtures!$I$2:$I$2102,"N")</f>
        <v>0</v>
      </c>
      <c r="G106" s="3" t="n">
        <f aca="false">IF(E106=0,"",_xlfn.MINIFS(Fixtures!$A$2:$A$2102,Fixtures!$H$2:$H$2102,A106,Fixtures!$I$2:$I$2102,"A"))</f>
        <v>32834</v>
      </c>
      <c r="H106" s="3" t="n">
        <f aca="false">IF(E106=0,"",_xlfn.MAXIFS(Fixtures!$A$2:$A$2102,Fixtures!$H$2:$H$2102,A106,Fixtures!$I$2:$I$2102,"A"))</f>
        <v>34633</v>
      </c>
      <c r="I106" s="2" t="s">
        <v>220</v>
      </c>
      <c r="J106" s="4"/>
    </row>
    <row r="107" customFormat="false" ht="15" hidden="false" customHeight="false" outlineLevel="0" collapsed="false">
      <c r="A107" s="2" t="s">
        <v>221</v>
      </c>
      <c r="B107" s="2" t="s">
        <v>221</v>
      </c>
      <c r="C107" s="2" t="n">
        <f aca="false">COUNTIF(Fixtures!$H$2:$H$2102,A107)</f>
        <v>13</v>
      </c>
      <c r="D107" s="2" t="n">
        <f aca="false">COUNTIFS(Fixtures!$H$2:$H$2102,A107,Fixtures!$I$2:$I$2102,"H")</f>
        <v>7</v>
      </c>
      <c r="E107" s="2" t="n">
        <f aca="false">COUNTIFS(Fixtures!$H$2:$H$2102,A107,Fixtures!$I$2:$I$2102,"A")</f>
        <v>6</v>
      </c>
      <c r="F107" s="2" t="n">
        <f aca="false">COUNTIFS(Fixtures!$H$2:$H$2102,A107,Fixtures!$I$2:$I$2102,"N")</f>
        <v>0</v>
      </c>
      <c r="G107" s="3" t="n">
        <f aca="false">IF(E107=0,"",_xlfn.MINIFS(Fixtures!$A$2:$A$2102,Fixtures!$H$2:$H$2102,A107,Fixtures!$I$2:$I$2102,"A"))</f>
        <v>40156</v>
      </c>
      <c r="H107" s="3" t="n">
        <f aca="false">IF(E107=0,"",_xlfn.MAXIFS(Fixtures!$A$2:$A$2102,Fixtures!$H$2:$H$2102,A107,Fixtures!$I$2:$I$2102,"A"))</f>
        <v>44266</v>
      </c>
      <c r="I107" s="2" t="s">
        <v>222</v>
      </c>
      <c r="J107" s="4"/>
    </row>
    <row r="108" customFormat="false" ht="15" hidden="false" customHeight="false" outlineLevel="0" collapsed="false">
      <c r="A108" s="2" t="s">
        <v>223</v>
      </c>
      <c r="B108" s="2" t="s">
        <v>223</v>
      </c>
      <c r="C108" s="2" t="n">
        <f aca="false">COUNTIF(Fixtures!$H$2:$H$2102,A108)</f>
        <v>2</v>
      </c>
      <c r="D108" s="2" t="n">
        <f aca="false">COUNTIFS(Fixtures!$H$2:$H$2102,A108,Fixtures!$I$2:$I$2102,"H")</f>
        <v>1</v>
      </c>
      <c r="E108" s="2" t="n">
        <f aca="false">COUNTIFS(Fixtures!$H$2:$H$2102,A108,Fixtures!$I$2:$I$2102,"A")</f>
        <v>1</v>
      </c>
      <c r="F108" s="2" t="n">
        <f aca="false">COUNTIFS(Fixtures!$H$2:$H$2102,A108,Fixtures!$I$2:$I$2102,"N")</f>
        <v>0</v>
      </c>
      <c r="G108" s="3" t="n">
        <f aca="false">IF(E108=0,"",_xlfn.MINIFS(Fixtures!$A$2:$A$2102,Fixtures!$H$2:$H$2102,A108,Fixtures!$I$2:$I$2102,"A"))</f>
        <v>36935</v>
      </c>
      <c r="H108" s="3" t="n">
        <f aca="false">IF(E108=0,"",_xlfn.MAXIFS(Fixtures!$A$2:$A$2102,Fixtures!$H$2:$H$2102,A108,Fixtures!$I$2:$I$2102,"A"))</f>
        <v>36935</v>
      </c>
      <c r="I108" s="2" t="s">
        <v>89</v>
      </c>
      <c r="J108" s="4"/>
    </row>
    <row r="109" customFormat="false" ht="15" hidden="false" customHeight="false" outlineLevel="0" collapsed="false">
      <c r="A109" s="2" t="s">
        <v>224</v>
      </c>
      <c r="B109" s="2" t="s">
        <v>224</v>
      </c>
      <c r="C109" s="2" t="n">
        <f aca="false">COUNTIF(Fixtures!$H$2:$H$2102,A109)</f>
        <v>4</v>
      </c>
      <c r="D109" s="2" t="n">
        <f aca="false">COUNTIFS(Fixtures!$H$2:$H$2102,A109,Fixtures!$I$2:$I$2102,"H")</f>
        <v>2</v>
      </c>
      <c r="E109" s="2" t="n">
        <f aca="false">COUNTIFS(Fixtures!$H$2:$H$2102,A109,Fixtures!$I$2:$I$2102,"A")</f>
        <v>2</v>
      </c>
      <c r="F109" s="2" t="n">
        <f aca="false">COUNTIFS(Fixtures!$H$2:$H$2102,A109,Fixtures!$I$2:$I$2102,"N")</f>
        <v>0</v>
      </c>
      <c r="G109" s="3" t="n">
        <f aca="false">IF(E109=0,"",_xlfn.MINIFS(Fixtures!$A$2:$A$2102,Fixtures!$H$2:$H$2102,A109,Fixtures!$I$2:$I$2102,"A"))</f>
        <v>40835</v>
      </c>
      <c r="H109" s="3" t="n">
        <f aca="false">IF(E109=0,"",_xlfn.MAXIFS(Fixtures!$A$2:$A$2102,Fixtures!$H$2:$H$2102,A109,Fixtures!$I$2:$I$2102,"A"))</f>
        <v>41535</v>
      </c>
      <c r="I109" s="2" t="s">
        <v>225</v>
      </c>
      <c r="J109" s="4"/>
    </row>
    <row r="110" customFormat="false" ht="15" hidden="false" customHeight="false" outlineLevel="0" collapsed="false">
      <c r="A110" s="2" t="s">
        <v>226</v>
      </c>
      <c r="B110" s="2" t="s">
        <v>226</v>
      </c>
      <c r="C110" s="2" t="n">
        <f aca="false">COUNTIF(Fixtures!$H$2:$H$2102,A110)</f>
        <v>2</v>
      </c>
      <c r="D110" s="2" t="n">
        <f aca="false">COUNTIFS(Fixtures!$H$2:$H$2102,A110,Fixtures!$I$2:$I$2102,"H")</f>
        <v>1</v>
      </c>
      <c r="E110" s="2" t="n">
        <f aca="false">COUNTIFS(Fixtures!$H$2:$H$2102,A110,Fixtures!$I$2:$I$2102,"A")</f>
        <v>1</v>
      </c>
      <c r="F110" s="2" t="n">
        <f aca="false">COUNTIFS(Fixtures!$H$2:$H$2102,A110,Fixtures!$I$2:$I$2102,"N")</f>
        <v>0</v>
      </c>
      <c r="G110" s="3" t="n">
        <f aca="false">IF(E110=0,"",_xlfn.MINIFS(Fixtures!$A$2:$A$2102,Fixtures!$H$2:$H$2102,A110,Fixtures!$I$2:$I$2102,"A"))</f>
        <v>34592</v>
      </c>
      <c r="H110" s="3" t="n">
        <f aca="false">IF(E110=0,"",_xlfn.MAXIFS(Fixtures!$A$2:$A$2102,Fixtures!$H$2:$H$2102,A110,Fixtures!$I$2:$I$2102,"A"))</f>
        <v>34592</v>
      </c>
      <c r="I110" s="2" t="s">
        <v>81</v>
      </c>
      <c r="J110" s="4"/>
    </row>
    <row r="111" customFormat="false" ht="15" hidden="false" customHeight="false" outlineLevel="0" collapsed="false">
      <c r="A111" s="2" t="s">
        <v>227</v>
      </c>
      <c r="B111" s="2" t="s">
        <v>227</v>
      </c>
      <c r="C111" s="2" t="n">
        <f aca="false">COUNTIF(Fixtures!$H$2:$H$2102,A111)</f>
        <v>2</v>
      </c>
      <c r="D111" s="2" t="n">
        <f aca="false">COUNTIFS(Fixtures!$H$2:$H$2102,A111,Fixtures!$I$2:$I$2102,"H")</f>
        <v>1</v>
      </c>
      <c r="E111" s="2" t="n">
        <f aca="false">COUNTIFS(Fixtures!$H$2:$H$2102,A111,Fixtures!$I$2:$I$2102,"A")</f>
        <v>1</v>
      </c>
      <c r="F111" s="2" t="n">
        <f aca="false">COUNTIFS(Fixtures!$H$2:$H$2102,A111,Fixtures!$I$2:$I$2102,"N")</f>
        <v>0</v>
      </c>
      <c r="G111" s="3" t="n">
        <f aca="false">IF(E111=0,"",_xlfn.MINIFS(Fixtures!$A$2:$A$2102,Fixtures!$H$2:$H$2102,A111,Fixtures!$I$2:$I$2102,"A"))</f>
        <v>44935</v>
      </c>
      <c r="H111" s="3" t="n">
        <f aca="false">IF(E111=0,"",_xlfn.MAXIFS(Fixtures!$A$2:$A$2102,Fixtures!$H$2:$H$2102,A111,Fixtures!$I$2:$I$2102,"A"))</f>
        <v>44935</v>
      </c>
      <c r="I111" s="2" t="s">
        <v>147</v>
      </c>
      <c r="J111" s="4"/>
    </row>
    <row r="112" customFormat="false" ht="15" hidden="false" customHeight="false" outlineLevel="0" collapsed="false">
      <c r="A112" s="2" t="s">
        <v>228</v>
      </c>
      <c r="B112" s="2" t="s">
        <v>228</v>
      </c>
      <c r="C112" s="2" t="n">
        <f aca="false">COUNTIF(Fixtures!$H$2:$H$2102,A112)</f>
        <v>6</v>
      </c>
      <c r="D112" s="2" t="n">
        <f aca="false">COUNTIFS(Fixtures!$H$2:$H$2102,A112,Fixtures!$I$2:$I$2102,"H")</f>
        <v>3</v>
      </c>
      <c r="E112" s="2" t="n">
        <f aca="false">COUNTIFS(Fixtures!$H$2:$H$2102,A112,Fixtures!$I$2:$I$2102,"A")</f>
        <v>3</v>
      </c>
      <c r="F112" s="2" t="n">
        <f aca="false">COUNTIFS(Fixtures!$H$2:$H$2102,A112,Fixtures!$I$2:$I$2102,"N")</f>
        <v>0</v>
      </c>
      <c r="G112" s="3" t="n">
        <f aca="false">IF(E112=0,"",_xlfn.MINIFS(Fixtures!$A$2:$A$2102,Fixtures!$H$2:$H$2102,A112,Fixtures!$I$2:$I$2102,"A"))</f>
        <v>36138</v>
      </c>
      <c r="H112" s="3" t="n">
        <f aca="false">IF(E112=0,"",_xlfn.MAXIFS(Fixtures!$A$2:$A$2102,Fixtures!$H$2:$H$2102,A112,Fixtures!$I$2:$I$2102,"A"))</f>
        <v>38280</v>
      </c>
      <c r="I112" s="2" t="s">
        <v>229</v>
      </c>
      <c r="J112" s="4" t="s">
        <v>230</v>
      </c>
    </row>
    <row r="113" customFormat="false" ht="15" hidden="false" customHeight="false" outlineLevel="0" collapsed="false">
      <c r="A113" s="2" t="s">
        <v>231</v>
      </c>
      <c r="B113" s="2" t="s">
        <v>231</v>
      </c>
      <c r="C113" s="2" t="n">
        <f aca="false">COUNTIF(Fixtures!$H$2:$H$2102,A113)</f>
        <v>2</v>
      </c>
      <c r="D113" s="2" t="n">
        <f aca="false">COUNTIFS(Fixtures!$H$2:$H$2102,A113,Fixtures!$I$2:$I$2102,"H")</f>
        <v>1</v>
      </c>
      <c r="E113" s="2" t="n">
        <f aca="false">COUNTIFS(Fixtures!$H$2:$H$2102,A113,Fixtures!$I$2:$I$2102,"A")</f>
        <v>1</v>
      </c>
      <c r="F113" s="2" t="n">
        <f aca="false">COUNTIFS(Fixtures!$H$2:$H$2102,A113,Fixtures!$I$2:$I$2102,"N")</f>
        <v>0</v>
      </c>
      <c r="G113" s="3" t="n">
        <f aca="false">IF(E113=0,"",_xlfn.MINIFS(Fixtures!$A$2:$A$2102,Fixtures!$H$2:$H$2102,A113,Fixtures!$I$2:$I$2102,"A"))</f>
        <v>35689</v>
      </c>
      <c r="H113" s="3" t="n">
        <f aca="false">IF(E113=0,"",_xlfn.MAXIFS(Fixtures!$A$2:$A$2102,Fixtures!$H$2:$H$2102,A113,Fixtures!$I$2:$I$2102,"A"))</f>
        <v>35689</v>
      </c>
      <c r="I113" s="2" t="s">
        <v>232</v>
      </c>
      <c r="J113" s="4"/>
    </row>
    <row r="114" customFormat="false" ht="15" hidden="false" customHeight="false" outlineLevel="0" collapsed="false">
      <c r="A114" s="2" t="s">
        <v>233</v>
      </c>
      <c r="B114" s="2" t="s">
        <v>233</v>
      </c>
      <c r="C114" s="2" t="n">
        <f aca="false">COUNTIF(Fixtures!$H$2:$H$2102,A114)</f>
        <v>8</v>
      </c>
      <c r="D114" s="2" t="n">
        <f aca="false">COUNTIFS(Fixtures!$H$2:$H$2102,A114,Fixtures!$I$2:$I$2102,"H")</f>
        <v>4</v>
      </c>
      <c r="E114" s="2" t="n">
        <f aca="false">COUNTIFS(Fixtures!$H$2:$H$2102,A114,Fixtures!$I$2:$I$2102,"A")</f>
        <v>3</v>
      </c>
      <c r="F114" s="2" t="n">
        <f aca="false">COUNTIFS(Fixtures!$H$2:$H$2102,A114,Fixtures!$I$2:$I$2102,"N")</f>
        <v>1</v>
      </c>
      <c r="G114" s="3" t="n">
        <f aca="false">IF(E114=0,"",_xlfn.MINIFS(Fixtures!$A$2:$A$2102,Fixtures!$H$2:$H$2102,A114,Fixtures!$I$2:$I$2102,"A"))</f>
        <v>34422</v>
      </c>
      <c r="H114" s="3" t="n">
        <f aca="false">IF(E114=0,"",_xlfn.MAXIFS(Fixtures!$A$2:$A$2102,Fixtures!$H$2:$H$2102,A114,Fixtures!$I$2:$I$2102,"A"))</f>
        <v>45784</v>
      </c>
      <c r="I114" s="2" t="s">
        <v>234</v>
      </c>
      <c r="J114" s="4"/>
    </row>
    <row r="115" customFormat="false" ht="15" hidden="false" customHeight="false" outlineLevel="0" collapsed="false">
      <c r="A115" s="2" t="s">
        <v>235</v>
      </c>
      <c r="B115" s="2" t="s">
        <v>235</v>
      </c>
      <c r="C115" s="2" t="n">
        <f aca="false">COUNTIF(Fixtures!$H$2:$H$2102,A115)</f>
        <v>1</v>
      </c>
      <c r="D115" s="2" t="n">
        <f aca="false">COUNTIFS(Fixtures!$H$2:$H$2102,A115,Fixtures!$I$2:$I$2102,"H")</f>
        <v>0</v>
      </c>
      <c r="E115" s="2" t="n">
        <f aca="false">COUNTIFS(Fixtures!$H$2:$H$2102,A115,Fixtures!$I$2:$I$2102,"A")</f>
        <v>0</v>
      </c>
      <c r="F115" s="2" t="n">
        <f aca="false">COUNTIFS(Fixtures!$H$2:$H$2102,A115,Fixtures!$I$2:$I$2102,"N")</f>
        <v>1</v>
      </c>
      <c r="G115" s="3" t="str">
        <f aca="false">IF(E115=0,"",_xlfn.MINIFS(Fixtures!$A$2:$A$2102,Fixtures!$H$2:$H$2102,A115,Fixtures!$I$2:$I$2102,"A"))</f>
        <v/>
      </c>
      <c r="H115" s="3" t="str">
        <f aca="false">IF(E115=0,"",_xlfn.MAXIFS(Fixtures!$A$2:$A$2102,Fixtures!$H$2:$H$2102,A115,Fixtures!$I$2:$I$2102,"A"))</f>
        <v/>
      </c>
      <c r="I115" s="2"/>
      <c r="J115" s="4"/>
    </row>
    <row r="116" customFormat="false" ht="15" hidden="false" customHeight="false" outlineLevel="0" collapsed="false">
      <c r="A116" s="2" t="s">
        <v>236</v>
      </c>
      <c r="B116" s="2" t="s">
        <v>236</v>
      </c>
      <c r="C116" s="2" t="n">
        <f aca="false">COUNTIF(Fixtures!$H$2:$H$2102,A116)</f>
        <v>2</v>
      </c>
      <c r="D116" s="2" t="n">
        <f aca="false">COUNTIFS(Fixtures!$H$2:$H$2102,A116,Fixtures!$I$2:$I$2102,"H")</f>
        <v>1</v>
      </c>
      <c r="E116" s="2" t="n">
        <f aca="false">COUNTIFS(Fixtures!$H$2:$H$2102,A116,Fixtures!$I$2:$I$2102,"A")</f>
        <v>1</v>
      </c>
      <c r="F116" s="2" t="n">
        <f aca="false">COUNTIFS(Fixtures!$H$2:$H$2102,A116,Fixtures!$I$2:$I$2102,"N")</f>
        <v>0</v>
      </c>
      <c r="G116" s="3" t="n">
        <f aca="false">IF(E116=0,"",_xlfn.MINIFS(Fixtures!$A$2:$A$2102,Fixtures!$H$2:$H$2102,A116,Fixtures!$I$2:$I$2102,"A"))</f>
        <v>40449</v>
      </c>
      <c r="H116" s="3" t="n">
        <f aca="false">IF(E116=0,"",_xlfn.MAXIFS(Fixtures!$A$2:$A$2102,Fixtures!$H$2:$H$2102,A116,Fixtures!$I$2:$I$2102,"A"))</f>
        <v>40449</v>
      </c>
      <c r="I116" s="2" t="s">
        <v>187</v>
      </c>
      <c r="J116" s="4"/>
    </row>
    <row r="117" customFormat="false" ht="23.85" hidden="false" customHeight="false" outlineLevel="0" collapsed="false">
      <c r="A117" s="2" t="s">
        <v>237</v>
      </c>
      <c r="B117" s="2" t="s">
        <v>237</v>
      </c>
      <c r="C117" s="2" t="n">
        <f aca="false">COUNTIF(Fixtures!$H$2:$H$2102,A117)</f>
        <v>2</v>
      </c>
      <c r="D117" s="2" t="n">
        <f aca="false">COUNTIFS(Fixtures!$H$2:$H$2102,A117,Fixtures!$I$2:$I$2102,"H")</f>
        <v>1</v>
      </c>
      <c r="E117" s="2" t="n">
        <f aca="false">COUNTIFS(Fixtures!$H$2:$H$2102,A117,Fixtures!$I$2:$I$2102,"A")</f>
        <v>1</v>
      </c>
      <c r="F117" s="2" t="n">
        <f aca="false">COUNTIFS(Fixtures!$H$2:$H$2102,A117,Fixtures!$I$2:$I$2102,"N")</f>
        <v>0</v>
      </c>
      <c r="G117" s="3" t="n">
        <f aca="false">IF(E117=0,"",_xlfn.MINIFS(Fixtures!$A$2:$A$2102,Fixtures!$H$2:$H$2102,A117,Fixtures!$I$2:$I$2102,"A"))</f>
        <v>42675</v>
      </c>
      <c r="H117" s="3" t="n">
        <f aca="false">IF(E117=0,"",_xlfn.MAXIFS(Fixtures!$A$2:$A$2102,Fixtures!$H$2:$H$2102,A117,Fixtures!$I$2:$I$2102,"A"))</f>
        <v>42675</v>
      </c>
      <c r="I117" s="2" t="s">
        <v>138</v>
      </c>
      <c r="J117" s="4" t="s">
        <v>238</v>
      </c>
    </row>
    <row r="118" customFormat="false" ht="15" hidden="false" customHeight="false" outlineLevel="0" collapsed="false">
      <c r="A118" s="2" t="s">
        <v>239</v>
      </c>
      <c r="B118" s="2" t="s">
        <v>239</v>
      </c>
      <c r="C118" s="2" t="n">
        <f aca="false">COUNTIF(Fixtures!$H$2:$H$2102,A118)</f>
        <v>3</v>
      </c>
      <c r="D118" s="2" t="n">
        <f aca="false">COUNTIFS(Fixtures!$H$2:$H$2102,A118,Fixtures!$I$2:$I$2102,"H")</f>
        <v>2</v>
      </c>
      <c r="E118" s="2" t="n">
        <f aca="false">COUNTIFS(Fixtures!$H$2:$H$2102,A118,Fixtures!$I$2:$I$2102,"A")</f>
        <v>1</v>
      </c>
      <c r="F118" s="2" t="n">
        <f aca="false">COUNTIFS(Fixtures!$H$2:$H$2102,A118,Fixtures!$I$2:$I$2102,"N")</f>
        <v>0</v>
      </c>
      <c r="G118" s="3" t="n">
        <f aca="false">IF(E118=0,"",_xlfn.MINIFS(Fixtures!$A$2:$A$2102,Fixtures!$H$2:$H$2102,A118,Fixtures!$I$2:$I$2102,"A"))</f>
        <v>32784</v>
      </c>
      <c r="H118" s="3" t="n">
        <f aca="false">IF(E118=0,"",_xlfn.MAXIFS(Fixtures!$A$2:$A$2102,Fixtures!$H$2:$H$2102,A118,Fixtures!$I$2:$I$2102,"A"))</f>
        <v>32784</v>
      </c>
      <c r="I118" s="2" t="s">
        <v>240</v>
      </c>
      <c r="J118" s="4"/>
    </row>
    <row r="119" customFormat="false" ht="15" hidden="false" customHeight="false" outlineLevel="0" collapsed="false">
      <c r="A119" s="2" t="s">
        <v>241</v>
      </c>
      <c r="B119" s="2" t="s">
        <v>241</v>
      </c>
      <c r="C119" s="2" t="n">
        <f aca="false">COUNTIF(Fixtures!$H$2:$H$2102,A119)</f>
        <v>3</v>
      </c>
      <c r="D119" s="2" t="n">
        <f aca="false">COUNTIFS(Fixtures!$H$2:$H$2102,A119,Fixtures!$I$2:$I$2102,"H")</f>
        <v>1</v>
      </c>
      <c r="E119" s="2" t="n">
        <f aca="false">COUNTIFS(Fixtures!$H$2:$H$2102,A119,Fixtures!$I$2:$I$2102,"A")</f>
        <v>2</v>
      </c>
      <c r="F119" s="2" t="n">
        <f aca="false">COUNTIFS(Fixtures!$H$2:$H$2102,A119,Fixtures!$I$2:$I$2102,"N")</f>
        <v>0</v>
      </c>
      <c r="G119" s="3" t="n">
        <f aca="false">IF(E119=0,"",_xlfn.MINIFS(Fixtures!$A$2:$A$2102,Fixtures!$H$2:$H$2102,A119,Fixtures!$I$2:$I$2102,"A"))</f>
        <v>35809</v>
      </c>
      <c r="H119" s="3" t="n">
        <f aca="false">IF(E119=0,"",_xlfn.MAXIFS(Fixtures!$A$2:$A$2102,Fixtures!$H$2:$H$2102,A119,Fixtures!$I$2:$I$2102,"A"))</f>
        <v>45924</v>
      </c>
      <c r="I119" s="2" t="s">
        <v>242</v>
      </c>
      <c r="J119" s="4"/>
    </row>
    <row r="120" customFormat="false" ht="15" hidden="false" customHeight="false" outlineLevel="0" collapsed="false">
      <c r="A120" s="2" t="s">
        <v>243</v>
      </c>
      <c r="B120" s="2" t="s">
        <v>243</v>
      </c>
      <c r="C120" s="2" t="n">
        <f aca="false">COUNTIF(Fixtures!$H$2:$H$2102,A120)</f>
        <v>17</v>
      </c>
      <c r="D120" s="2" t="n">
        <f aca="false">COUNTIFS(Fixtures!$H$2:$H$2102,A120,Fixtures!$I$2:$I$2102,"H")</f>
        <v>7</v>
      </c>
      <c r="E120" s="2" t="n">
        <f aca="false">COUNTIFS(Fixtures!$H$2:$H$2102,A120,Fixtures!$I$2:$I$2102,"A")</f>
        <v>10</v>
      </c>
      <c r="F120" s="2" t="n">
        <f aca="false">COUNTIFS(Fixtures!$H$2:$H$2102,A120,Fixtures!$I$2:$I$2102,"N")</f>
        <v>0</v>
      </c>
      <c r="G120" s="3" t="n">
        <f aca="false">IF(E120=0,"",_xlfn.MINIFS(Fixtures!$A$2:$A$2102,Fixtures!$H$2:$H$2102,A120,Fixtures!$I$2:$I$2102,"A"))</f>
        <v>38052</v>
      </c>
      <c r="H120" s="3" t="n">
        <f aca="false">IF(E120=0,"",_xlfn.MAXIFS(Fixtures!$A$2:$A$2102,Fixtures!$H$2:$H$2102,A120,Fixtures!$I$2:$I$2102,"A"))</f>
        <v>46033</v>
      </c>
      <c r="I120" s="2" t="s">
        <v>244</v>
      </c>
      <c r="J120" s="4"/>
    </row>
    <row r="121" customFormat="false" ht="15" hidden="false" customHeight="false" outlineLevel="0" collapsed="false">
      <c r="A121" s="2" t="s">
        <v>245</v>
      </c>
      <c r="B121" s="2" t="s">
        <v>245</v>
      </c>
      <c r="C121" s="2" t="n">
        <f aca="false">COUNTIF(Fixtures!$H$2:$H$2102,A121)</f>
        <v>4</v>
      </c>
      <c r="D121" s="2" t="n">
        <f aca="false">COUNTIFS(Fixtures!$H$2:$H$2102,A121,Fixtures!$I$2:$I$2102,"H")</f>
        <v>1</v>
      </c>
      <c r="E121" s="2" t="n">
        <f aca="false">COUNTIFS(Fixtures!$H$2:$H$2102,A121,Fixtures!$I$2:$I$2102,"A")</f>
        <v>3</v>
      </c>
      <c r="F121" s="2" t="n">
        <f aca="false">COUNTIFS(Fixtures!$H$2:$H$2102,A121,Fixtures!$I$2:$I$2102,"N")</f>
        <v>0</v>
      </c>
      <c r="G121" s="3" t="n">
        <f aca="false">IF(E121=0,"",_xlfn.MINIFS(Fixtures!$A$2:$A$2102,Fixtures!$H$2:$H$2102,A121,Fixtures!$I$2:$I$2102,"A"))</f>
        <v>36164</v>
      </c>
      <c r="H121" s="3" t="n">
        <f aca="false">IF(E121=0,"",_xlfn.MAXIFS(Fixtures!$A$2:$A$2102,Fixtures!$H$2:$H$2102,A121,Fixtures!$I$2:$I$2102,"A"))</f>
        <v>45595</v>
      </c>
      <c r="I121" s="2" t="s">
        <v>246</v>
      </c>
      <c r="J121" s="4"/>
    </row>
    <row r="122" customFormat="false" ht="15" hidden="false" customHeight="false" outlineLevel="0" collapsed="false">
      <c r="A122" s="2" t="s">
        <v>247</v>
      </c>
      <c r="B122" s="2" t="s">
        <v>247</v>
      </c>
      <c r="C122" s="2" t="n">
        <f aca="false">COUNTIF(Fixtures!$H$2:$H$2102,A122)</f>
        <v>12</v>
      </c>
      <c r="D122" s="2" t="n">
        <f aca="false">COUNTIFS(Fixtures!$H$2:$H$2102,A122,Fixtures!$I$2:$I$2102,"H")</f>
        <v>6</v>
      </c>
      <c r="E122" s="2" t="n">
        <f aca="false">COUNTIFS(Fixtures!$H$2:$H$2102,A122,Fixtures!$I$2:$I$2102,"A")</f>
        <v>6</v>
      </c>
      <c r="F122" s="2" t="n">
        <f aca="false">COUNTIFS(Fixtures!$H$2:$H$2102,A122,Fixtures!$I$2:$I$2102,"N")</f>
        <v>0</v>
      </c>
      <c r="G122" s="3" t="n">
        <f aca="false">IF(E122=0,"",_xlfn.MINIFS(Fixtures!$A$2:$A$2102,Fixtures!$H$2:$H$2102,A122,Fixtures!$I$2:$I$2102,"A"))</f>
        <v>37524</v>
      </c>
      <c r="H122" s="3" t="n">
        <f aca="false">IF(E122=0,"",_xlfn.MAXIFS(Fixtures!$A$2:$A$2102,Fixtures!$H$2:$H$2102,A122,Fixtures!$I$2:$I$2102,"A"))</f>
        <v>45720</v>
      </c>
      <c r="I122" s="2" t="s">
        <v>248</v>
      </c>
      <c r="J122" s="4"/>
    </row>
    <row r="123" customFormat="false" ht="15" hidden="false" customHeight="false" outlineLevel="0" collapsed="false">
      <c r="A123" s="2" t="s">
        <v>249</v>
      </c>
      <c r="B123" s="2" t="s">
        <v>249</v>
      </c>
      <c r="C123" s="2" t="n">
        <f aca="false">COUNTIF(Fixtures!$H$2:$H$2102,A123)</f>
        <v>25</v>
      </c>
      <c r="D123" s="2" t="n">
        <f aca="false">COUNTIFS(Fixtures!$H$2:$H$2102,A123,Fixtures!$I$2:$I$2102,"H")</f>
        <v>12</v>
      </c>
      <c r="E123" s="2" t="n">
        <f aca="false">COUNTIFS(Fixtures!$H$2:$H$2102,A123,Fixtures!$I$2:$I$2102,"A")</f>
        <v>13</v>
      </c>
      <c r="F123" s="2" t="n">
        <f aca="false">COUNTIFS(Fixtures!$H$2:$H$2102,A123,Fixtures!$I$2:$I$2102,"N")</f>
        <v>0</v>
      </c>
      <c r="G123" s="3" t="n">
        <f aca="false">IF(E123=0,"",_xlfn.MINIFS(Fixtures!$A$2:$A$2102,Fixtures!$H$2:$H$2102,A123,Fixtures!$I$2:$I$2102,"A"))</f>
        <v>32557</v>
      </c>
      <c r="H123" s="3" t="n">
        <f aca="false">IF(E123=0,"",_xlfn.MAXIFS(Fixtures!$A$2:$A$2102,Fixtures!$H$2:$H$2102,A123,Fixtures!$I$2:$I$2102,"A"))</f>
        <v>42067</v>
      </c>
      <c r="I123" s="2" t="s">
        <v>250</v>
      </c>
      <c r="J123" s="4"/>
    </row>
    <row r="124" customFormat="false" ht="15" hidden="false" customHeight="false" outlineLevel="0" collapsed="false">
      <c r="A124" s="2" t="s">
        <v>251</v>
      </c>
      <c r="B124" s="2" t="s">
        <v>251</v>
      </c>
      <c r="C124" s="2" t="n">
        <f aca="false">COUNTIF(Fixtures!$H$2:$H$2102,A124)</f>
        <v>1</v>
      </c>
      <c r="D124" s="2" t="n">
        <f aca="false">COUNTIFS(Fixtures!$H$2:$H$2102,A124,Fixtures!$I$2:$I$2102,"H")</f>
        <v>0</v>
      </c>
      <c r="E124" s="2" t="n">
        <f aca="false">COUNTIFS(Fixtures!$H$2:$H$2102,A124,Fixtures!$I$2:$I$2102,"A")</f>
        <v>1</v>
      </c>
      <c r="F124" s="2" t="n">
        <f aca="false">COUNTIFS(Fixtures!$H$2:$H$2102,A124,Fixtures!$I$2:$I$2102,"N")</f>
        <v>0</v>
      </c>
      <c r="G124" s="3" t="n">
        <f aca="false">IF(E124=0,"",_xlfn.MINIFS(Fixtures!$A$2:$A$2102,Fixtures!$H$2:$H$2102,A124,Fixtures!$I$2:$I$2102,"A"))</f>
        <v>32861</v>
      </c>
      <c r="H124" s="3" t="n">
        <f aca="false">IF(E124=0,"",_xlfn.MAXIFS(Fixtures!$A$2:$A$2102,Fixtures!$H$2:$H$2102,A124,Fixtures!$I$2:$I$2102,"A"))</f>
        <v>32861</v>
      </c>
      <c r="I124" s="2" t="s">
        <v>240</v>
      </c>
      <c r="J124" s="4"/>
    </row>
    <row r="125" customFormat="false" ht="15" hidden="false" customHeight="false" outlineLevel="0" collapsed="false">
      <c r="A125" s="2" t="s">
        <v>252</v>
      </c>
      <c r="B125" s="2" t="s">
        <v>252</v>
      </c>
      <c r="C125" s="2" t="n">
        <f aca="false">COUNTIF(Fixtures!$H$2:$H$2102,A125)</f>
        <v>2</v>
      </c>
      <c r="D125" s="2" t="n">
        <f aca="false">COUNTIFS(Fixtures!$H$2:$H$2102,A125,Fixtures!$I$2:$I$2102,"H")</f>
        <v>1</v>
      </c>
      <c r="E125" s="2" t="n">
        <f aca="false">COUNTIFS(Fixtures!$H$2:$H$2102,A125,Fixtures!$I$2:$I$2102,"A")</f>
        <v>1</v>
      </c>
      <c r="F125" s="2" t="n">
        <f aca="false">COUNTIFS(Fixtures!$H$2:$H$2102,A125,Fixtures!$I$2:$I$2102,"N")</f>
        <v>0</v>
      </c>
      <c r="G125" s="3" t="n">
        <f aca="false">IF(E125=0,"",_xlfn.MINIFS(Fixtures!$A$2:$A$2102,Fixtures!$H$2:$H$2102,A125,Fixtures!$I$2:$I$2102,"A"))</f>
        <v>44126</v>
      </c>
      <c r="H125" s="3" t="n">
        <f aca="false">IF(E125=0,"",_xlfn.MAXIFS(Fixtures!$A$2:$A$2102,Fixtures!$H$2:$H$2102,A125,Fixtures!$I$2:$I$2102,"A"))</f>
        <v>44126</v>
      </c>
      <c r="I125" s="2" t="s">
        <v>125</v>
      </c>
      <c r="J125" s="4"/>
    </row>
    <row r="126" customFormat="false" ht="15" hidden="false" customHeight="false" outlineLevel="0" collapsed="false">
      <c r="A126" s="2" t="s">
        <v>253</v>
      </c>
      <c r="B126" s="2" t="s">
        <v>253</v>
      </c>
      <c r="C126" s="2" t="n">
        <f aca="false">COUNTIF(Fixtures!$H$2:$H$2102,A126)</f>
        <v>6</v>
      </c>
      <c r="D126" s="2" t="n">
        <f aca="false">COUNTIFS(Fixtures!$H$2:$H$2102,A126,Fixtures!$I$2:$I$2102,"H")</f>
        <v>3</v>
      </c>
      <c r="E126" s="2" t="n">
        <f aca="false">COUNTIFS(Fixtures!$H$2:$H$2102,A126,Fixtures!$I$2:$I$2102,"A")</f>
        <v>3</v>
      </c>
      <c r="F126" s="2" t="n">
        <f aca="false">COUNTIFS(Fixtures!$H$2:$H$2102,A126,Fixtures!$I$2:$I$2102,"N")</f>
        <v>0</v>
      </c>
      <c r="G126" s="3" t="n">
        <f aca="false">IF(E126=0,"",_xlfn.MINIFS(Fixtures!$A$2:$A$2102,Fixtures!$H$2:$H$2102,A126,Fixtures!$I$2:$I$2102,"A"))</f>
        <v>36054</v>
      </c>
      <c r="H126" s="3" t="n">
        <f aca="false">IF(E126=0,"",_xlfn.MAXIFS(Fixtures!$A$2:$A$2102,Fixtures!$H$2:$H$2102,A126,Fixtures!$I$2:$I$2102,"A"))</f>
        <v>45202</v>
      </c>
      <c r="I126" s="2" t="s">
        <v>254</v>
      </c>
      <c r="J126" s="4"/>
    </row>
    <row r="127" customFormat="false" ht="15" hidden="false" customHeight="false" outlineLevel="0" collapsed="false">
      <c r="A127" s="2" t="s">
        <v>255</v>
      </c>
      <c r="B127" s="2" t="s">
        <v>255</v>
      </c>
      <c r="C127" s="2" t="n">
        <f aca="false">COUNTIF(Fixtures!$H$2:$H$2102,A127)</f>
        <v>10</v>
      </c>
      <c r="D127" s="2" t="n">
        <f aca="false">COUNTIFS(Fixtures!$H$2:$H$2102,A127,Fixtures!$I$2:$I$2102,"H")</f>
        <v>5</v>
      </c>
      <c r="E127" s="2" t="n">
        <f aca="false">COUNTIFS(Fixtures!$H$2:$H$2102,A127,Fixtures!$I$2:$I$2102,"A")</f>
        <v>4</v>
      </c>
      <c r="F127" s="2" t="n">
        <f aca="false">COUNTIFS(Fixtures!$H$2:$H$2102,A127,Fixtures!$I$2:$I$2102,"N")</f>
        <v>1</v>
      </c>
      <c r="G127" s="3" t="n">
        <f aca="false">IF(E127=0,"",_xlfn.MINIFS(Fixtures!$A$2:$A$2102,Fixtures!$H$2:$H$2102,A127,Fixtures!$I$2:$I$2102,"A"))</f>
        <v>39012</v>
      </c>
      <c r="H127" s="3" t="n">
        <f aca="false">IF(E127=0,"",_xlfn.MAXIFS(Fixtures!$A$2:$A$2102,Fixtures!$H$2:$H$2102,A127,Fixtures!$I$2:$I$2102,"A"))</f>
        <v>41260</v>
      </c>
      <c r="I127" s="2" t="s">
        <v>256</v>
      </c>
      <c r="J127" s="4"/>
    </row>
    <row r="128" customFormat="false" ht="15" hidden="false" customHeight="false" outlineLevel="0" collapsed="false">
      <c r="A128" s="2" t="s">
        <v>257</v>
      </c>
      <c r="B128" s="2" t="s">
        <v>257</v>
      </c>
      <c r="C128" s="2" t="n">
        <f aca="false">COUNTIF(Fixtures!$H$2:$H$2102,A128)</f>
        <v>4</v>
      </c>
      <c r="D128" s="2" t="n">
        <f aca="false">COUNTIFS(Fixtures!$H$2:$H$2102,A128,Fixtures!$I$2:$I$2102,"H")</f>
        <v>2</v>
      </c>
      <c r="E128" s="2" t="n">
        <f aca="false">COUNTIFS(Fixtures!$H$2:$H$2102,A128,Fixtures!$I$2:$I$2102,"A")</f>
        <v>2</v>
      </c>
      <c r="F128" s="2" t="n">
        <f aca="false">COUNTIFS(Fixtures!$H$2:$H$2102,A128,Fixtures!$I$2:$I$2102,"N")</f>
        <v>0</v>
      </c>
      <c r="G128" s="3" t="n">
        <f aca="false">IF(E128=0,"",_xlfn.MINIFS(Fixtures!$A$2:$A$2102,Fixtures!$H$2:$H$2102,A128,Fixtures!$I$2:$I$2102,"A"))</f>
        <v>38769</v>
      </c>
      <c r="H128" s="3" t="n">
        <f aca="false">IF(E128=0,"",_xlfn.MAXIFS(Fixtures!$A$2:$A$2102,Fixtures!$H$2:$H$2102,A128,Fixtures!$I$2:$I$2102,"A"))</f>
        <v>45763</v>
      </c>
      <c r="I128" s="2" t="s">
        <v>258</v>
      </c>
      <c r="J128" s="4"/>
    </row>
    <row r="129" customFormat="false" ht="15" hidden="false" customHeight="false" outlineLevel="0" collapsed="false">
      <c r="A129" s="2" t="s">
        <v>259</v>
      </c>
      <c r="B129" s="2" t="s">
        <v>259</v>
      </c>
      <c r="C129" s="2" t="n">
        <f aca="false">COUNTIF(Fixtures!$H$2:$H$2102,A129)</f>
        <v>2</v>
      </c>
      <c r="D129" s="2" t="n">
        <f aca="false">COUNTIFS(Fixtures!$H$2:$H$2102,A129,Fixtures!$I$2:$I$2102,"H")</f>
        <v>1</v>
      </c>
      <c r="E129" s="2" t="n">
        <f aca="false">COUNTIFS(Fixtures!$H$2:$H$2102,A129,Fixtures!$I$2:$I$2102,"A")</f>
        <v>1</v>
      </c>
      <c r="F129" s="2" t="n">
        <f aca="false">COUNTIFS(Fixtures!$H$2:$H$2102,A129,Fixtures!$I$2:$I$2102,"N")</f>
        <v>0</v>
      </c>
      <c r="G129" s="3" t="n">
        <f aca="false">IF(E129=0,"",_xlfn.MINIFS(Fixtures!$A$2:$A$2102,Fixtures!$H$2:$H$2102,A129,Fixtures!$I$2:$I$2102,"A"))</f>
        <v>37145</v>
      </c>
      <c r="H129" s="3" t="n">
        <f aca="false">IF(E129=0,"",_xlfn.MAXIFS(Fixtures!$A$2:$A$2102,Fixtures!$H$2:$H$2102,A129,Fixtures!$I$2:$I$2102,"A"))</f>
        <v>37145</v>
      </c>
      <c r="I129" s="2" t="s">
        <v>115</v>
      </c>
      <c r="J129" s="4"/>
    </row>
    <row r="130" customFormat="false" ht="15" hidden="false" customHeight="false" outlineLevel="0" collapsed="false">
      <c r="A130" s="2" t="s">
        <v>260</v>
      </c>
      <c r="B130" s="2" t="s">
        <v>260</v>
      </c>
      <c r="C130" s="2" t="n">
        <f aca="false">COUNTIF(Fixtures!$H$2:$H$2102,A130)</f>
        <v>1</v>
      </c>
      <c r="D130" s="2" t="n">
        <f aca="false">COUNTIFS(Fixtures!$H$2:$H$2102,A130,Fixtures!$I$2:$I$2102,"H")</f>
        <v>0</v>
      </c>
      <c r="E130" s="2" t="n">
        <f aca="false">COUNTIFS(Fixtures!$H$2:$H$2102,A130,Fixtures!$I$2:$I$2102,"A")</f>
        <v>0</v>
      </c>
      <c r="F130" s="2" t="n">
        <f aca="false">COUNTIFS(Fixtures!$H$2:$H$2102,A130,Fixtures!$I$2:$I$2102,"N")</f>
        <v>1</v>
      </c>
      <c r="G130" s="3" t="str">
        <f aca="false">IF(E130=0,"",_xlfn.MINIFS(Fixtures!$A$2:$A$2102,Fixtures!$H$2:$H$2102,A130,Fixtures!$I$2:$I$2102,"A"))</f>
        <v/>
      </c>
      <c r="H130" s="3" t="str">
        <f aca="false">IF(E130=0,"",_xlfn.MAXIFS(Fixtures!$A$2:$A$2102,Fixtures!$H$2:$H$2102,A130,Fixtures!$I$2:$I$2102,"A"))</f>
        <v/>
      </c>
      <c r="I130" s="2"/>
      <c r="J130" s="4"/>
    </row>
    <row r="131" customFormat="false" ht="15" hidden="false" customHeight="false" outlineLevel="0" collapsed="false">
      <c r="A131" s="2" t="s">
        <v>261</v>
      </c>
      <c r="B131" s="2" t="s">
        <v>261</v>
      </c>
      <c r="C131" s="2" t="n">
        <f aca="false">COUNTIF(Fixtures!$H$2:$H$2102,A131)</f>
        <v>2</v>
      </c>
      <c r="D131" s="2" t="n">
        <f aca="false">COUNTIFS(Fixtures!$H$2:$H$2102,A131,Fixtures!$I$2:$I$2102,"H")</f>
        <v>1</v>
      </c>
      <c r="E131" s="2" t="n">
        <f aca="false">COUNTIFS(Fixtures!$H$2:$H$2102,A131,Fixtures!$I$2:$I$2102,"A")</f>
        <v>1</v>
      </c>
      <c r="F131" s="2" t="n">
        <f aca="false">COUNTIFS(Fixtures!$H$2:$H$2102,A131,Fixtures!$I$2:$I$2102,"N")</f>
        <v>0</v>
      </c>
      <c r="G131" s="3" t="n">
        <f aca="false">IF(E131=0,"",_xlfn.MINIFS(Fixtures!$A$2:$A$2102,Fixtures!$H$2:$H$2102,A131,Fixtures!$I$2:$I$2102,"A"))</f>
        <v>43531</v>
      </c>
      <c r="H131" s="3" t="n">
        <f aca="false">IF(E131=0,"",_xlfn.MAXIFS(Fixtures!$A$2:$A$2102,Fixtures!$H$2:$H$2102,A131,Fixtures!$I$2:$I$2102,"A"))</f>
        <v>43531</v>
      </c>
      <c r="I131" s="2" t="s">
        <v>153</v>
      </c>
      <c r="J131" s="4"/>
    </row>
    <row r="132" customFormat="false" ht="15" hidden="false" customHeight="false" outlineLevel="0" collapsed="false">
      <c r="A132" s="2" t="s">
        <v>262</v>
      </c>
      <c r="B132" s="2" t="s">
        <v>262</v>
      </c>
      <c r="C132" s="2" t="n">
        <f aca="false">COUNTIF(Fixtures!$H$2:$H$2102,A132)</f>
        <v>2</v>
      </c>
      <c r="D132" s="2" t="n">
        <f aca="false">COUNTIFS(Fixtures!$H$2:$H$2102,A132,Fixtures!$I$2:$I$2102,"H")</f>
        <v>1</v>
      </c>
      <c r="E132" s="2" t="n">
        <f aca="false">COUNTIFS(Fixtures!$H$2:$H$2102,A132,Fixtures!$I$2:$I$2102,"A")</f>
        <v>1</v>
      </c>
      <c r="F132" s="2" t="n">
        <f aca="false">COUNTIFS(Fixtures!$H$2:$H$2102,A132,Fixtures!$I$2:$I$2102,"N")</f>
        <v>0</v>
      </c>
      <c r="G132" s="3" t="n">
        <f aca="false">IF(E132=0,"",_xlfn.MINIFS(Fixtures!$A$2:$A$2102,Fixtures!$H$2:$H$2102,A132,Fixtures!$I$2:$I$2102,"A"))</f>
        <v>38259</v>
      </c>
      <c r="H132" s="3" t="n">
        <f aca="false">IF(E132=0,"",_xlfn.MAXIFS(Fixtures!$A$2:$A$2102,Fixtures!$H$2:$H$2102,A132,Fixtures!$I$2:$I$2102,"A"))</f>
        <v>38259</v>
      </c>
      <c r="I132" s="2" t="s">
        <v>263</v>
      </c>
      <c r="J132" s="4"/>
    </row>
    <row r="133" customFormat="false" ht="15" hidden="false" customHeight="false" outlineLevel="0" collapsed="false">
      <c r="A133" s="2" t="s">
        <v>264</v>
      </c>
      <c r="B133" s="2" t="s">
        <v>264</v>
      </c>
      <c r="C133" s="2" t="n">
        <f aca="false">COUNTIF(Fixtures!$H$2:$H$2102,A133)</f>
        <v>1</v>
      </c>
      <c r="D133" s="2" t="n">
        <f aca="false">COUNTIFS(Fixtures!$H$2:$H$2102,A133,Fixtures!$I$2:$I$2102,"H")</f>
        <v>1</v>
      </c>
      <c r="E133" s="2" t="n">
        <f aca="false">COUNTIFS(Fixtures!$H$2:$H$2102,A133,Fixtures!$I$2:$I$2102,"A")</f>
        <v>0</v>
      </c>
      <c r="F133" s="2" t="n">
        <f aca="false">COUNTIFS(Fixtures!$H$2:$H$2102,A133,Fixtures!$I$2:$I$2102,"N")</f>
        <v>0</v>
      </c>
      <c r="G133" s="3" t="str">
        <f aca="false">IF(E133=0,"",_xlfn.MINIFS(Fixtures!$A$2:$A$2102,Fixtures!$H$2:$H$2102,A133,Fixtures!$I$2:$I$2102,"A"))</f>
        <v/>
      </c>
      <c r="H133" s="3" t="str">
        <f aca="false">IF(E133=0,"",_xlfn.MAXIFS(Fixtures!$A$2:$A$2102,Fixtures!$H$2:$H$2102,A133,Fixtures!$I$2:$I$2102,"A"))</f>
        <v/>
      </c>
      <c r="I133" s="2"/>
      <c r="J133" s="4"/>
    </row>
    <row r="134" customFormat="false" ht="15" hidden="false" customHeight="false" outlineLevel="0" collapsed="false">
      <c r="A134" s="2" t="s">
        <v>265</v>
      </c>
      <c r="B134" s="2" t="s">
        <v>265</v>
      </c>
      <c r="C134" s="2" t="n">
        <f aca="false">COUNTIF(Fixtures!$H$2:$H$2102,A134)</f>
        <v>2</v>
      </c>
      <c r="D134" s="2" t="n">
        <f aca="false">COUNTIFS(Fixtures!$H$2:$H$2102,A134,Fixtures!$I$2:$I$2102,"H")</f>
        <v>1</v>
      </c>
      <c r="E134" s="2" t="n">
        <f aca="false">COUNTIFS(Fixtures!$H$2:$H$2102,A134,Fixtures!$I$2:$I$2102,"A")</f>
        <v>1</v>
      </c>
      <c r="F134" s="2" t="n">
        <f aca="false">COUNTIFS(Fixtures!$H$2:$H$2102,A134,Fixtures!$I$2:$I$2102,"N")</f>
        <v>0</v>
      </c>
      <c r="G134" s="3" t="n">
        <f aca="false">IF(E134=0,"",_xlfn.MINIFS(Fixtures!$A$2:$A$2102,Fixtures!$H$2:$H$2102,A134,Fixtures!$I$2:$I$2102,"A"))</f>
        <v>34809</v>
      </c>
      <c r="H134" s="3" t="n">
        <f aca="false">IF(E134=0,"",_xlfn.MAXIFS(Fixtures!$A$2:$A$2102,Fixtures!$H$2:$H$2102,A134,Fixtures!$I$2:$I$2102,"A"))</f>
        <v>34809</v>
      </c>
      <c r="I134" s="2" t="s">
        <v>81</v>
      </c>
      <c r="J134" s="4"/>
    </row>
    <row r="135" customFormat="false" ht="15" hidden="false" customHeight="false" outlineLevel="0" collapsed="false">
      <c r="A135" s="2" t="s">
        <v>266</v>
      </c>
      <c r="B135" s="2" t="s">
        <v>266</v>
      </c>
      <c r="C135" s="2" t="n">
        <f aca="false">COUNTIF(Fixtures!$H$2:$H$2102,A135)</f>
        <v>1</v>
      </c>
      <c r="D135" s="2" t="n">
        <f aca="false">COUNTIFS(Fixtures!$H$2:$H$2102,A135,Fixtures!$I$2:$I$2102,"H")</f>
        <v>0</v>
      </c>
      <c r="E135" s="2" t="n">
        <f aca="false">COUNTIFS(Fixtures!$H$2:$H$2102,A135,Fixtures!$I$2:$I$2102,"A")</f>
        <v>1</v>
      </c>
      <c r="F135" s="2" t="n">
        <f aca="false">COUNTIFS(Fixtures!$H$2:$H$2102,A135,Fixtures!$I$2:$I$2102,"N")</f>
        <v>0</v>
      </c>
      <c r="G135" s="3" t="n">
        <f aca="false">IF(E135=0,"",_xlfn.MINIFS(Fixtures!$A$2:$A$2102,Fixtures!$H$2:$H$2102,A135,Fixtures!$I$2:$I$2102,"A"))</f>
        <v>33975</v>
      </c>
      <c r="H135" s="3" t="n">
        <f aca="false">IF(E135=0,"",_xlfn.MAXIFS(Fixtures!$A$2:$A$2102,Fixtures!$H$2:$H$2102,A135,Fixtures!$I$2:$I$2102,"A"))</f>
        <v>33975</v>
      </c>
      <c r="I135" s="2" t="s">
        <v>267</v>
      </c>
      <c r="J135" s="4"/>
    </row>
    <row r="136" customFormat="false" ht="15" hidden="false" customHeight="false" outlineLevel="0" collapsed="false">
      <c r="A136" s="2" t="s">
        <v>268</v>
      </c>
      <c r="B136" s="2" t="s">
        <v>268</v>
      </c>
      <c r="C136" s="2" t="n">
        <f aca="false">COUNTIF(Fixtures!$H$2:$H$2102,A136)</f>
        <v>4</v>
      </c>
      <c r="D136" s="2" t="n">
        <f aca="false">COUNTIFS(Fixtures!$H$2:$H$2102,A136,Fixtures!$I$2:$I$2102,"H")</f>
        <v>2</v>
      </c>
      <c r="E136" s="2" t="n">
        <f aca="false">COUNTIFS(Fixtures!$H$2:$H$2102,A136,Fixtures!$I$2:$I$2102,"A")</f>
        <v>2</v>
      </c>
      <c r="F136" s="2" t="n">
        <f aca="false">COUNTIFS(Fixtures!$H$2:$H$2102,A136,Fixtures!$I$2:$I$2102,"N")</f>
        <v>0</v>
      </c>
      <c r="G136" s="3" t="n">
        <f aca="false">IF(E136=0,"",_xlfn.MINIFS(Fixtures!$A$2:$A$2102,Fixtures!$H$2:$H$2102,A136,Fixtures!$I$2:$I$2102,"A"))</f>
        <v>37194</v>
      </c>
      <c r="H136" s="3" t="n">
        <f aca="false">IF(E136=0,"",_xlfn.MAXIFS(Fixtures!$A$2:$A$2102,Fixtures!$H$2:$H$2102,A136,Fixtures!$I$2:$I$2102,"A"))</f>
        <v>41219</v>
      </c>
      <c r="I136" s="2" t="s">
        <v>269</v>
      </c>
      <c r="J136" s="4"/>
    </row>
    <row r="137" customFormat="false" ht="15" hidden="false" customHeight="false" outlineLevel="0" collapsed="false">
      <c r="A137" s="2" t="s">
        <v>270</v>
      </c>
      <c r="B137" s="2" t="s">
        <v>270</v>
      </c>
      <c r="C137" s="2" t="n">
        <f aca="false">COUNTIF(Fixtures!$H$2:$H$2102,A137)</f>
        <v>4</v>
      </c>
      <c r="D137" s="2" t="n">
        <f aca="false">COUNTIFS(Fixtures!$H$2:$H$2102,A137,Fixtures!$I$2:$I$2102,"H")</f>
        <v>2</v>
      </c>
      <c r="E137" s="2" t="n">
        <f aca="false">COUNTIFS(Fixtures!$H$2:$H$2102,A137,Fixtures!$I$2:$I$2102,"A")</f>
        <v>2</v>
      </c>
      <c r="F137" s="2" t="n">
        <f aca="false">COUNTIFS(Fixtures!$H$2:$H$2102,A137,Fixtures!$I$2:$I$2102,"N")</f>
        <v>0</v>
      </c>
      <c r="G137" s="3" t="n">
        <f aca="false">IF(E137=0,"",_xlfn.MINIFS(Fixtures!$A$2:$A$2102,Fixtures!$H$2:$H$2102,A137,Fixtures!$I$2:$I$2102,"A"))</f>
        <v>39413</v>
      </c>
      <c r="H137" s="3" t="n">
        <f aca="false">IF(E137=0,"",_xlfn.MAXIFS(Fixtures!$A$2:$A$2102,Fixtures!$H$2:$H$2102,A137,Fixtures!$I$2:$I$2102,"A"))</f>
        <v>45223</v>
      </c>
      <c r="I137" s="2" t="s">
        <v>271</v>
      </c>
      <c r="J137" s="4"/>
    </row>
    <row r="138" customFormat="false" ht="15" hidden="false" customHeight="false" outlineLevel="0" collapsed="false">
      <c r="A138" s="2" t="s">
        <v>272</v>
      </c>
      <c r="B138" s="2" t="s">
        <v>272</v>
      </c>
      <c r="C138" s="2" t="n">
        <f aca="false">COUNTIF(Fixtures!$H$2:$H$2102,A138)</f>
        <v>5</v>
      </c>
      <c r="D138" s="2" t="n">
        <f aca="false">COUNTIFS(Fixtures!$H$2:$H$2102,A138,Fixtures!$I$2:$I$2102,"H")</f>
        <v>3</v>
      </c>
      <c r="E138" s="2" t="n">
        <f aca="false">COUNTIFS(Fixtures!$H$2:$H$2102,A138,Fixtures!$I$2:$I$2102,"A")</f>
        <v>2</v>
      </c>
      <c r="F138" s="2" t="n">
        <f aca="false">COUNTIFS(Fixtures!$H$2:$H$2102,A138,Fixtures!$I$2:$I$2102,"N")</f>
        <v>0</v>
      </c>
      <c r="G138" s="3" t="n">
        <f aca="false">IF(E138=0,"",_xlfn.MINIFS(Fixtures!$A$2:$A$2102,Fixtures!$H$2:$H$2102,A138,Fixtures!$I$2:$I$2102,"A"))</f>
        <v>36837</v>
      </c>
      <c r="H138" s="3" t="n">
        <f aca="false">IF(E138=0,"",_xlfn.MAXIFS(Fixtures!$A$2:$A$2102,Fixtures!$H$2:$H$2102,A138,Fixtures!$I$2:$I$2102,"A"))</f>
        <v>40485</v>
      </c>
      <c r="I138" s="2" t="s">
        <v>273</v>
      </c>
      <c r="J138" s="4" t="s">
        <v>274</v>
      </c>
    </row>
    <row r="139" customFormat="false" ht="15" hidden="false" customHeight="false" outlineLevel="0" collapsed="false">
      <c r="A139" s="2" t="s">
        <v>275</v>
      </c>
      <c r="B139" s="2" t="s">
        <v>275</v>
      </c>
      <c r="C139" s="2" t="n">
        <f aca="false">COUNTIF(Fixtures!$H$2:$H$2102,A139)</f>
        <v>25</v>
      </c>
      <c r="D139" s="2" t="n">
        <f aca="false">COUNTIFS(Fixtures!$H$2:$H$2102,A139,Fixtures!$I$2:$I$2102,"H")</f>
        <v>12</v>
      </c>
      <c r="E139" s="2" t="n">
        <f aca="false">COUNTIFS(Fixtures!$H$2:$H$2102,A139,Fixtures!$I$2:$I$2102,"A")</f>
        <v>12</v>
      </c>
      <c r="F139" s="2" t="n">
        <f aca="false">COUNTIFS(Fixtures!$H$2:$H$2102,A139,Fixtures!$I$2:$I$2102,"N")</f>
        <v>1</v>
      </c>
      <c r="G139" s="3" t="n">
        <f aca="false">IF(E139=0,"",_xlfn.MINIFS(Fixtures!$A$2:$A$2102,Fixtures!$H$2:$H$2102,A139,Fixtures!$I$2:$I$2102,"A"))</f>
        <v>33334</v>
      </c>
      <c r="H139" s="3" t="n">
        <f aca="false">IF(E139=0,"",_xlfn.MAXIFS(Fixtures!$A$2:$A$2102,Fixtures!$H$2:$H$2102,A139,Fixtures!$I$2:$I$2102,"A"))</f>
        <v>45355</v>
      </c>
      <c r="I139" s="2" t="s">
        <v>276</v>
      </c>
      <c r="J139" s="4"/>
    </row>
    <row r="140" customFormat="false" ht="15" hidden="false" customHeight="false" outlineLevel="0" collapsed="false">
      <c r="A140" s="2" t="s">
        <v>277</v>
      </c>
      <c r="B140" s="2" t="s">
        <v>277</v>
      </c>
      <c r="C140" s="2" t="n">
        <f aca="false">COUNTIF(Fixtures!$H$2:$H$2102,A140)</f>
        <v>28</v>
      </c>
      <c r="D140" s="2" t="n">
        <f aca="false">COUNTIFS(Fixtures!$H$2:$H$2102,A140,Fixtures!$I$2:$I$2102,"H")</f>
        <v>13</v>
      </c>
      <c r="E140" s="2" t="n">
        <f aca="false">COUNTIFS(Fixtures!$H$2:$H$2102,A140,Fixtures!$I$2:$I$2102,"A")</f>
        <v>12</v>
      </c>
      <c r="F140" s="2" t="n">
        <f aca="false">COUNTIFS(Fixtures!$H$2:$H$2102,A140,Fixtures!$I$2:$I$2102,"N")</f>
        <v>3</v>
      </c>
      <c r="G140" s="3" t="n">
        <f aca="false">IF(E140=0,"",_xlfn.MINIFS(Fixtures!$A$2:$A$2102,Fixtures!$H$2:$H$2102,A140,Fixtures!$I$2:$I$2102,"A"))</f>
        <v>32410</v>
      </c>
      <c r="H140" s="3" t="n">
        <f aca="false">IF(E140=0,"",_xlfn.MAXIFS(Fixtures!$A$2:$A$2102,Fixtures!$H$2:$H$2102,A140,Fixtures!$I$2:$I$2102,"A"))</f>
        <v>42304</v>
      </c>
      <c r="I140" s="2" t="s">
        <v>278</v>
      </c>
      <c r="J140" s="4"/>
    </row>
    <row r="141" customFormat="false" ht="15" hidden="false" customHeight="false" outlineLevel="0" collapsed="false">
      <c r="A141" s="2" t="s">
        <v>279</v>
      </c>
      <c r="B141" s="2" t="s">
        <v>279</v>
      </c>
      <c r="C141" s="2" t="n">
        <f aca="false">COUNTIF(Fixtures!$H$2:$H$2102,A141)</f>
        <v>2</v>
      </c>
      <c r="D141" s="2" t="n">
        <f aca="false">COUNTIFS(Fixtures!$H$2:$H$2102,A141,Fixtures!$I$2:$I$2102,"H")</f>
        <v>1</v>
      </c>
      <c r="E141" s="2" t="n">
        <f aca="false">COUNTIFS(Fixtures!$H$2:$H$2102,A141,Fixtures!$I$2:$I$2102,"A")</f>
        <v>1</v>
      </c>
      <c r="F141" s="2" t="n">
        <f aca="false">COUNTIFS(Fixtures!$H$2:$H$2102,A141,Fixtures!$I$2:$I$2102,"N")</f>
        <v>0</v>
      </c>
      <c r="G141" s="3" t="n">
        <f aca="false">IF(E141=0,"",_xlfn.MINIFS(Fixtures!$A$2:$A$2102,Fixtures!$H$2:$H$2102,A141,Fixtures!$I$2:$I$2102,"A"))</f>
        <v>33296</v>
      </c>
      <c r="H141" s="3" t="n">
        <f aca="false">IF(E141=0,"",_xlfn.MAXIFS(Fixtures!$A$2:$A$2102,Fixtures!$H$2:$H$2102,A141,Fixtures!$I$2:$I$2102,"A"))</f>
        <v>33296</v>
      </c>
      <c r="I141" s="2" t="s">
        <v>99</v>
      </c>
      <c r="J141" s="4"/>
    </row>
    <row r="142" customFormat="false" ht="15" hidden="false" customHeight="false" outlineLevel="0" collapsed="false">
      <c r="A142" s="2" t="s">
        <v>280</v>
      </c>
      <c r="B142" s="2" t="s">
        <v>280</v>
      </c>
      <c r="C142" s="2" t="n">
        <f aca="false">COUNTIF(Fixtures!$H$2:$H$2102,A142)</f>
        <v>5</v>
      </c>
      <c r="D142" s="2" t="n">
        <f aca="false">COUNTIFS(Fixtures!$H$2:$H$2102,A142,Fixtures!$I$2:$I$2102,"H")</f>
        <v>2</v>
      </c>
      <c r="E142" s="2" t="n">
        <f aca="false">COUNTIFS(Fixtures!$H$2:$H$2102,A142,Fixtures!$I$2:$I$2102,"A")</f>
        <v>3</v>
      </c>
      <c r="F142" s="2" t="n">
        <f aca="false">COUNTIFS(Fixtures!$H$2:$H$2102,A142,Fixtures!$I$2:$I$2102,"N")</f>
        <v>0</v>
      </c>
      <c r="G142" s="3" t="n">
        <f aca="false">IF(E142=0,"",_xlfn.MINIFS(Fixtures!$A$2:$A$2102,Fixtures!$H$2:$H$2102,A142,Fixtures!$I$2:$I$2102,"A"))</f>
        <v>39393</v>
      </c>
      <c r="H142" s="3" t="n">
        <f aca="false">IF(E142=0,"",_xlfn.MAXIFS(Fixtures!$A$2:$A$2102,Fixtures!$H$2:$H$2102,A142,Fixtures!$I$2:$I$2102,"A"))</f>
        <v>45965</v>
      </c>
      <c r="I142" s="2" t="s">
        <v>281</v>
      </c>
      <c r="J142" s="4"/>
    </row>
    <row r="143" customFormat="false" ht="15" hidden="false" customHeight="false" outlineLevel="0" collapsed="false">
      <c r="A143" s="2" t="s">
        <v>282</v>
      </c>
      <c r="B143" s="2" t="s">
        <v>282</v>
      </c>
      <c r="C143" s="2" t="n">
        <f aca="false">COUNTIF(Fixtures!$H$2:$H$2102,A143)</f>
        <v>64</v>
      </c>
      <c r="D143" s="2" t="n">
        <f aca="false">COUNTIFS(Fixtures!$H$2:$H$2102,A143,Fixtures!$I$2:$I$2102,"H")</f>
        <v>31</v>
      </c>
      <c r="E143" s="2" t="n">
        <f aca="false">COUNTIFS(Fixtures!$H$2:$H$2102,A143,Fixtures!$I$2:$I$2102,"A")</f>
        <v>32</v>
      </c>
      <c r="F143" s="2" t="n">
        <f aca="false">COUNTIFS(Fixtures!$H$2:$H$2102,A143,Fixtures!$I$2:$I$2102,"N")</f>
        <v>1</v>
      </c>
      <c r="G143" s="3" t="n">
        <f aca="false">IF(E143=0,"",_xlfn.MINIFS(Fixtures!$A$2:$A$2102,Fixtures!$H$2:$H$2102,A143,Fixtures!$I$2:$I$2102,"A"))</f>
        <v>32592</v>
      </c>
      <c r="H143" s="3" t="n">
        <f aca="false">IF(E143=0,"",_xlfn.MAXIFS(Fixtures!$A$2:$A$2102,Fixtures!$H$2:$H$2102,A143,Fixtures!$I$2:$I$2102,"A"))</f>
        <v>46116</v>
      </c>
      <c r="I143" s="2" t="s">
        <v>283</v>
      </c>
      <c r="J143" s="4" t="s">
        <v>284</v>
      </c>
    </row>
    <row r="144" customFormat="false" ht="15" hidden="false" customHeight="false" outlineLevel="0" collapsed="false">
      <c r="A144" s="2" t="s">
        <v>285</v>
      </c>
      <c r="B144" s="2" t="s">
        <v>285</v>
      </c>
      <c r="C144" s="2" t="n">
        <f aca="false">COUNTIF(Fixtures!$H$2:$H$2102,A144)</f>
        <v>6</v>
      </c>
      <c r="D144" s="2" t="n">
        <f aca="false">COUNTIFS(Fixtures!$H$2:$H$2102,A144,Fixtures!$I$2:$I$2102,"H")</f>
        <v>3</v>
      </c>
      <c r="E144" s="2" t="n">
        <f aca="false">COUNTIFS(Fixtures!$H$2:$H$2102,A144,Fixtures!$I$2:$I$2102,"A")</f>
        <v>3</v>
      </c>
      <c r="F144" s="2" t="n">
        <f aca="false">COUNTIFS(Fixtures!$H$2:$H$2102,A144,Fixtures!$I$2:$I$2102,"N")</f>
        <v>0</v>
      </c>
      <c r="G144" s="3" t="n">
        <f aca="false">IF(E144=0,"",_xlfn.MINIFS(Fixtures!$A$2:$A$2102,Fixtures!$H$2:$H$2102,A144,Fixtures!$I$2:$I$2102,"A"))</f>
        <v>36781</v>
      </c>
      <c r="H144" s="3" t="n">
        <f aca="false">IF(E144=0,"",_xlfn.MAXIFS(Fixtures!$A$2:$A$2102,Fixtures!$H$2:$H$2102,A144,Fixtures!$I$2:$I$2102,"A"))</f>
        <v>39309</v>
      </c>
      <c r="I144" s="2" t="s">
        <v>286</v>
      </c>
      <c r="J144" s="4"/>
    </row>
    <row r="145" customFormat="false" ht="15" hidden="false" customHeight="false" outlineLevel="0" collapsed="false">
      <c r="A145" s="2" t="s">
        <v>287</v>
      </c>
      <c r="B145" s="2" t="s">
        <v>287</v>
      </c>
      <c r="C145" s="2" t="n">
        <f aca="false">COUNTIF(Fixtures!$H$2:$H$2102,A145)</f>
        <v>2</v>
      </c>
      <c r="D145" s="2" t="n">
        <f aca="false">COUNTIFS(Fixtures!$H$2:$H$2102,A145,Fixtures!$I$2:$I$2102,"H")</f>
        <v>1</v>
      </c>
      <c r="E145" s="2" t="n">
        <f aca="false">COUNTIFS(Fixtures!$H$2:$H$2102,A145,Fixtures!$I$2:$I$2102,"A")</f>
        <v>1</v>
      </c>
      <c r="F145" s="2" t="n">
        <f aca="false">COUNTIFS(Fixtures!$H$2:$H$2102,A145,Fixtures!$I$2:$I$2102,"N")</f>
        <v>0</v>
      </c>
      <c r="G145" s="3" t="n">
        <f aca="false">IF(E145=0,"",_xlfn.MINIFS(Fixtures!$A$2:$A$2102,Fixtures!$H$2:$H$2102,A145,Fixtures!$I$2:$I$2102,"A"))</f>
        <v>36852</v>
      </c>
      <c r="H145" s="3" t="n">
        <f aca="false">IF(E145=0,"",_xlfn.MAXIFS(Fixtures!$A$2:$A$2102,Fixtures!$H$2:$H$2102,A145,Fixtures!$I$2:$I$2102,"A"))</f>
        <v>36852</v>
      </c>
      <c r="I145" s="2" t="s">
        <v>89</v>
      </c>
      <c r="J145" s="4"/>
    </row>
    <row r="146" customFormat="false" ht="15" hidden="false" customHeight="false" outlineLevel="0" collapsed="false">
      <c r="A146" s="2" t="s">
        <v>288</v>
      </c>
      <c r="B146" s="2" t="s">
        <v>288</v>
      </c>
      <c r="C146" s="2" t="n">
        <f aca="false">COUNTIF(Fixtures!$H$2:$H$2102,A146)</f>
        <v>2</v>
      </c>
      <c r="D146" s="2" t="n">
        <f aca="false">COUNTIFS(Fixtures!$H$2:$H$2102,A146,Fixtures!$I$2:$I$2102,"H")</f>
        <v>1</v>
      </c>
      <c r="E146" s="2" t="n">
        <f aca="false">COUNTIFS(Fixtures!$H$2:$H$2102,A146,Fixtures!$I$2:$I$2102,"A")</f>
        <v>1</v>
      </c>
      <c r="F146" s="2" t="n">
        <f aca="false">COUNTIFS(Fixtures!$H$2:$H$2102,A146,Fixtures!$I$2:$I$2102,"N")</f>
        <v>0</v>
      </c>
      <c r="G146" s="3" t="n">
        <f aca="false">IF(E146=0,"",_xlfn.MINIFS(Fixtures!$A$2:$A$2102,Fixtures!$H$2:$H$2102,A146,Fixtures!$I$2:$I$2102,"A"))</f>
        <v>40505</v>
      </c>
      <c r="H146" s="3" t="n">
        <f aca="false">IF(E146=0,"",_xlfn.MAXIFS(Fixtures!$A$2:$A$2102,Fixtures!$H$2:$H$2102,A146,Fixtures!$I$2:$I$2102,"A"))</f>
        <v>40505</v>
      </c>
      <c r="I146" s="2" t="s">
        <v>187</v>
      </c>
      <c r="J146" s="4"/>
    </row>
    <row r="147" customFormat="false" ht="15" hidden="false" customHeight="false" outlineLevel="0" collapsed="false">
      <c r="A147" s="2" t="s">
        <v>289</v>
      </c>
      <c r="B147" s="2" t="s">
        <v>289</v>
      </c>
      <c r="C147" s="2" t="n">
        <f aca="false">COUNTIF(Fixtures!$H$2:$H$2102,A147)</f>
        <v>7</v>
      </c>
      <c r="D147" s="2" t="n">
        <f aca="false">COUNTIFS(Fixtures!$H$2:$H$2102,A147,Fixtures!$I$2:$I$2102,"H")</f>
        <v>3</v>
      </c>
      <c r="E147" s="2" t="n">
        <f aca="false">COUNTIFS(Fixtures!$H$2:$H$2102,A147,Fixtures!$I$2:$I$2102,"A")</f>
        <v>4</v>
      </c>
      <c r="F147" s="2" t="n">
        <f aca="false">COUNTIFS(Fixtures!$H$2:$H$2102,A147,Fixtures!$I$2:$I$2102,"N")</f>
        <v>0</v>
      </c>
      <c r="G147" s="3" t="n">
        <f aca="false">IF(E147=0,"",_xlfn.MINIFS(Fixtures!$A$2:$A$2102,Fixtures!$H$2:$H$2102,A147,Fixtures!$I$2:$I$2102,"A"))</f>
        <v>43398</v>
      </c>
      <c r="H147" s="3" t="n">
        <f aca="false">IF(E147=0,"",_xlfn.MAXIFS(Fixtures!$A$2:$A$2102,Fixtures!$H$2:$H$2102,A147,Fixtures!$I$2:$I$2102,"A"))</f>
        <v>46119</v>
      </c>
      <c r="I147" s="2" t="s">
        <v>290</v>
      </c>
      <c r="J147" s="4"/>
    </row>
    <row r="148" customFormat="false" ht="15" hidden="false" customHeight="false" outlineLevel="0" collapsed="false">
      <c r="A148" s="2" t="s">
        <v>291</v>
      </c>
      <c r="B148" s="5" t="s">
        <v>291</v>
      </c>
      <c r="C148" s="2" t="n">
        <f aca="false">COUNTIF(Fixtures!$H$2:$H$2102,A148)</f>
        <v>2</v>
      </c>
      <c r="D148" s="2" t="n">
        <f aca="false">COUNTIFS(Fixtures!$H$2:$H$2102,A148,Fixtures!$I$2:$I$2102,"H")</f>
        <v>1</v>
      </c>
      <c r="E148" s="2" t="n">
        <f aca="false">COUNTIFS(Fixtures!$H$2:$H$2102,A148,Fixtures!$I$2:$I$2102,"A")</f>
        <v>1</v>
      </c>
      <c r="F148" s="2" t="n">
        <f aca="false">COUNTIFS(Fixtures!$H$2:$H$2102,A148,Fixtures!$I$2:$I$2102,"N")</f>
        <v>0</v>
      </c>
      <c r="G148" s="3" t="n">
        <f aca="false">IF(E148=0,"",_xlfn.MINIFS(Fixtures!$A$2:$A$2102,Fixtures!$H$2:$H$2102,A148,Fixtures!$I$2:$I$2102,"A"))</f>
        <v>40072</v>
      </c>
      <c r="H148" s="3" t="n">
        <f aca="false">IF(E148=0,"",_xlfn.MAXIFS(Fixtures!$A$2:$A$2102,Fixtures!$H$2:$H$2102,A148,Fixtures!$I$2:$I$2102,"A"))</f>
        <v>40072</v>
      </c>
      <c r="I148" s="2" t="s">
        <v>42</v>
      </c>
      <c r="J148" s="4" t="s">
        <v>292</v>
      </c>
    </row>
    <row r="149" customFormat="false" ht="15" hidden="false" customHeight="false" outlineLevel="0" collapsed="false">
      <c r="A149" s="2" t="s">
        <v>293</v>
      </c>
      <c r="B149" s="5" t="s">
        <v>291</v>
      </c>
      <c r="C149" s="2" t="n">
        <f aca="false">COUNTIF(Fixtures!$H$2:$H$2102,A149)</f>
        <v>4</v>
      </c>
      <c r="D149" s="2" t="n">
        <f aca="false">COUNTIFS(Fixtures!$H$2:$H$2102,A149,Fixtures!$I$2:$I$2102,"H")</f>
        <v>2</v>
      </c>
      <c r="E149" s="2" t="n">
        <f aca="false">COUNTIFS(Fixtures!$H$2:$H$2102,A149,Fixtures!$I$2:$I$2102,"A")</f>
        <v>2</v>
      </c>
      <c r="F149" s="2" t="n">
        <f aca="false">COUNTIFS(Fixtures!$H$2:$H$2102,A149,Fixtures!$I$2:$I$2102,"N")</f>
        <v>0</v>
      </c>
      <c r="G149" s="3" t="n">
        <f aca="false">IF(E149=0,"",_xlfn.MINIFS(Fixtures!$A$2:$A$2102,Fixtures!$H$2:$H$2102,A149,Fixtures!$I$2:$I$2102,"A"))</f>
        <v>34276</v>
      </c>
      <c r="H149" s="3" t="n">
        <f aca="false">IF(E149=0,"",_xlfn.MAXIFS(Fixtures!$A$2:$A$2102,Fixtures!$H$2:$H$2102,A149,Fixtures!$I$2:$I$2102,"A"))</f>
        <v>43811</v>
      </c>
      <c r="I149" s="2" t="s">
        <v>294</v>
      </c>
      <c r="J149" s="4" t="s">
        <v>295</v>
      </c>
    </row>
    <row r="150" customFormat="false" ht="15" hidden="false" customHeight="false" outlineLevel="0" collapsed="false">
      <c r="A150" s="2" t="s">
        <v>296</v>
      </c>
      <c r="B150" s="2" t="s">
        <v>296</v>
      </c>
      <c r="C150" s="2" t="n">
        <f aca="false">COUNTIF(Fixtures!$H$2:$H$2102,A150)</f>
        <v>2</v>
      </c>
      <c r="D150" s="2" t="n">
        <f aca="false">COUNTIFS(Fixtures!$H$2:$H$2102,A150,Fixtures!$I$2:$I$2102,"H")</f>
        <v>1</v>
      </c>
      <c r="E150" s="2" t="n">
        <f aca="false">COUNTIFS(Fixtures!$H$2:$H$2102,A150,Fixtures!$I$2:$I$2102,"A")</f>
        <v>1</v>
      </c>
      <c r="F150" s="2" t="n">
        <f aca="false">COUNTIFS(Fixtures!$H$2:$H$2102,A150,Fixtures!$I$2:$I$2102,"N")</f>
        <v>0</v>
      </c>
      <c r="G150" s="3" t="n">
        <f aca="false">IF(E150=0,"",_xlfn.MINIFS(Fixtures!$A$2:$A$2102,Fixtures!$H$2:$H$2102,A150,Fixtures!$I$2:$I$2102,"A"))</f>
        <v>39357</v>
      </c>
      <c r="H150" s="3" t="n">
        <f aca="false">IF(E150=0,"",_xlfn.MAXIFS(Fixtures!$A$2:$A$2102,Fixtures!$H$2:$H$2102,A150,Fixtures!$I$2:$I$2102,"A"))</f>
        <v>39357</v>
      </c>
      <c r="I150" s="2" t="s">
        <v>297</v>
      </c>
      <c r="J150" s="4"/>
    </row>
    <row r="151" customFormat="false" ht="15" hidden="false" customHeight="false" outlineLevel="0" collapsed="false">
      <c r="A151" s="2" t="s">
        <v>298</v>
      </c>
      <c r="B151" s="2" t="s">
        <v>298</v>
      </c>
      <c r="C151" s="2" t="n">
        <f aca="false">COUNTIF(Fixtures!$H$2:$H$2102,A151)</f>
        <v>25</v>
      </c>
      <c r="D151" s="2" t="n">
        <f aca="false">COUNTIFS(Fixtures!$H$2:$H$2102,A151,Fixtures!$I$2:$I$2102,"H")</f>
        <v>12</v>
      </c>
      <c r="E151" s="2" t="n">
        <f aca="false">COUNTIFS(Fixtures!$H$2:$H$2102,A151,Fixtures!$I$2:$I$2102,"A")</f>
        <v>13</v>
      </c>
      <c r="F151" s="2" t="n">
        <f aca="false">COUNTIFS(Fixtures!$H$2:$H$2102,A151,Fixtures!$I$2:$I$2102,"N")</f>
        <v>0</v>
      </c>
      <c r="G151" s="3" t="n">
        <f aca="false">IF(E151=0,"",_xlfn.MINIFS(Fixtures!$A$2:$A$2102,Fixtures!$H$2:$H$2102,A151,Fixtures!$I$2:$I$2102,"A"))</f>
        <v>32879</v>
      </c>
      <c r="H151" s="3" t="n">
        <f aca="false">IF(E151=0,"",_xlfn.MAXIFS(Fixtures!$A$2:$A$2102,Fixtures!$H$2:$H$2102,A151,Fixtures!$I$2:$I$2102,"A"))</f>
        <v>42966</v>
      </c>
      <c r="I151" s="2" t="s">
        <v>299</v>
      </c>
      <c r="J151" s="4" t="s">
        <v>300</v>
      </c>
    </row>
    <row r="152" customFormat="false" ht="15" hidden="false" customHeight="false" outlineLevel="0" collapsed="false">
      <c r="A152" s="2" t="s">
        <v>301</v>
      </c>
      <c r="B152" s="2" t="s">
        <v>301</v>
      </c>
      <c r="C152" s="2" t="n">
        <f aca="false">COUNTIF(Fixtures!$H$2:$H$2102,A152)</f>
        <v>44</v>
      </c>
      <c r="D152" s="2" t="n">
        <f aca="false">COUNTIFS(Fixtures!$H$2:$H$2102,A152,Fixtures!$I$2:$I$2102,"H")</f>
        <v>23</v>
      </c>
      <c r="E152" s="2" t="n">
        <f aca="false">COUNTIFS(Fixtures!$H$2:$H$2102,A152,Fixtures!$I$2:$I$2102,"A")</f>
        <v>21</v>
      </c>
      <c r="F152" s="2" t="n">
        <f aca="false">COUNTIFS(Fixtures!$H$2:$H$2102,A152,Fixtures!$I$2:$I$2102,"N")</f>
        <v>0</v>
      </c>
      <c r="G152" s="3" t="n">
        <f aca="false">IF(E152=0,"",_xlfn.MINIFS(Fixtures!$A$2:$A$2102,Fixtures!$H$2:$H$2102,A152,Fixtures!$I$2:$I$2102,"A"))</f>
        <v>33362</v>
      </c>
      <c r="H152" s="3" t="n">
        <f aca="false">IF(E152=0,"",_xlfn.MAXIFS(Fixtures!$A$2:$A$2102,Fixtures!$H$2:$H$2102,A152,Fixtures!$I$2:$I$2102,"A"))</f>
        <v>45969</v>
      </c>
      <c r="I152" s="2" t="s">
        <v>302</v>
      </c>
      <c r="J152" s="4" t="s">
        <v>303</v>
      </c>
    </row>
    <row r="153" customFormat="false" ht="15" hidden="false" customHeight="false" outlineLevel="0" collapsed="false">
      <c r="A153" s="2" t="s">
        <v>304</v>
      </c>
      <c r="B153" s="2" t="s">
        <v>304</v>
      </c>
      <c r="C153" s="2" t="n">
        <f aca="false">COUNTIF(Fixtures!$H$2:$H$2102,A153)</f>
        <v>1</v>
      </c>
      <c r="D153" s="2" t="n">
        <f aca="false">COUNTIFS(Fixtures!$H$2:$H$2102,A153,Fixtures!$I$2:$I$2102,"H")</f>
        <v>0</v>
      </c>
      <c r="E153" s="2" t="n">
        <f aca="false">COUNTIFS(Fixtures!$H$2:$H$2102,A153,Fixtures!$I$2:$I$2102,"A")</f>
        <v>1</v>
      </c>
      <c r="F153" s="2" t="n">
        <f aca="false">COUNTIFS(Fixtures!$H$2:$H$2102,A153,Fixtures!$I$2:$I$2102,"N")</f>
        <v>0</v>
      </c>
      <c r="G153" s="3" t="n">
        <f aca="false">IF(E153=0,"",_xlfn.MINIFS(Fixtures!$A$2:$A$2102,Fixtures!$H$2:$H$2102,A153,Fixtures!$I$2:$I$2102,"A"))</f>
        <v>42786</v>
      </c>
      <c r="H153" s="3" t="n">
        <f aca="false">IF(E153=0,"",_xlfn.MAXIFS(Fixtures!$A$2:$A$2102,Fixtures!$H$2:$H$2102,A153,Fixtures!$I$2:$I$2102,"A"))</f>
        <v>42786</v>
      </c>
      <c r="I153" s="2" t="s">
        <v>138</v>
      </c>
      <c r="J153" s="4"/>
    </row>
    <row r="154" customFormat="false" ht="15" hidden="false" customHeight="false" outlineLevel="0" collapsed="false">
      <c r="A154" s="2" t="s">
        <v>305</v>
      </c>
      <c r="B154" s="2" t="s">
        <v>305</v>
      </c>
      <c r="C154" s="2" t="n">
        <f aca="false">COUNTIF(Fixtures!$H$2:$H$2102,A154)</f>
        <v>16</v>
      </c>
      <c r="D154" s="2" t="n">
        <f aca="false">COUNTIFS(Fixtures!$H$2:$H$2102,A154,Fixtures!$I$2:$I$2102,"H")</f>
        <v>8</v>
      </c>
      <c r="E154" s="2" t="n">
        <f aca="false">COUNTIFS(Fixtures!$H$2:$H$2102,A154,Fixtures!$I$2:$I$2102,"A")</f>
        <v>8</v>
      </c>
      <c r="F154" s="2" t="n">
        <f aca="false">COUNTIFS(Fixtures!$H$2:$H$2102,A154,Fixtures!$I$2:$I$2102,"N")</f>
        <v>0</v>
      </c>
      <c r="G154" s="3" t="n">
        <f aca="false">IF(E154=0,"",_xlfn.MINIFS(Fixtures!$A$2:$A$2102,Fixtures!$H$2:$H$2102,A154,Fixtures!$I$2:$I$2102,"A"))</f>
        <v>40923</v>
      </c>
      <c r="H154" s="3" t="n">
        <f aca="false">IF(E154=0,"",_xlfn.MAXIFS(Fixtures!$A$2:$A$2102,Fixtures!$H$2:$H$2102,A154,Fixtures!$I$2:$I$2102,"A"))</f>
        <v>43130</v>
      </c>
      <c r="I154" s="2" t="s">
        <v>306</v>
      </c>
      <c r="J154" s="4"/>
    </row>
    <row r="155" customFormat="false" ht="15" hidden="false" customHeight="false" outlineLevel="0" collapsed="false">
      <c r="A155" s="2" t="s">
        <v>307</v>
      </c>
      <c r="B155" s="2" t="s">
        <v>307</v>
      </c>
      <c r="C155" s="2" t="n">
        <f aca="false">COUNTIF(Fixtures!$H$2:$H$2102,A155)</f>
        <v>2</v>
      </c>
      <c r="D155" s="2" t="n">
        <f aca="false">COUNTIFS(Fixtures!$H$2:$H$2102,A155,Fixtures!$I$2:$I$2102,"H")</f>
        <v>1</v>
      </c>
      <c r="E155" s="2" t="n">
        <f aca="false">COUNTIFS(Fixtures!$H$2:$H$2102,A155,Fixtures!$I$2:$I$2102,"A")</f>
        <v>1</v>
      </c>
      <c r="F155" s="2" t="n">
        <f aca="false">COUNTIFS(Fixtures!$H$2:$H$2102,A155,Fixtures!$I$2:$I$2102,"N")</f>
        <v>0</v>
      </c>
      <c r="G155" s="3" t="n">
        <f aca="false">IF(E155=0,"",_xlfn.MINIFS(Fixtures!$A$2:$A$2102,Fixtures!$H$2:$H$2102,A155,Fixtures!$I$2:$I$2102,"A"))</f>
        <v>34330</v>
      </c>
      <c r="H155" s="3" t="n">
        <f aca="false">IF(E155=0,"",_xlfn.MAXIFS(Fixtures!$A$2:$A$2102,Fixtures!$H$2:$H$2102,A155,Fixtures!$I$2:$I$2102,"A"))</f>
        <v>34330</v>
      </c>
      <c r="I155" s="2" t="s">
        <v>218</v>
      </c>
      <c r="J155" s="4"/>
    </row>
    <row r="156" customFormat="false" ht="15" hidden="false" customHeight="false" outlineLevel="0" collapsed="false">
      <c r="A156" s="2" t="s">
        <v>308</v>
      </c>
      <c r="B156" s="2" t="s">
        <v>308</v>
      </c>
      <c r="C156" s="2" t="n">
        <f aca="false">COUNTIF(Fixtures!$H$2:$H$2102,A156)</f>
        <v>2</v>
      </c>
      <c r="D156" s="2" t="n">
        <f aca="false">COUNTIFS(Fixtures!$H$2:$H$2102,A156,Fixtures!$I$2:$I$2102,"H")</f>
        <v>1</v>
      </c>
      <c r="E156" s="2" t="n">
        <f aca="false">COUNTIFS(Fixtures!$H$2:$H$2102,A156,Fixtures!$I$2:$I$2102,"A")</f>
        <v>1</v>
      </c>
      <c r="F156" s="2" t="n">
        <f aca="false">COUNTIFS(Fixtures!$H$2:$H$2102,A156,Fixtures!$I$2:$I$2102,"N")</f>
        <v>0</v>
      </c>
      <c r="G156" s="3" t="n">
        <f aca="false">IF(E156=0,"",_xlfn.MINIFS(Fixtures!$A$2:$A$2102,Fixtures!$H$2:$H$2102,A156,Fixtures!$I$2:$I$2102,"A"))</f>
        <v>34395</v>
      </c>
      <c r="H156" s="3" t="n">
        <f aca="false">IF(E156=0,"",_xlfn.MAXIFS(Fixtures!$A$2:$A$2102,Fixtures!$H$2:$H$2102,A156,Fixtures!$I$2:$I$2102,"A"))</f>
        <v>34395</v>
      </c>
      <c r="I156" s="2" t="s">
        <v>218</v>
      </c>
      <c r="J156" s="4"/>
    </row>
    <row r="157" customFormat="false" ht="23.85" hidden="false" customHeight="false" outlineLevel="0" collapsed="false">
      <c r="A157" s="2" t="s">
        <v>309</v>
      </c>
      <c r="B157" s="2" t="s">
        <v>309</v>
      </c>
      <c r="C157" s="2" t="n">
        <f aca="false">COUNTIF(Fixtures!$H$2:$H$2102,A157)</f>
        <v>88</v>
      </c>
      <c r="D157" s="2" t="n">
        <f aca="false">COUNTIFS(Fixtures!$H$2:$H$2102,A157,Fixtures!$I$2:$I$2102,"H")</f>
        <v>43</v>
      </c>
      <c r="E157" s="2" t="n">
        <f aca="false">COUNTIFS(Fixtures!$H$2:$H$2102,A157,Fixtures!$I$2:$I$2102,"A")</f>
        <v>42</v>
      </c>
      <c r="F157" s="2" t="n">
        <f aca="false">COUNTIFS(Fixtures!$H$2:$H$2102,A157,Fixtures!$I$2:$I$2102,"N")</f>
        <v>3</v>
      </c>
      <c r="G157" s="3" t="n">
        <f aca="false">IF(E157=0,"",_xlfn.MINIFS(Fixtures!$A$2:$A$2102,Fixtures!$H$2:$H$2102,A157,Fixtures!$I$2:$I$2102,"A"))</f>
        <v>32396</v>
      </c>
      <c r="H157" s="3" t="n">
        <f aca="false">IF(E157=0,"",_xlfn.MAXIFS(Fixtures!$A$2:$A$2102,Fixtures!$H$2:$H$2102,A157,Fixtures!$I$2:$I$2102,"A"))</f>
        <v>46075</v>
      </c>
      <c r="I157" s="2" t="s">
        <v>132</v>
      </c>
      <c r="J157" s="4" t="s">
        <v>310</v>
      </c>
    </row>
    <row r="158" customFormat="false" ht="15" hidden="false" customHeight="false" outlineLevel="0" collapsed="false">
      <c r="A158" s="2" t="s">
        <v>311</v>
      </c>
      <c r="B158" s="2" t="s">
        <v>311</v>
      </c>
      <c r="C158" s="2" t="n">
        <f aca="false">COUNTIF(Fixtures!$H$2:$H$2102,A158)</f>
        <v>2</v>
      </c>
      <c r="D158" s="2" t="n">
        <f aca="false">COUNTIFS(Fixtures!$H$2:$H$2102,A158,Fixtures!$I$2:$I$2102,"H")</f>
        <v>1</v>
      </c>
      <c r="E158" s="2" t="n">
        <f aca="false">COUNTIFS(Fixtures!$H$2:$H$2102,A158,Fixtures!$I$2:$I$2102,"A")</f>
        <v>1</v>
      </c>
      <c r="F158" s="2" t="n">
        <f aca="false">COUNTIFS(Fixtures!$H$2:$H$2102,A158,Fixtures!$I$2:$I$2102,"N")</f>
        <v>0</v>
      </c>
      <c r="G158" s="3" t="n">
        <f aca="false">IF(E158=0,"",_xlfn.MINIFS(Fixtures!$A$2:$A$2102,Fixtures!$H$2:$H$2102,A158,Fixtures!$I$2:$I$2102,"A"))</f>
        <v>39673</v>
      </c>
      <c r="H158" s="3" t="n">
        <f aca="false">IF(E158=0,"",_xlfn.MAXIFS(Fixtures!$A$2:$A$2102,Fixtures!$H$2:$H$2102,A158,Fixtures!$I$2:$I$2102,"A"))</f>
        <v>39673</v>
      </c>
      <c r="I158" s="2" t="s">
        <v>312</v>
      </c>
      <c r="J158" s="4"/>
    </row>
    <row r="159" customFormat="false" ht="15" hidden="false" customHeight="false" outlineLevel="0" collapsed="false">
      <c r="A159" s="2" t="s">
        <v>313</v>
      </c>
      <c r="B159" s="2" t="s">
        <v>313</v>
      </c>
      <c r="C159" s="2" t="n">
        <f aca="false">COUNTIF(Fixtures!$H$2:$H$2102,A159)</f>
        <v>2</v>
      </c>
      <c r="D159" s="2" t="n">
        <f aca="false">COUNTIFS(Fixtures!$H$2:$H$2102,A159,Fixtures!$I$2:$I$2102,"H")</f>
        <v>1</v>
      </c>
      <c r="E159" s="2" t="n">
        <f aca="false">COUNTIFS(Fixtures!$H$2:$H$2102,A159,Fixtures!$I$2:$I$2102,"A")</f>
        <v>1</v>
      </c>
      <c r="F159" s="2" t="n">
        <f aca="false">COUNTIFS(Fixtures!$H$2:$H$2102,A159,Fixtures!$I$2:$I$2102,"N")</f>
        <v>0</v>
      </c>
      <c r="G159" s="3" t="n">
        <f aca="false">IF(E159=0,"",_xlfn.MINIFS(Fixtures!$A$2:$A$2102,Fixtures!$H$2:$H$2102,A159,Fixtures!$I$2:$I$2102,"A"))</f>
        <v>40779</v>
      </c>
      <c r="H159" s="3" t="n">
        <f aca="false">IF(E159=0,"",_xlfn.MAXIFS(Fixtures!$A$2:$A$2102,Fixtures!$H$2:$H$2102,A159,Fixtures!$I$2:$I$2102,"A"))</f>
        <v>40779</v>
      </c>
      <c r="I159" s="2" t="s">
        <v>314</v>
      </c>
      <c r="J159" s="4"/>
    </row>
    <row r="160" customFormat="false" ht="15" hidden="false" customHeight="false" outlineLevel="0" collapsed="false">
      <c r="A160" s="2" t="s">
        <v>315</v>
      </c>
      <c r="B160" s="2" t="s">
        <v>315</v>
      </c>
      <c r="C160" s="2" t="n">
        <f aca="false">COUNTIF(Fixtures!$H$2:$H$2102,A160)</f>
        <v>6</v>
      </c>
      <c r="D160" s="2" t="n">
        <f aca="false">COUNTIFS(Fixtures!$H$2:$H$2102,A160,Fixtures!$I$2:$I$2102,"H")</f>
        <v>3</v>
      </c>
      <c r="E160" s="2" t="n">
        <f aca="false">COUNTIFS(Fixtures!$H$2:$H$2102,A160,Fixtures!$I$2:$I$2102,"A")</f>
        <v>3</v>
      </c>
      <c r="F160" s="2" t="n">
        <f aca="false">COUNTIFS(Fixtures!$H$2:$H$2102,A160,Fixtures!$I$2:$I$2102,"N")</f>
        <v>0</v>
      </c>
      <c r="G160" s="3" t="n">
        <f aca="false">IF(E160=0,"",_xlfn.MINIFS(Fixtures!$A$2:$A$2102,Fixtures!$H$2:$H$2102,A160,Fixtures!$I$2:$I$2102,"A"))</f>
        <v>36998</v>
      </c>
      <c r="H160" s="3" t="n">
        <f aca="false">IF(E160=0,"",_xlfn.MAXIFS(Fixtures!$A$2:$A$2102,Fixtures!$H$2:$H$2102,A160,Fixtures!$I$2:$I$2102,"A"))</f>
        <v>43594</v>
      </c>
      <c r="I160" s="2" t="s">
        <v>316</v>
      </c>
      <c r="J160" s="4"/>
    </row>
    <row r="161" customFormat="false" ht="15" hidden="false" customHeight="false" outlineLevel="0" collapsed="false">
      <c r="A161" s="2" t="s">
        <v>317</v>
      </c>
      <c r="B161" s="2" t="s">
        <v>317</v>
      </c>
      <c r="C161" s="2" t="n">
        <f aca="false">COUNTIF(Fixtures!$H$2:$H$2102,A161)</f>
        <v>6</v>
      </c>
      <c r="D161" s="2" t="n">
        <f aca="false">COUNTIFS(Fixtures!$H$2:$H$2102,A161,Fixtures!$I$2:$I$2102,"H")</f>
        <v>3</v>
      </c>
      <c r="E161" s="2" t="n">
        <f aca="false">COUNTIFS(Fixtures!$H$2:$H$2102,A161,Fixtures!$I$2:$I$2102,"A")</f>
        <v>3</v>
      </c>
      <c r="F161" s="2" t="n">
        <f aca="false">COUNTIFS(Fixtures!$H$2:$H$2102,A161,Fixtures!$I$2:$I$2102,"N")</f>
        <v>0</v>
      </c>
      <c r="G161" s="3" t="n">
        <f aca="false">IF(E161=0,"",_xlfn.MINIFS(Fixtures!$A$2:$A$2102,Fixtures!$H$2:$H$2102,A161,Fixtures!$I$2:$I$2102,"A"))</f>
        <v>38832</v>
      </c>
      <c r="H161" s="3" t="n">
        <f aca="false">IF(E161=0,"",_xlfn.MAXIFS(Fixtures!$A$2:$A$2102,Fixtures!$H$2:$H$2102,A161,Fixtures!$I$2:$I$2102,"A"))</f>
        <v>44315</v>
      </c>
      <c r="I161" s="2" t="s">
        <v>318</v>
      </c>
      <c r="J161" s="4"/>
    </row>
    <row r="162" customFormat="false" ht="15" hidden="false" customHeight="false" outlineLevel="0" collapsed="false">
      <c r="A162" s="2" t="s">
        <v>319</v>
      </c>
      <c r="B162" s="2" t="s">
        <v>319</v>
      </c>
      <c r="C162" s="2" t="n">
        <f aca="false">COUNTIF(Fixtures!$H$2:$H$2102,A162)</f>
        <v>2</v>
      </c>
      <c r="D162" s="2" t="n">
        <f aca="false">COUNTIFS(Fixtures!$H$2:$H$2102,A162,Fixtures!$I$2:$I$2102,"H")</f>
        <v>1</v>
      </c>
      <c r="E162" s="2" t="n">
        <f aca="false">COUNTIFS(Fixtures!$H$2:$H$2102,A162,Fixtures!$I$2:$I$2102,"A")</f>
        <v>1</v>
      </c>
      <c r="F162" s="2" t="n">
        <f aca="false">COUNTIFS(Fixtures!$H$2:$H$2102,A162,Fixtures!$I$2:$I$2102,"N")</f>
        <v>0</v>
      </c>
      <c r="G162" s="3" t="n">
        <f aca="false">IF(E162=0,"",_xlfn.MINIFS(Fixtures!$A$2:$A$2102,Fixtures!$H$2:$H$2102,A162,Fixtures!$I$2:$I$2102,"A"))</f>
        <v>43775</v>
      </c>
      <c r="H162" s="3" t="n">
        <f aca="false">IF(E162=0,"",_xlfn.MAXIFS(Fixtures!$A$2:$A$2102,Fixtures!$H$2:$H$2102,A162,Fixtures!$I$2:$I$2102,"A"))</f>
        <v>43775</v>
      </c>
      <c r="I162" s="2" t="s">
        <v>130</v>
      </c>
      <c r="J162" s="4"/>
    </row>
    <row r="163" customFormat="false" ht="15" hidden="false" customHeight="false" outlineLevel="0" collapsed="false">
      <c r="A163" s="2" t="s">
        <v>320</v>
      </c>
      <c r="B163" s="2" t="s">
        <v>320</v>
      </c>
      <c r="C163" s="2" t="n">
        <f aca="false">COUNTIF(Fixtures!$H$2:$H$2102,A163)</f>
        <v>2</v>
      </c>
      <c r="D163" s="2" t="n">
        <f aca="false">COUNTIFS(Fixtures!$H$2:$H$2102,A163,Fixtures!$I$2:$I$2102,"H")</f>
        <v>1</v>
      </c>
      <c r="E163" s="2" t="n">
        <f aca="false">COUNTIFS(Fixtures!$H$2:$H$2102,A163,Fixtures!$I$2:$I$2102,"A")</f>
        <v>1</v>
      </c>
      <c r="F163" s="2" t="n">
        <f aca="false">COUNTIFS(Fixtures!$H$2:$H$2102,A163,Fixtures!$I$2:$I$2102,"N")</f>
        <v>0</v>
      </c>
      <c r="G163" s="3" t="n">
        <f aca="false">IF(E163=0,"",_xlfn.MINIFS(Fixtures!$A$2:$A$2102,Fixtures!$H$2:$H$2102,A163,Fixtures!$I$2:$I$2102,"A"))</f>
        <v>43433</v>
      </c>
      <c r="H163" s="3" t="n">
        <f aca="false">IF(E163=0,"",_xlfn.MAXIFS(Fixtures!$A$2:$A$2102,Fixtures!$H$2:$H$2102,A163,Fixtures!$I$2:$I$2102,"A"))</f>
        <v>43433</v>
      </c>
      <c r="I163" s="2" t="s">
        <v>153</v>
      </c>
      <c r="J163" s="4" t="s">
        <v>321</v>
      </c>
    </row>
    <row r="164" customFormat="false" ht="15" hidden="false" customHeight="false" outlineLevel="0" collapsed="false">
      <c r="A164" s="2" t="s">
        <v>322</v>
      </c>
      <c r="B164" s="2" t="s">
        <v>322</v>
      </c>
      <c r="C164" s="2" t="n">
        <f aca="false">COUNTIF(Fixtures!$H$2:$H$2102,A164)</f>
        <v>18</v>
      </c>
      <c r="D164" s="2" t="n">
        <f aca="false">COUNTIFS(Fixtures!$H$2:$H$2102,A164,Fixtures!$I$2:$I$2102,"H")</f>
        <v>9</v>
      </c>
      <c r="E164" s="2" t="n">
        <f aca="false">COUNTIFS(Fixtures!$H$2:$H$2102,A164,Fixtures!$I$2:$I$2102,"A")</f>
        <v>9</v>
      </c>
      <c r="F164" s="2" t="n">
        <f aca="false">COUNTIFS(Fixtures!$H$2:$H$2102,A164,Fixtures!$I$2:$I$2102,"N")</f>
        <v>0</v>
      </c>
      <c r="G164" s="3" t="n">
        <f aca="false">IF(E164=0,"",_xlfn.MINIFS(Fixtures!$A$2:$A$2102,Fixtures!$H$2:$H$2102,A164,Fixtures!$I$2:$I$2102,"A"))</f>
        <v>36639</v>
      </c>
      <c r="H164" s="3" t="n">
        <f aca="false">IF(E164=0,"",_xlfn.MAXIFS(Fixtures!$A$2:$A$2102,Fixtures!$H$2:$H$2102,A164,Fixtures!$I$2:$I$2102,"A"))</f>
        <v>44626</v>
      </c>
      <c r="I164" s="2" t="s">
        <v>323</v>
      </c>
      <c r="J164" s="4"/>
    </row>
    <row r="165" customFormat="false" ht="15" hidden="false" customHeight="false" outlineLevel="0" collapsed="false">
      <c r="A165" s="2" t="s">
        <v>324</v>
      </c>
      <c r="B165" s="2" t="s">
        <v>324</v>
      </c>
      <c r="C165" s="2" t="n">
        <f aca="false">COUNTIF(Fixtures!$H$2:$H$2102,A165)</f>
        <v>2</v>
      </c>
      <c r="D165" s="2" t="n">
        <f aca="false">COUNTIFS(Fixtures!$H$2:$H$2102,A165,Fixtures!$I$2:$I$2102,"H")</f>
        <v>1</v>
      </c>
      <c r="E165" s="2" t="n">
        <f aca="false">COUNTIFS(Fixtures!$H$2:$H$2102,A165,Fixtures!$I$2:$I$2102,"A")</f>
        <v>1</v>
      </c>
      <c r="F165" s="2" t="n">
        <f aca="false">COUNTIFS(Fixtures!$H$2:$H$2102,A165,Fixtures!$I$2:$I$2102,"N")</f>
        <v>0</v>
      </c>
      <c r="G165" s="3" t="n">
        <f aca="false">IF(E165=0,"",_xlfn.MINIFS(Fixtures!$A$2:$A$2102,Fixtures!$H$2:$H$2102,A165,Fixtures!$I$2:$I$2102,"A"))</f>
        <v>36608</v>
      </c>
      <c r="H165" s="3" t="n">
        <f aca="false">IF(E165=0,"",_xlfn.MAXIFS(Fixtures!$A$2:$A$2102,Fixtures!$H$2:$H$2102,A165,Fixtures!$I$2:$I$2102,"A"))</f>
        <v>36608</v>
      </c>
      <c r="I165" s="2" t="s">
        <v>19</v>
      </c>
      <c r="J165" s="4"/>
    </row>
    <row r="166" customFormat="false" ht="15" hidden="false" customHeight="false" outlineLevel="0" collapsed="false">
      <c r="A166" s="2" t="s">
        <v>325</v>
      </c>
      <c r="B166" s="2" t="s">
        <v>325</v>
      </c>
      <c r="C166" s="2" t="n">
        <f aca="false">COUNTIF(Fixtures!$H$2:$H$2102,A166)</f>
        <v>31</v>
      </c>
      <c r="D166" s="2" t="n">
        <f aca="false">COUNTIFS(Fixtures!$H$2:$H$2102,A166,Fixtures!$I$2:$I$2102,"H")</f>
        <v>14</v>
      </c>
      <c r="E166" s="2" t="n">
        <f aca="false">COUNTIFS(Fixtures!$H$2:$H$2102,A166,Fixtures!$I$2:$I$2102,"A")</f>
        <v>17</v>
      </c>
      <c r="F166" s="2" t="n">
        <f aca="false">COUNTIFS(Fixtures!$H$2:$H$2102,A166,Fixtures!$I$2:$I$2102,"N")</f>
        <v>0</v>
      </c>
      <c r="G166" s="3" t="n">
        <f aca="false">IF(E166=0,"",_xlfn.MINIFS(Fixtures!$A$2:$A$2102,Fixtures!$H$2:$H$2102,A166,Fixtures!$I$2:$I$2102,"A"))</f>
        <v>37616</v>
      </c>
      <c r="H166" s="3" t="n">
        <f aca="false">IF(E166=0,"",_xlfn.MAXIFS(Fixtures!$A$2:$A$2102,Fixtures!$H$2:$H$2102,A166,Fixtures!$I$2:$I$2102,"A"))</f>
        <v>44433</v>
      </c>
      <c r="I166" s="2" t="s">
        <v>326</v>
      </c>
      <c r="J166" s="4"/>
    </row>
    <row r="167" customFormat="false" ht="15" hidden="false" customHeight="false" outlineLevel="0" collapsed="false">
      <c r="A167" s="2" t="s">
        <v>327</v>
      </c>
      <c r="B167" s="2" t="s">
        <v>327</v>
      </c>
      <c r="C167" s="2" t="n">
        <f aca="false">COUNTIF(Fixtures!$H$2:$H$2102,A167)</f>
        <v>72</v>
      </c>
      <c r="D167" s="2" t="n">
        <f aca="false">COUNTIFS(Fixtures!$H$2:$H$2102,A167,Fixtures!$I$2:$I$2102,"H")</f>
        <v>35</v>
      </c>
      <c r="E167" s="2" t="n">
        <f aca="false">COUNTIFS(Fixtures!$H$2:$H$2102,A167,Fixtures!$I$2:$I$2102,"A")</f>
        <v>37</v>
      </c>
      <c r="F167" s="2" t="n">
        <f aca="false">COUNTIFS(Fixtures!$H$2:$H$2102,A167,Fixtures!$I$2:$I$2102,"N")</f>
        <v>0</v>
      </c>
      <c r="G167" s="3" t="n">
        <f aca="false">IF(E167=0,"",_xlfn.MINIFS(Fixtures!$A$2:$A$2102,Fixtures!$H$2:$H$2102,A167,Fixtures!$I$2:$I$2102,"A"))</f>
        <v>32417</v>
      </c>
      <c r="H167" s="3" t="n">
        <f aca="false">IF(E167=0,"",_xlfn.MAXIFS(Fixtures!$A$2:$A$2102,Fixtures!$H$2:$H$2102,A167,Fixtures!$I$2:$I$2102,"A"))</f>
        <v>46152</v>
      </c>
      <c r="I167" s="2" t="s">
        <v>328</v>
      </c>
      <c r="J167" s="4" t="s">
        <v>329</v>
      </c>
    </row>
    <row r="168" customFormat="false" ht="15" hidden="false" customHeight="false" outlineLevel="0" collapsed="false">
      <c r="A168" s="2" t="s">
        <v>330</v>
      </c>
      <c r="B168" s="2" t="s">
        <v>330</v>
      </c>
      <c r="C168" s="2" t="n">
        <f aca="false">COUNTIF(Fixtures!$H$2:$H$2102,A168)</f>
        <v>22</v>
      </c>
      <c r="D168" s="2" t="n">
        <f aca="false">COUNTIFS(Fixtures!$H$2:$H$2102,A168,Fixtures!$I$2:$I$2102,"H")</f>
        <v>12</v>
      </c>
      <c r="E168" s="2" t="n">
        <f aca="false">COUNTIFS(Fixtures!$H$2:$H$2102,A168,Fixtures!$I$2:$I$2102,"A")</f>
        <v>9</v>
      </c>
      <c r="F168" s="2" t="n">
        <f aca="false">COUNTIFS(Fixtures!$H$2:$H$2102,A168,Fixtures!$I$2:$I$2102,"N")</f>
        <v>1</v>
      </c>
      <c r="G168" s="3" t="n">
        <f aca="false">IF(E168=0,"",_xlfn.MINIFS(Fixtures!$A$2:$A$2102,Fixtures!$H$2:$H$2102,A168,Fixtures!$I$2:$I$2102,"A"))</f>
        <v>38675</v>
      </c>
      <c r="H168" s="3" t="n">
        <f aca="false">IF(E168=0,"",_xlfn.MAXIFS(Fixtures!$A$2:$A$2102,Fixtures!$H$2:$H$2102,A168,Fixtures!$I$2:$I$2102,"A"))</f>
        <v>41265</v>
      </c>
      <c r="I168" s="2" t="s">
        <v>331</v>
      </c>
      <c r="J168" s="4"/>
    </row>
    <row r="169" customFormat="false" ht="15" hidden="false" customHeight="false" outlineLevel="0" collapsed="false">
      <c r="A169" s="2" t="s">
        <v>332</v>
      </c>
      <c r="B169" s="2" t="s">
        <v>332</v>
      </c>
      <c r="C169" s="2" t="n">
        <f aca="false">COUNTIF(Fixtures!$H$2:$H$2102,A169)</f>
        <v>24</v>
      </c>
      <c r="D169" s="2" t="n">
        <f aca="false">COUNTIFS(Fixtures!$H$2:$H$2102,A169,Fixtures!$I$2:$I$2102,"H")</f>
        <v>12</v>
      </c>
      <c r="E169" s="2" t="n">
        <f aca="false">COUNTIFS(Fixtures!$H$2:$H$2102,A169,Fixtures!$I$2:$I$2102,"A")</f>
        <v>12</v>
      </c>
      <c r="F169" s="2" t="n">
        <f aca="false">COUNTIFS(Fixtures!$H$2:$H$2102,A169,Fixtures!$I$2:$I$2102,"N")</f>
        <v>0</v>
      </c>
      <c r="G169" s="3" t="n">
        <f aca="false">IF(E169=0,"",_xlfn.MINIFS(Fixtures!$A$2:$A$2102,Fixtures!$H$2:$H$2102,A169,Fixtures!$I$2:$I$2102,"A"))</f>
        <v>32382</v>
      </c>
      <c r="H169" s="3" t="n">
        <f aca="false">IF(E169=0,"",_xlfn.MAXIFS(Fixtures!$A$2:$A$2102,Fixtures!$H$2:$H$2102,A169,Fixtures!$I$2:$I$2102,"A"))</f>
        <v>36617</v>
      </c>
      <c r="I169" s="2" t="s">
        <v>333</v>
      </c>
      <c r="J169" s="4" t="s">
        <v>334</v>
      </c>
    </row>
    <row r="170" customFormat="false" ht="15" hidden="false" customHeight="false" outlineLevel="0" collapsed="false">
      <c r="A170" s="2" t="s">
        <v>335</v>
      </c>
      <c r="B170" s="2" t="s">
        <v>335</v>
      </c>
      <c r="C170" s="2" t="n">
        <f aca="false">COUNTIF(Fixtures!$H$2:$H$2102,A170)</f>
        <v>28</v>
      </c>
      <c r="D170" s="2" t="n">
        <f aca="false">COUNTIFS(Fixtures!$H$2:$H$2102,A170,Fixtures!$I$2:$I$2102,"H")</f>
        <v>14</v>
      </c>
      <c r="E170" s="2" t="n">
        <f aca="false">COUNTIFS(Fixtures!$H$2:$H$2102,A170,Fixtures!$I$2:$I$2102,"A")</f>
        <v>13</v>
      </c>
      <c r="F170" s="2" t="n">
        <f aca="false">COUNTIFS(Fixtures!$H$2:$H$2102,A170,Fixtures!$I$2:$I$2102,"N")</f>
        <v>1</v>
      </c>
      <c r="G170" s="3" t="n">
        <f aca="false">IF(E170=0,"",_xlfn.MINIFS(Fixtures!$A$2:$A$2102,Fixtures!$H$2:$H$2102,A170,Fixtures!$I$2:$I$2102,"A"))</f>
        <v>36184</v>
      </c>
      <c r="H170" s="3" t="n">
        <f aca="false">IF(E170=0,"",_xlfn.MAXIFS(Fixtures!$A$2:$A$2102,Fixtures!$H$2:$H$2102,A170,Fixtures!$I$2:$I$2102,"A"))</f>
        <v>46071</v>
      </c>
      <c r="I170" s="2" t="s">
        <v>336</v>
      </c>
      <c r="J170" s="4"/>
    </row>
    <row r="171" customFormat="false" ht="15" hidden="false" customHeight="false" outlineLevel="0" collapsed="false">
      <c r="A171" s="2" t="s">
        <v>337</v>
      </c>
      <c r="B171" s="2" t="s">
        <v>337</v>
      </c>
      <c r="C171" s="2" t="n">
        <f aca="false">COUNTIF(Fixtures!$H$2:$H$2102,A171)</f>
        <v>1</v>
      </c>
      <c r="D171" s="2" t="n">
        <f aca="false">COUNTIFS(Fixtures!$H$2:$H$2102,A171,Fixtures!$I$2:$I$2102,"H")</f>
        <v>0</v>
      </c>
      <c r="E171" s="2" t="n">
        <f aca="false">COUNTIFS(Fixtures!$H$2:$H$2102,A171,Fixtures!$I$2:$I$2102,"A")</f>
        <v>1</v>
      </c>
      <c r="F171" s="2" t="n">
        <f aca="false">COUNTIFS(Fixtures!$H$2:$H$2102,A171,Fixtures!$I$2:$I$2102,"N")</f>
        <v>0</v>
      </c>
      <c r="G171" s="3" t="n">
        <f aca="false">IF(E171=0,"",_xlfn.MINIFS(Fixtures!$A$2:$A$2102,Fixtures!$H$2:$H$2102,A171,Fixtures!$I$2:$I$2102,"A"))</f>
        <v>33607</v>
      </c>
      <c r="H171" s="3" t="n">
        <f aca="false">IF(E171=0,"",_xlfn.MAXIFS(Fixtures!$A$2:$A$2102,Fixtures!$H$2:$H$2102,A171,Fixtures!$I$2:$I$2102,"A"))</f>
        <v>33607</v>
      </c>
      <c r="I171" s="2" t="s">
        <v>38</v>
      </c>
      <c r="J171" s="4"/>
    </row>
    <row r="172" customFormat="false" ht="15" hidden="false" customHeight="false" outlineLevel="0" collapsed="false">
      <c r="A172" s="2" t="s">
        <v>338</v>
      </c>
      <c r="B172" s="2" t="s">
        <v>338</v>
      </c>
      <c r="C172" s="2" t="n">
        <f aca="false">COUNTIF(Fixtures!$H$2:$H$2102,A172)</f>
        <v>1</v>
      </c>
      <c r="D172" s="2" t="n">
        <f aca="false">COUNTIFS(Fixtures!$H$2:$H$2102,A172,Fixtures!$I$2:$I$2102,"H")</f>
        <v>0</v>
      </c>
      <c r="E172" s="2" t="n">
        <f aca="false">COUNTIFS(Fixtures!$H$2:$H$2102,A172,Fixtures!$I$2:$I$2102,"A")</f>
        <v>1</v>
      </c>
      <c r="F172" s="2" t="n">
        <f aca="false">COUNTIFS(Fixtures!$H$2:$H$2102,A172,Fixtures!$I$2:$I$2102,"N")</f>
        <v>0</v>
      </c>
      <c r="G172" s="3" t="n">
        <f aca="false">IF(E172=0,"",_xlfn.MINIFS(Fixtures!$A$2:$A$2102,Fixtures!$H$2:$H$2102,A172,Fixtures!$I$2:$I$2102,"A"))</f>
        <v>33971</v>
      </c>
      <c r="H172" s="3" t="n">
        <f aca="false">IF(E172=0,"",_xlfn.MAXIFS(Fixtures!$A$2:$A$2102,Fixtures!$H$2:$H$2102,A172,Fixtures!$I$2:$I$2102,"A"))</f>
        <v>33971</v>
      </c>
      <c r="I172" s="2" t="s">
        <v>267</v>
      </c>
      <c r="J172" s="4"/>
    </row>
    <row r="173" customFormat="false" ht="15" hidden="false" customHeight="false" outlineLevel="0" collapsed="false">
      <c r="A173" s="2" t="s">
        <v>339</v>
      </c>
      <c r="B173" s="2" t="s">
        <v>339</v>
      </c>
      <c r="C173" s="2" t="n">
        <f aca="false">COUNTIF(Fixtures!$H$2:$H$2102,A173)</f>
        <v>2</v>
      </c>
      <c r="D173" s="2" t="n">
        <f aca="false">COUNTIFS(Fixtures!$H$2:$H$2102,A173,Fixtures!$I$2:$I$2102,"H")</f>
        <v>1</v>
      </c>
      <c r="E173" s="2" t="n">
        <f aca="false">COUNTIFS(Fixtures!$H$2:$H$2102,A173,Fixtures!$I$2:$I$2102,"A")</f>
        <v>1</v>
      </c>
      <c r="F173" s="2" t="n">
        <f aca="false">COUNTIFS(Fixtures!$H$2:$H$2102,A173,Fixtures!$I$2:$I$2102,"N")</f>
        <v>0</v>
      </c>
      <c r="G173" s="3" t="n">
        <f aca="false">IF(E173=0,"",_xlfn.MINIFS(Fixtures!$A$2:$A$2102,Fixtures!$H$2:$H$2102,A173,Fixtures!$I$2:$I$2102,"A"))</f>
        <v>43146</v>
      </c>
      <c r="H173" s="3" t="n">
        <f aca="false">IF(E173=0,"",_xlfn.MAXIFS(Fixtures!$A$2:$A$2102,Fixtures!$H$2:$H$2102,A173,Fixtures!$I$2:$I$2102,"A"))</f>
        <v>43146</v>
      </c>
      <c r="I173" s="2" t="s">
        <v>11</v>
      </c>
      <c r="J173" s="4"/>
    </row>
  </sheetData>
  <autoFilter ref="A1:J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</row>
    <row r="2" customFormat="false" ht="15" hidden="false" customHeight="false" outlineLevel="0" collapsed="false">
      <c r="A2" s="2" t="s">
        <v>10</v>
      </c>
      <c r="B2" s="3" t="n">
        <v>43062</v>
      </c>
      <c r="C2" s="2" t="s">
        <v>11</v>
      </c>
      <c r="D2" s="2" t="s">
        <v>346</v>
      </c>
      <c r="E2" s="2" t="s">
        <v>347</v>
      </c>
      <c r="F2" s="2" t="s">
        <v>348</v>
      </c>
    </row>
    <row r="3" customFormat="false" ht="15" hidden="false" customHeight="false" outlineLevel="0" collapsed="false">
      <c r="A3" s="2" t="s">
        <v>12</v>
      </c>
      <c r="B3" s="3" t="n">
        <v>34738</v>
      </c>
      <c r="C3" s="2" t="s">
        <v>81</v>
      </c>
      <c r="D3" s="2" t="s">
        <v>349</v>
      </c>
      <c r="E3" s="2" t="s">
        <v>350</v>
      </c>
      <c r="F3" s="2" t="s">
        <v>351</v>
      </c>
    </row>
    <row r="4" customFormat="false" ht="15" hidden="false" customHeight="false" outlineLevel="0" collapsed="false">
      <c r="A4" s="2" t="s">
        <v>12</v>
      </c>
      <c r="B4" s="3" t="n">
        <v>39511</v>
      </c>
      <c r="C4" s="2" t="s">
        <v>297</v>
      </c>
      <c r="D4" s="2" t="s">
        <v>352</v>
      </c>
      <c r="E4" s="2" t="s">
        <v>350</v>
      </c>
      <c r="F4" s="2" t="s">
        <v>353</v>
      </c>
    </row>
    <row r="5" customFormat="false" ht="15" hidden="false" customHeight="false" outlineLevel="0" collapsed="false">
      <c r="A5" s="2" t="s">
        <v>12</v>
      </c>
      <c r="B5" s="3" t="n">
        <v>40954</v>
      </c>
      <c r="C5" s="2" t="s">
        <v>314</v>
      </c>
      <c r="D5" s="2" t="s">
        <v>352</v>
      </c>
      <c r="E5" s="2" t="s">
        <v>350</v>
      </c>
      <c r="F5" s="2" t="s">
        <v>354</v>
      </c>
    </row>
    <row r="6" customFormat="false" ht="15" hidden="false" customHeight="false" outlineLevel="0" collapsed="false">
      <c r="A6" s="2" t="s">
        <v>12</v>
      </c>
      <c r="B6" s="3" t="n">
        <v>43167</v>
      </c>
      <c r="C6" s="2" t="s">
        <v>11</v>
      </c>
      <c r="D6" s="2" t="s">
        <v>346</v>
      </c>
      <c r="E6" s="2" t="s">
        <v>350</v>
      </c>
      <c r="F6" s="2" t="s">
        <v>353</v>
      </c>
    </row>
    <row r="7" customFormat="false" ht="15" hidden="false" customHeight="false" outlineLevel="0" collapsed="false">
      <c r="A7" s="2" t="s">
        <v>14</v>
      </c>
      <c r="B7" s="3" t="n">
        <v>42407</v>
      </c>
      <c r="C7" s="2" t="s">
        <v>355</v>
      </c>
      <c r="D7" s="2" t="s">
        <v>356</v>
      </c>
      <c r="E7" s="2" t="s">
        <v>357</v>
      </c>
      <c r="F7" s="2" t="s">
        <v>353</v>
      </c>
    </row>
    <row r="8" customFormat="false" ht="15" hidden="false" customHeight="false" outlineLevel="0" collapsed="false">
      <c r="A8" s="2" t="s">
        <v>14</v>
      </c>
      <c r="B8" s="3" t="n">
        <v>42738</v>
      </c>
      <c r="C8" s="2" t="s">
        <v>138</v>
      </c>
      <c r="D8" s="2" t="s">
        <v>356</v>
      </c>
      <c r="E8" s="2" t="s">
        <v>357</v>
      </c>
      <c r="F8" s="2" t="s">
        <v>358</v>
      </c>
    </row>
    <row r="9" customFormat="false" ht="15" hidden="false" customHeight="false" outlineLevel="0" collapsed="false">
      <c r="A9" s="2" t="s">
        <v>14</v>
      </c>
      <c r="B9" s="3" t="n">
        <v>43114</v>
      </c>
      <c r="C9" s="2" t="s">
        <v>11</v>
      </c>
      <c r="D9" s="2" t="s">
        <v>356</v>
      </c>
      <c r="E9" s="2" t="s">
        <v>357</v>
      </c>
      <c r="F9" s="2" t="s">
        <v>359</v>
      </c>
    </row>
    <row r="10" customFormat="false" ht="15" hidden="false" customHeight="false" outlineLevel="0" collapsed="false">
      <c r="A10" s="2" t="s">
        <v>14</v>
      </c>
      <c r="B10" s="3" t="n">
        <v>43429</v>
      </c>
      <c r="C10" s="2" t="s">
        <v>153</v>
      </c>
      <c r="D10" s="2" t="s">
        <v>356</v>
      </c>
      <c r="E10" s="2" t="s">
        <v>357</v>
      </c>
      <c r="F10" s="2" t="s">
        <v>360</v>
      </c>
    </row>
    <row r="11" customFormat="false" ht="15" hidden="false" customHeight="false" outlineLevel="0" collapsed="false">
      <c r="A11" s="2" t="s">
        <v>14</v>
      </c>
      <c r="B11" s="3" t="n">
        <v>43825</v>
      </c>
      <c r="C11" s="2" t="s">
        <v>130</v>
      </c>
      <c r="D11" s="2" t="s">
        <v>356</v>
      </c>
      <c r="E11" s="2" t="s">
        <v>357</v>
      </c>
      <c r="F11" s="2" t="s">
        <v>361</v>
      </c>
    </row>
    <row r="12" customFormat="false" ht="15" hidden="false" customHeight="false" outlineLevel="0" collapsed="false">
      <c r="A12" s="2" t="s">
        <v>14</v>
      </c>
      <c r="B12" s="3" t="n">
        <v>43857</v>
      </c>
      <c r="C12" s="2" t="s">
        <v>130</v>
      </c>
      <c r="D12" s="2" t="s">
        <v>362</v>
      </c>
      <c r="E12" s="2" t="s">
        <v>357</v>
      </c>
      <c r="F12" s="2" t="s">
        <v>360</v>
      </c>
    </row>
    <row r="13" customFormat="false" ht="15" hidden="false" customHeight="false" outlineLevel="0" collapsed="false">
      <c r="A13" s="2" t="s">
        <v>14</v>
      </c>
      <c r="B13" s="3" t="n">
        <v>44793</v>
      </c>
      <c r="C13" s="2" t="s">
        <v>147</v>
      </c>
      <c r="D13" s="2" t="s">
        <v>356</v>
      </c>
      <c r="E13" s="2" t="s">
        <v>357</v>
      </c>
      <c r="F13" s="2" t="s">
        <v>363</v>
      </c>
    </row>
    <row r="14" customFormat="false" ht="15" hidden="false" customHeight="false" outlineLevel="0" collapsed="false">
      <c r="A14" s="2" t="s">
        <v>14</v>
      </c>
      <c r="B14" s="3" t="n">
        <v>45199</v>
      </c>
      <c r="C14" s="2" t="s">
        <v>364</v>
      </c>
      <c r="D14" s="2" t="s">
        <v>356</v>
      </c>
      <c r="E14" s="2" t="s">
        <v>357</v>
      </c>
      <c r="F14" s="2" t="s">
        <v>365</v>
      </c>
    </row>
    <row r="15" customFormat="false" ht="15" hidden="false" customHeight="false" outlineLevel="0" collapsed="false">
      <c r="A15" s="2" t="s">
        <v>14</v>
      </c>
      <c r="B15" s="3" t="n">
        <v>45584</v>
      </c>
      <c r="C15" s="2" t="s">
        <v>30</v>
      </c>
      <c r="D15" s="2" t="s">
        <v>356</v>
      </c>
      <c r="E15" s="2" t="s">
        <v>357</v>
      </c>
      <c r="F15" s="2" t="s">
        <v>351</v>
      </c>
    </row>
    <row r="16" customFormat="false" ht="15" hidden="false" customHeight="false" outlineLevel="0" collapsed="false">
      <c r="A16" s="2" t="s">
        <v>14</v>
      </c>
      <c r="B16" s="3" t="n">
        <v>46025</v>
      </c>
      <c r="C16" s="2" t="s">
        <v>32</v>
      </c>
      <c r="D16" s="2" t="s">
        <v>356</v>
      </c>
      <c r="E16" s="2" t="s">
        <v>357</v>
      </c>
      <c r="F16" s="2" t="s">
        <v>366</v>
      </c>
    </row>
    <row r="17" customFormat="false" ht="15" hidden="false" customHeight="false" outlineLevel="0" collapsed="false">
      <c r="A17" s="2" t="s">
        <v>18</v>
      </c>
      <c r="B17" s="3" t="n">
        <v>36466</v>
      </c>
      <c r="C17" s="2" t="s">
        <v>19</v>
      </c>
      <c r="D17" s="2" t="s">
        <v>352</v>
      </c>
      <c r="E17" s="2" t="s">
        <v>367</v>
      </c>
      <c r="F17" s="2" t="s">
        <v>366</v>
      </c>
    </row>
    <row r="18" customFormat="false" ht="15" hidden="false" customHeight="false" outlineLevel="0" collapsed="false">
      <c r="A18" s="2" t="s">
        <v>20</v>
      </c>
      <c r="B18" s="3" t="n">
        <v>37678</v>
      </c>
      <c r="C18" s="2" t="s">
        <v>135</v>
      </c>
      <c r="D18" s="2" t="s">
        <v>352</v>
      </c>
      <c r="E18" s="2" t="s">
        <v>368</v>
      </c>
      <c r="F18" s="2" t="s">
        <v>369</v>
      </c>
    </row>
    <row r="19" customFormat="false" ht="15" hidden="false" customHeight="false" outlineLevel="0" collapsed="false">
      <c r="A19" s="2" t="s">
        <v>20</v>
      </c>
      <c r="B19" s="3" t="n">
        <v>38622</v>
      </c>
      <c r="C19" s="2" t="s">
        <v>123</v>
      </c>
      <c r="D19" s="2" t="s">
        <v>352</v>
      </c>
      <c r="E19" s="2" t="s">
        <v>368</v>
      </c>
      <c r="F19" s="2" t="s">
        <v>360</v>
      </c>
    </row>
    <row r="20" customFormat="false" ht="15" hidden="false" customHeight="false" outlineLevel="0" collapsed="false">
      <c r="A20" s="2" t="s">
        <v>22</v>
      </c>
      <c r="B20" s="3" t="n">
        <v>41934</v>
      </c>
      <c r="C20" s="2" t="s">
        <v>23</v>
      </c>
      <c r="D20" s="2" t="s">
        <v>352</v>
      </c>
      <c r="E20" s="2" t="s">
        <v>370</v>
      </c>
      <c r="F20" s="2" t="s">
        <v>360</v>
      </c>
    </row>
    <row r="21" customFormat="false" ht="15" hidden="false" customHeight="false" outlineLevel="0" collapsed="false">
      <c r="A21" s="2" t="s">
        <v>24</v>
      </c>
      <c r="B21" s="3" t="n">
        <v>42080</v>
      </c>
      <c r="C21" s="2" t="s">
        <v>23</v>
      </c>
      <c r="D21" s="2" t="s">
        <v>352</v>
      </c>
      <c r="E21" s="2" t="s">
        <v>371</v>
      </c>
      <c r="F21" s="2" t="s">
        <v>353</v>
      </c>
    </row>
    <row r="22" customFormat="false" ht="15" hidden="false" customHeight="false" outlineLevel="0" collapsed="false">
      <c r="A22" s="2" t="s">
        <v>25</v>
      </c>
      <c r="B22" s="3" t="n">
        <v>37587</v>
      </c>
      <c r="C22" s="2" t="s">
        <v>135</v>
      </c>
      <c r="D22" s="2" t="s">
        <v>352</v>
      </c>
      <c r="E22" s="2" t="s">
        <v>372</v>
      </c>
      <c r="F22" s="2" t="s">
        <v>373</v>
      </c>
    </row>
    <row r="23" customFormat="false" ht="15" hidden="false" customHeight="false" outlineLevel="0" collapsed="false">
      <c r="A23" s="2" t="s">
        <v>25</v>
      </c>
      <c r="B23" s="3" t="n">
        <v>39883</v>
      </c>
      <c r="C23" s="2" t="s">
        <v>312</v>
      </c>
      <c r="D23" s="2" t="s">
        <v>352</v>
      </c>
      <c r="E23" s="2" t="s">
        <v>372</v>
      </c>
      <c r="F23" s="2" t="s">
        <v>348</v>
      </c>
    </row>
    <row r="24" customFormat="false" ht="15" hidden="false" customHeight="false" outlineLevel="0" collapsed="false">
      <c r="A24" s="2" t="s">
        <v>27</v>
      </c>
      <c r="B24" s="3" t="n">
        <v>32508</v>
      </c>
      <c r="C24" s="2" t="s">
        <v>374</v>
      </c>
      <c r="D24" s="2" t="s">
        <v>375</v>
      </c>
      <c r="E24" s="2" t="s">
        <v>376</v>
      </c>
      <c r="F24" s="2" t="s">
        <v>363</v>
      </c>
    </row>
    <row r="25" customFormat="false" ht="15" hidden="false" customHeight="false" outlineLevel="0" collapsed="false">
      <c r="A25" s="2" t="s">
        <v>27</v>
      </c>
      <c r="B25" s="3" t="n">
        <v>32872</v>
      </c>
      <c r="C25" s="2" t="s">
        <v>240</v>
      </c>
      <c r="D25" s="2" t="s">
        <v>375</v>
      </c>
      <c r="E25" s="2" t="s">
        <v>376</v>
      </c>
      <c r="F25" s="2" t="s">
        <v>359</v>
      </c>
    </row>
    <row r="26" customFormat="false" ht="15" hidden="false" customHeight="false" outlineLevel="0" collapsed="false">
      <c r="A26" s="2" t="s">
        <v>27</v>
      </c>
      <c r="B26" s="3" t="n">
        <v>33230</v>
      </c>
      <c r="C26" s="2" t="s">
        <v>99</v>
      </c>
      <c r="D26" s="2" t="s">
        <v>375</v>
      </c>
      <c r="E26" s="2" t="s">
        <v>376</v>
      </c>
      <c r="F26" s="2" t="s">
        <v>369</v>
      </c>
    </row>
    <row r="27" customFormat="false" ht="15" hidden="false" customHeight="false" outlineLevel="0" collapsed="false">
      <c r="A27" s="2" t="s">
        <v>27</v>
      </c>
      <c r="B27" s="3" t="n">
        <v>33474</v>
      </c>
      <c r="C27" s="2" t="s">
        <v>38</v>
      </c>
      <c r="D27" s="2" t="s">
        <v>375</v>
      </c>
      <c r="E27" s="2" t="s">
        <v>376</v>
      </c>
      <c r="F27" s="2" t="s">
        <v>377</v>
      </c>
    </row>
    <row r="28" customFormat="false" ht="15" hidden="false" customHeight="false" outlineLevel="0" collapsed="false">
      <c r="A28" s="2" t="s">
        <v>27</v>
      </c>
      <c r="B28" s="3" t="n">
        <v>33966</v>
      </c>
      <c r="C28" s="2" t="s">
        <v>267</v>
      </c>
      <c r="D28" s="2" t="s">
        <v>356</v>
      </c>
      <c r="E28" s="2" t="s">
        <v>376</v>
      </c>
      <c r="F28" s="2" t="s">
        <v>348</v>
      </c>
    </row>
    <row r="29" customFormat="false" ht="15" hidden="false" customHeight="false" outlineLevel="0" collapsed="false">
      <c r="A29" s="2" t="s">
        <v>27</v>
      </c>
      <c r="B29" s="3" t="n">
        <v>34447</v>
      </c>
      <c r="C29" s="2" t="s">
        <v>218</v>
      </c>
      <c r="D29" s="2" t="s">
        <v>356</v>
      </c>
      <c r="E29" s="2" t="s">
        <v>376</v>
      </c>
      <c r="F29" s="2" t="s">
        <v>360</v>
      </c>
    </row>
    <row r="30" customFormat="false" ht="15" hidden="false" customHeight="false" outlineLevel="0" collapsed="false">
      <c r="A30" s="2" t="s">
        <v>27</v>
      </c>
      <c r="B30" s="3" t="n">
        <v>34806</v>
      </c>
      <c r="C30" s="2" t="s">
        <v>81</v>
      </c>
      <c r="D30" s="2" t="s">
        <v>356</v>
      </c>
      <c r="E30" s="2" t="s">
        <v>376</v>
      </c>
      <c r="F30" s="2" t="s">
        <v>365</v>
      </c>
    </row>
    <row r="31" customFormat="false" ht="15" hidden="false" customHeight="false" outlineLevel="0" collapsed="false">
      <c r="A31" s="2" t="s">
        <v>27</v>
      </c>
      <c r="B31" s="3" t="n">
        <v>35035</v>
      </c>
      <c r="C31" s="2" t="s">
        <v>378</v>
      </c>
      <c r="D31" s="2" t="s">
        <v>356</v>
      </c>
      <c r="E31" s="2" t="s">
        <v>376</v>
      </c>
      <c r="F31" s="2" t="s">
        <v>361</v>
      </c>
    </row>
    <row r="32" customFormat="false" ht="15" hidden="false" customHeight="false" outlineLevel="0" collapsed="false">
      <c r="A32" s="2" t="s">
        <v>27</v>
      </c>
      <c r="B32" s="3" t="n">
        <v>35116</v>
      </c>
      <c r="C32" s="2" t="s">
        <v>378</v>
      </c>
      <c r="D32" s="2" t="s">
        <v>379</v>
      </c>
      <c r="E32" s="2" t="s">
        <v>376</v>
      </c>
      <c r="F32" s="2" t="s">
        <v>369</v>
      </c>
    </row>
    <row r="33" customFormat="false" ht="15" hidden="false" customHeight="false" outlineLevel="0" collapsed="false">
      <c r="A33" s="2" t="s">
        <v>27</v>
      </c>
      <c r="B33" s="3" t="n">
        <v>35315</v>
      </c>
      <c r="C33" s="2" t="s">
        <v>73</v>
      </c>
      <c r="D33" s="2" t="s">
        <v>356</v>
      </c>
      <c r="E33" s="2" t="s">
        <v>376</v>
      </c>
      <c r="F33" s="2" t="s">
        <v>380</v>
      </c>
    </row>
    <row r="34" customFormat="false" ht="15" hidden="false" customHeight="false" outlineLevel="0" collapsed="false">
      <c r="A34" s="2" t="s">
        <v>27</v>
      </c>
      <c r="B34" s="3" t="n">
        <v>35925</v>
      </c>
      <c r="C34" s="2" t="s">
        <v>232</v>
      </c>
      <c r="D34" s="2" t="s">
        <v>356</v>
      </c>
      <c r="E34" s="2" t="s">
        <v>376</v>
      </c>
      <c r="F34" s="2" t="s">
        <v>348</v>
      </c>
    </row>
    <row r="35" customFormat="false" ht="15" hidden="false" customHeight="false" outlineLevel="0" collapsed="false">
      <c r="A35" s="2" t="s">
        <v>27</v>
      </c>
      <c r="B35" s="3" t="n">
        <v>36142</v>
      </c>
      <c r="C35" s="2" t="s">
        <v>381</v>
      </c>
      <c r="D35" s="2" t="s">
        <v>356</v>
      </c>
      <c r="E35" s="2" t="s">
        <v>376</v>
      </c>
      <c r="F35" s="2" t="s">
        <v>382</v>
      </c>
    </row>
    <row r="36" customFormat="false" ht="15" hidden="false" customHeight="false" outlineLevel="0" collapsed="false">
      <c r="A36" s="2" t="s">
        <v>27</v>
      </c>
      <c r="B36" s="3" t="n">
        <v>36590</v>
      </c>
      <c r="C36" s="2" t="s">
        <v>19</v>
      </c>
      <c r="D36" s="2" t="s">
        <v>356</v>
      </c>
      <c r="E36" s="2" t="s">
        <v>376</v>
      </c>
      <c r="F36" s="2" t="s">
        <v>361</v>
      </c>
    </row>
    <row r="37" customFormat="false" ht="15" hidden="false" customHeight="false" outlineLevel="0" collapsed="false">
      <c r="A37" s="2" t="s">
        <v>27</v>
      </c>
      <c r="B37" s="3" t="n">
        <v>36968</v>
      </c>
      <c r="C37" s="2" t="s">
        <v>89</v>
      </c>
      <c r="D37" s="2" t="s">
        <v>356</v>
      </c>
      <c r="E37" s="2" t="s">
        <v>376</v>
      </c>
      <c r="F37" s="2" t="s">
        <v>369</v>
      </c>
    </row>
    <row r="38" customFormat="false" ht="15" hidden="false" customHeight="false" outlineLevel="0" collapsed="false">
      <c r="A38" s="2" t="s">
        <v>27</v>
      </c>
      <c r="B38" s="3" t="n">
        <v>37332</v>
      </c>
      <c r="C38" s="2" t="s">
        <v>115</v>
      </c>
      <c r="D38" s="2" t="s">
        <v>356</v>
      </c>
      <c r="E38" s="2" t="s">
        <v>376</v>
      </c>
      <c r="F38" s="2" t="s">
        <v>360</v>
      </c>
    </row>
    <row r="39" customFormat="false" ht="15" hidden="false" customHeight="false" outlineLevel="0" collapsed="false">
      <c r="A39" s="2" t="s">
        <v>27</v>
      </c>
      <c r="B39" s="3" t="n">
        <v>37716</v>
      </c>
      <c r="C39" s="2" t="s">
        <v>135</v>
      </c>
      <c r="D39" s="2" t="s">
        <v>356</v>
      </c>
      <c r="E39" s="2" t="s">
        <v>376</v>
      </c>
      <c r="F39" s="2" t="s">
        <v>361</v>
      </c>
    </row>
    <row r="40" customFormat="false" ht="15" hidden="false" customHeight="false" outlineLevel="0" collapsed="false">
      <c r="A40" s="2" t="s">
        <v>27</v>
      </c>
      <c r="B40" s="3" t="n">
        <v>38004</v>
      </c>
      <c r="C40" s="2" t="s">
        <v>91</v>
      </c>
      <c r="D40" s="2" t="s">
        <v>356</v>
      </c>
      <c r="E40" s="2" t="s">
        <v>376</v>
      </c>
      <c r="F40" s="2" t="s">
        <v>353</v>
      </c>
    </row>
    <row r="41" customFormat="false" ht="15" hidden="false" customHeight="false" outlineLevel="0" collapsed="false">
      <c r="A41" s="2" t="s">
        <v>27</v>
      </c>
      <c r="B41" s="3" t="n">
        <v>38388</v>
      </c>
      <c r="C41" s="2" t="s">
        <v>263</v>
      </c>
      <c r="D41" s="2" t="s">
        <v>356</v>
      </c>
      <c r="E41" s="2" t="s">
        <v>376</v>
      </c>
      <c r="F41" s="2" t="s">
        <v>373</v>
      </c>
    </row>
    <row r="42" customFormat="false" ht="15" hidden="false" customHeight="false" outlineLevel="0" collapsed="false">
      <c r="A42" s="2" t="s">
        <v>27</v>
      </c>
      <c r="B42" s="3" t="n">
        <v>38717</v>
      </c>
      <c r="C42" s="2" t="s">
        <v>123</v>
      </c>
      <c r="D42" s="2" t="s">
        <v>356</v>
      </c>
      <c r="E42" s="2" t="s">
        <v>376</v>
      </c>
      <c r="F42" s="2" t="s">
        <v>369</v>
      </c>
    </row>
    <row r="43" customFormat="false" ht="15" hidden="false" customHeight="false" outlineLevel="0" collapsed="false">
      <c r="A43" s="2" t="s">
        <v>27</v>
      </c>
      <c r="B43" s="3" t="n">
        <v>39155</v>
      </c>
      <c r="C43" s="2" t="s">
        <v>110</v>
      </c>
      <c r="D43" s="2" t="s">
        <v>356</v>
      </c>
      <c r="E43" s="2" t="s">
        <v>376</v>
      </c>
      <c r="F43" s="2" t="s">
        <v>383</v>
      </c>
    </row>
    <row r="44" customFormat="false" ht="15" hidden="false" customHeight="false" outlineLevel="0" collapsed="false">
      <c r="A44" s="2" t="s">
        <v>27</v>
      </c>
      <c r="B44" s="3" t="n">
        <v>39417</v>
      </c>
      <c r="C44" s="2" t="s">
        <v>297</v>
      </c>
      <c r="D44" s="2" t="s">
        <v>356</v>
      </c>
      <c r="E44" s="2" t="s">
        <v>376</v>
      </c>
      <c r="F44" s="2" t="s">
        <v>360</v>
      </c>
    </row>
    <row r="45" customFormat="false" ht="15" hidden="false" customHeight="false" outlineLevel="0" collapsed="false">
      <c r="A45" s="2" t="s">
        <v>27</v>
      </c>
      <c r="B45" s="3" t="n">
        <v>39808</v>
      </c>
      <c r="C45" s="2" t="s">
        <v>312</v>
      </c>
      <c r="D45" s="2" t="s">
        <v>356</v>
      </c>
      <c r="E45" s="2" t="s">
        <v>376</v>
      </c>
      <c r="F45" s="2" t="s">
        <v>380</v>
      </c>
    </row>
    <row r="46" customFormat="false" ht="15" hidden="false" customHeight="false" outlineLevel="0" collapsed="false">
      <c r="A46" s="2" t="s">
        <v>27</v>
      </c>
      <c r="B46" s="3" t="n">
        <v>40205</v>
      </c>
      <c r="C46" s="2" t="s">
        <v>42</v>
      </c>
      <c r="D46" s="2" t="s">
        <v>356</v>
      </c>
      <c r="E46" s="2" t="s">
        <v>376</v>
      </c>
      <c r="F46" s="2" t="s">
        <v>369</v>
      </c>
    </row>
    <row r="47" customFormat="false" ht="15" hidden="false" customHeight="false" outlineLevel="0" collapsed="false">
      <c r="A47" s="2" t="s">
        <v>27</v>
      </c>
      <c r="B47" s="3" t="n">
        <v>40509</v>
      </c>
      <c r="C47" s="2" t="s">
        <v>187</v>
      </c>
      <c r="D47" s="2" t="s">
        <v>356</v>
      </c>
      <c r="E47" s="2" t="s">
        <v>376</v>
      </c>
      <c r="F47" s="2" t="s">
        <v>384</v>
      </c>
    </row>
    <row r="48" customFormat="false" ht="15" hidden="false" customHeight="false" outlineLevel="0" collapsed="false">
      <c r="A48" s="2" t="s">
        <v>27</v>
      </c>
      <c r="B48" s="3" t="n">
        <v>40898</v>
      </c>
      <c r="C48" s="2" t="s">
        <v>314</v>
      </c>
      <c r="D48" s="2" t="s">
        <v>356</v>
      </c>
      <c r="E48" s="2" t="s">
        <v>376</v>
      </c>
      <c r="F48" s="2" t="s">
        <v>360</v>
      </c>
    </row>
    <row r="49" customFormat="false" ht="15" hidden="false" customHeight="false" outlineLevel="0" collapsed="false">
      <c r="A49" s="2" t="s">
        <v>27</v>
      </c>
      <c r="B49" s="3" t="n">
        <v>41237</v>
      </c>
      <c r="C49" s="2" t="s">
        <v>206</v>
      </c>
      <c r="D49" s="2" t="s">
        <v>356</v>
      </c>
      <c r="E49" s="2" t="s">
        <v>376</v>
      </c>
      <c r="F49" s="2" t="s">
        <v>369</v>
      </c>
    </row>
    <row r="50" customFormat="false" ht="15" hidden="false" customHeight="false" outlineLevel="0" collapsed="false">
      <c r="A50" s="2" t="s">
        <v>27</v>
      </c>
      <c r="B50" s="3" t="n">
        <v>41652</v>
      </c>
      <c r="C50" s="2" t="s">
        <v>385</v>
      </c>
      <c r="D50" s="2" t="s">
        <v>356</v>
      </c>
      <c r="E50" s="2" t="s">
        <v>376</v>
      </c>
      <c r="F50" s="2" t="s">
        <v>360</v>
      </c>
    </row>
    <row r="51" customFormat="false" ht="15" hidden="false" customHeight="false" outlineLevel="0" collapsed="false">
      <c r="A51" s="2" t="s">
        <v>27</v>
      </c>
      <c r="B51" s="3" t="n">
        <v>41902</v>
      </c>
      <c r="C51" s="2" t="s">
        <v>23</v>
      </c>
      <c r="D51" s="2" t="s">
        <v>356</v>
      </c>
      <c r="E51" s="2" t="s">
        <v>376</v>
      </c>
      <c r="F51" s="2" t="s">
        <v>363</v>
      </c>
    </row>
    <row r="52" customFormat="false" ht="15" hidden="false" customHeight="false" outlineLevel="0" collapsed="false">
      <c r="A52" s="2" t="s">
        <v>27</v>
      </c>
      <c r="B52" s="3" t="n">
        <v>42351</v>
      </c>
      <c r="C52" s="2" t="s">
        <v>355</v>
      </c>
      <c r="D52" s="2" t="s">
        <v>356</v>
      </c>
      <c r="E52" s="2" t="s">
        <v>376</v>
      </c>
      <c r="F52" s="2" t="s">
        <v>353</v>
      </c>
    </row>
    <row r="53" customFormat="false" ht="15" hidden="false" customHeight="false" outlineLevel="0" collapsed="false">
      <c r="A53" s="2" t="s">
        <v>27</v>
      </c>
      <c r="B53" s="3" t="n">
        <v>44033</v>
      </c>
      <c r="C53" s="2" t="s">
        <v>130</v>
      </c>
      <c r="D53" s="2" t="s">
        <v>356</v>
      </c>
      <c r="E53" s="2" t="s">
        <v>376</v>
      </c>
      <c r="F53" s="2" t="s">
        <v>348</v>
      </c>
    </row>
    <row r="54" customFormat="false" ht="15" hidden="false" customHeight="false" outlineLevel="0" collapsed="false">
      <c r="A54" s="2" t="s">
        <v>27</v>
      </c>
      <c r="B54" s="3" t="n">
        <v>44233</v>
      </c>
      <c r="C54" s="2" t="s">
        <v>125</v>
      </c>
      <c r="D54" s="2" t="s">
        <v>356</v>
      </c>
      <c r="E54" s="2" t="s">
        <v>376</v>
      </c>
      <c r="F54" s="2" t="s">
        <v>348</v>
      </c>
    </row>
    <row r="55" customFormat="false" ht="15" hidden="false" customHeight="false" outlineLevel="0" collapsed="false">
      <c r="A55" s="2" t="s">
        <v>27</v>
      </c>
      <c r="B55" s="3" t="n">
        <v>44639</v>
      </c>
      <c r="C55" s="2" t="s">
        <v>386</v>
      </c>
      <c r="D55" s="2" t="s">
        <v>356</v>
      </c>
      <c r="E55" s="2" t="s">
        <v>376</v>
      </c>
      <c r="F55" s="2" t="s">
        <v>383</v>
      </c>
    </row>
    <row r="56" customFormat="false" ht="15" hidden="false" customHeight="false" outlineLevel="0" collapsed="false">
      <c r="A56" s="2" t="s">
        <v>27</v>
      </c>
      <c r="B56" s="3" t="n">
        <v>44975</v>
      </c>
      <c r="C56" s="2" t="s">
        <v>147</v>
      </c>
      <c r="D56" s="2" t="s">
        <v>356</v>
      </c>
      <c r="E56" s="2" t="s">
        <v>376</v>
      </c>
      <c r="F56" s="2" t="s">
        <v>384</v>
      </c>
    </row>
    <row r="57" customFormat="false" ht="15" hidden="false" customHeight="false" outlineLevel="0" collapsed="false">
      <c r="A57" s="2" t="s">
        <v>27</v>
      </c>
      <c r="B57" s="3" t="n">
        <v>45269</v>
      </c>
      <c r="C57" s="2" t="s">
        <v>364</v>
      </c>
      <c r="D57" s="2" t="s">
        <v>356</v>
      </c>
      <c r="E57" s="2" t="s">
        <v>376</v>
      </c>
      <c r="F57" s="2" t="s">
        <v>348</v>
      </c>
    </row>
    <row r="58" customFormat="false" ht="15" hidden="false" customHeight="false" outlineLevel="0" collapsed="false">
      <c r="A58" s="2" t="s">
        <v>27</v>
      </c>
      <c r="B58" s="3" t="n">
        <v>45528</v>
      </c>
      <c r="C58" s="2" t="s">
        <v>30</v>
      </c>
      <c r="D58" s="2" t="s">
        <v>356</v>
      </c>
      <c r="E58" s="2" t="s">
        <v>376</v>
      </c>
      <c r="F58" s="2" t="s">
        <v>353</v>
      </c>
    </row>
    <row r="59" customFormat="false" ht="15" hidden="false" customHeight="false" outlineLevel="0" collapsed="false">
      <c r="A59" s="2" t="s">
        <v>27</v>
      </c>
      <c r="B59" s="3" t="n">
        <v>45997</v>
      </c>
      <c r="C59" s="2" t="s">
        <v>32</v>
      </c>
      <c r="D59" s="2" t="s">
        <v>356</v>
      </c>
      <c r="E59" s="2" t="s">
        <v>376</v>
      </c>
      <c r="F59" s="2" t="s">
        <v>359</v>
      </c>
    </row>
    <row r="60" customFormat="false" ht="15" hidden="false" customHeight="false" outlineLevel="0" collapsed="false">
      <c r="A60" s="2" t="s">
        <v>29</v>
      </c>
      <c r="B60" s="3" t="n">
        <v>45554</v>
      </c>
      <c r="C60" s="2" t="s">
        <v>30</v>
      </c>
      <c r="D60" s="2" t="s">
        <v>352</v>
      </c>
      <c r="E60" s="2" t="s">
        <v>387</v>
      </c>
      <c r="F60" s="2" t="s">
        <v>369</v>
      </c>
    </row>
    <row r="61" customFormat="false" ht="15" hidden="false" customHeight="false" outlineLevel="0" collapsed="false">
      <c r="A61" s="2" t="s">
        <v>31</v>
      </c>
      <c r="B61" s="3" t="n">
        <v>45916</v>
      </c>
      <c r="C61" s="2" t="s">
        <v>32</v>
      </c>
      <c r="D61" s="2" t="s">
        <v>352</v>
      </c>
      <c r="E61" s="2" t="s">
        <v>388</v>
      </c>
      <c r="F61" s="2" t="s">
        <v>353</v>
      </c>
    </row>
    <row r="62" customFormat="false" ht="15" hidden="false" customHeight="false" outlineLevel="0" collapsed="false">
      <c r="A62" s="2" t="s">
        <v>33</v>
      </c>
      <c r="B62" s="3" t="n">
        <v>46141</v>
      </c>
      <c r="C62" s="2" t="s">
        <v>32</v>
      </c>
      <c r="D62" s="2" t="s">
        <v>352</v>
      </c>
      <c r="E62" s="2" t="s">
        <v>389</v>
      </c>
      <c r="F62" s="2" t="s">
        <v>361</v>
      </c>
    </row>
    <row r="63" customFormat="false" ht="15" hidden="false" customHeight="false" outlineLevel="0" collapsed="false">
      <c r="A63" s="2" t="s">
        <v>35</v>
      </c>
      <c r="B63" s="3" t="n">
        <v>43223</v>
      </c>
      <c r="C63" s="2" t="s">
        <v>11</v>
      </c>
      <c r="D63" s="2" t="s">
        <v>346</v>
      </c>
      <c r="E63" s="2" t="s">
        <v>390</v>
      </c>
      <c r="F63" s="2" t="s">
        <v>348</v>
      </c>
    </row>
    <row r="64" customFormat="false" ht="15" hidden="false" customHeight="false" outlineLevel="0" collapsed="false">
      <c r="A64" s="2" t="s">
        <v>37</v>
      </c>
      <c r="B64" s="3" t="n">
        <v>33513</v>
      </c>
      <c r="C64" s="2" t="s">
        <v>38</v>
      </c>
      <c r="D64" s="2" t="s">
        <v>391</v>
      </c>
      <c r="E64" s="2" t="s">
        <v>392</v>
      </c>
      <c r="F64" s="2" t="s">
        <v>348</v>
      </c>
    </row>
    <row r="65" customFormat="false" ht="15" hidden="false" customHeight="false" outlineLevel="0" collapsed="false">
      <c r="A65" s="2" t="s">
        <v>39</v>
      </c>
      <c r="B65" s="3" t="n">
        <v>34774</v>
      </c>
      <c r="C65" s="2" t="s">
        <v>81</v>
      </c>
      <c r="D65" s="2" t="s">
        <v>393</v>
      </c>
      <c r="E65" s="2" t="s">
        <v>394</v>
      </c>
      <c r="F65" s="2" t="s">
        <v>383</v>
      </c>
    </row>
    <row r="66" customFormat="false" ht="15" hidden="false" customHeight="false" outlineLevel="0" collapsed="false">
      <c r="A66" s="2" t="s">
        <v>39</v>
      </c>
      <c r="B66" s="3" t="n">
        <v>37531</v>
      </c>
      <c r="C66" s="2" t="s">
        <v>135</v>
      </c>
      <c r="D66" s="2" t="s">
        <v>352</v>
      </c>
      <c r="E66" s="2" t="s">
        <v>394</v>
      </c>
      <c r="F66" s="2" t="s">
        <v>383</v>
      </c>
    </row>
    <row r="67" customFormat="false" ht="15" hidden="false" customHeight="false" outlineLevel="0" collapsed="false">
      <c r="A67" s="2" t="s">
        <v>41</v>
      </c>
      <c r="B67" s="3" t="n">
        <v>40106</v>
      </c>
      <c r="C67" s="2" t="s">
        <v>42</v>
      </c>
      <c r="D67" s="2" t="s">
        <v>352</v>
      </c>
      <c r="E67" s="2" t="s">
        <v>395</v>
      </c>
      <c r="F67" s="2" t="s">
        <v>361</v>
      </c>
    </row>
    <row r="68" customFormat="false" ht="15" hidden="false" customHeight="false" outlineLevel="0" collapsed="false">
      <c r="A68" s="2" t="s">
        <v>43</v>
      </c>
      <c r="B68" s="3" t="n">
        <v>36432</v>
      </c>
      <c r="C68" s="2" t="s">
        <v>19</v>
      </c>
      <c r="D68" s="2" t="s">
        <v>352</v>
      </c>
      <c r="E68" s="2" t="s">
        <v>396</v>
      </c>
      <c r="F68" s="2" t="s">
        <v>361</v>
      </c>
    </row>
    <row r="69" customFormat="false" ht="15" hidden="false" customHeight="false" outlineLevel="0" collapsed="false">
      <c r="A69" s="2" t="s">
        <v>43</v>
      </c>
      <c r="B69" s="3" t="n">
        <v>40274</v>
      </c>
      <c r="C69" s="2" t="s">
        <v>42</v>
      </c>
      <c r="D69" s="2" t="s">
        <v>352</v>
      </c>
      <c r="E69" s="2" t="s">
        <v>396</v>
      </c>
      <c r="F69" s="2" t="s">
        <v>397</v>
      </c>
    </row>
    <row r="70" customFormat="false" ht="15" hidden="false" customHeight="false" outlineLevel="0" collapsed="false">
      <c r="A70" s="2" t="s">
        <v>43</v>
      </c>
      <c r="B70" s="3" t="n">
        <v>40610</v>
      </c>
      <c r="C70" s="2" t="s">
        <v>187</v>
      </c>
      <c r="D70" s="2" t="s">
        <v>352</v>
      </c>
      <c r="E70" s="2" t="s">
        <v>396</v>
      </c>
      <c r="F70" s="2" t="s">
        <v>377</v>
      </c>
    </row>
    <row r="71" customFormat="false" ht="15" hidden="false" customHeight="false" outlineLevel="0" collapsed="false">
      <c r="A71" s="2" t="s">
        <v>43</v>
      </c>
      <c r="B71" s="3" t="n">
        <v>42445</v>
      </c>
      <c r="C71" s="2" t="s">
        <v>355</v>
      </c>
      <c r="D71" s="2" t="s">
        <v>352</v>
      </c>
      <c r="E71" s="2" t="s">
        <v>396</v>
      </c>
      <c r="F71" s="2" t="s">
        <v>377</v>
      </c>
    </row>
    <row r="72" customFormat="false" ht="15" hidden="false" customHeight="false" outlineLevel="0" collapsed="false">
      <c r="A72" s="2" t="s">
        <v>46</v>
      </c>
      <c r="B72" s="3" t="n">
        <v>34996</v>
      </c>
      <c r="C72" s="2" t="s">
        <v>378</v>
      </c>
      <c r="D72" s="2" t="s">
        <v>379</v>
      </c>
      <c r="E72" s="2" t="s">
        <v>398</v>
      </c>
      <c r="F72" s="2" t="s">
        <v>363</v>
      </c>
    </row>
    <row r="73" customFormat="false" ht="15" hidden="false" customHeight="false" outlineLevel="0" collapsed="false">
      <c r="A73" s="2" t="s">
        <v>46</v>
      </c>
      <c r="B73" s="3" t="n">
        <v>35910</v>
      </c>
      <c r="C73" s="2" t="s">
        <v>232</v>
      </c>
      <c r="D73" s="2" t="s">
        <v>356</v>
      </c>
      <c r="E73" s="2" t="s">
        <v>398</v>
      </c>
      <c r="F73" s="2" t="s">
        <v>353</v>
      </c>
    </row>
    <row r="74" customFormat="false" ht="15" hidden="false" customHeight="false" outlineLevel="0" collapsed="false">
      <c r="A74" s="2" t="s">
        <v>48</v>
      </c>
      <c r="B74" s="3" t="n">
        <v>37306</v>
      </c>
      <c r="C74" s="2" t="s">
        <v>115</v>
      </c>
      <c r="D74" s="2" t="s">
        <v>352</v>
      </c>
      <c r="E74" s="2" t="s">
        <v>399</v>
      </c>
      <c r="F74" s="2" t="s">
        <v>361</v>
      </c>
    </row>
    <row r="75" customFormat="false" ht="15" hidden="false" customHeight="false" outlineLevel="0" collapsed="false">
      <c r="A75" s="2" t="s">
        <v>48</v>
      </c>
      <c r="B75" s="3" t="n">
        <v>46092</v>
      </c>
      <c r="C75" s="2" t="s">
        <v>32</v>
      </c>
      <c r="D75" s="2" t="s">
        <v>352</v>
      </c>
      <c r="E75" s="2" t="s">
        <v>399</v>
      </c>
      <c r="F75" s="2" t="s">
        <v>361</v>
      </c>
    </row>
    <row r="76" customFormat="false" ht="15" hidden="false" customHeight="false" outlineLevel="0" collapsed="false">
      <c r="A76" s="2" t="s">
        <v>50</v>
      </c>
      <c r="B76" s="3" t="n">
        <v>38405</v>
      </c>
      <c r="C76" s="2" t="s">
        <v>263</v>
      </c>
      <c r="D76" s="2" t="s">
        <v>352</v>
      </c>
      <c r="E76" s="2" t="s">
        <v>400</v>
      </c>
      <c r="F76" s="2" t="s">
        <v>377</v>
      </c>
    </row>
    <row r="77" customFormat="false" ht="15" hidden="false" customHeight="false" outlineLevel="0" collapsed="false">
      <c r="A77" s="2" t="s">
        <v>50</v>
      </c>
      <c r="B77" s="3" t="n">
        <v>41346</v>
      </c>
      <c r="C77" s="2" t="s">
        <v>206</v>
      </c>
      <c r="D77" s="2" t="s">
        <v>352</v>
      </c>
      <c r="E77" s="2" t="s">
        <v>400</v>
      </c>
      <c r="F77" s="2" t="s">
        <v>353</v>
      </c>
    </row>
    <row r="78" customFormat="false" ht="15" hidden="false" customHeight="false" outlineLevel="0" collapsed="false">
      <c r="A78" s="2" t="s">
        <v>50</v>
      </c>
      <c r="B78" s="3" t="n">
        <v>41709</v>
      </c>
      <c r="C78" s="2" t="s">
        <v>385</v>
      </c>
      <c r="D78" s="2" t="s">
        <v>352</v>
      </c>
      <c r="E78" s="2" t="s">
        <v>400</v>
      </c>
      <c r="F78" s="2" t="s">
        <v>361</v>
      </c>
    </row>
    <row r="79" customFormat="false" ht="15" hidden="false" customHeight="false" outlineLevel="0" collapsed="false">
      <c r="A79" s="2" t="s">
        <v>50</v>
      </c>
      <c r="B79" s="3" t="n">
        <v>42312</v>
      </c>
      <c r="C79" s="2" t="s">
        <v>355</v>
      </c>
      <c r="D79" s="2" t="s">
        <v>352</v>
      </c>
      <c r="E79" s="2" t="s">
        <v>400</v>
      </c>
      <c r="F79" s="2" t="s">
        <v>401</v>
      </c>
    </row>
    <row r="80" customFormat="false" ht="15" hidden="false" customHeight="false" outlineLevel="0" collapsed="false">
      <c r="A80" s="2" t="s">
        <v>50</v>
      </c>
      <c r="B80" s="3" t="n">
        <v>45399</v>
      </c>
      <c r="C80" s="2" t="s">
        <v>364</v>
      </c>
      <c r="D80" s="2" t="s">
        <v>352</v>
      </c>
      <c r="E80" s="2" t="s">
        <v>400</v>
      </c>
      <c r="F80" s="2" t="s">
        <v>348</v>
      </c>
    </row>
    <row r="81" customFormat="false" ht="15" hidden="false" customHeight="false" outlineLevel="0" collapsed="false">
      <c r="A81" s="2" t="s">
        <v>53</v>
      </c>
      <c r="B81" s="3" t="n">
        <v>36964</v>
      </c>
      <c r="C81" s="2" t="s">
        <v>89</v>
      </c>
      <c r="D81" s="2" t="s">
        <v>352</v>
      </c>
      <c r="E81" s="2" t="s">
        <v>402</v>
      </c>
      <c r="F81" s="2" t="s">
        <v>348</v>
      </c>
    </row>
    <row r="82" customFormat="false" ht="15" hidden="false" customHeight="false" outlineLevel="0" collapsed="false">
      <c r="A82" s="2" t="s">
        <v>53</v>
      </c>
      <c r="B82" s="3" t="n">
        <v>42781</v>
      </c>
      <c r="C82" s="2" t="s">
        <v>138</v>
      </c>
      <c r="D82" s="2" t="s">
        <v>352</v>
      </c>
      <c r="E82" s="2" t="s">
        <v>402</v>
      </c>
      <c r="F82" s="2" t="s">
        <v>401</v>
      </c>
    </row>
    <row r="83" customFormat="false" ht="15" hidden="false" customHeight="false" outlineLevel="0" collapsed="false">
      <c r="A83" s="2" t="s">
        <v>56</v>
      </c>
      <c r="B83" s="3" t="n">
        <v>33534</v>
      </c>
      <c r="C83" s="2" t="s">
        <v>38</v>
      </c>
      <c r="D83" s="2" t="s">
        <v>391</v>
      </c>
      <c r="E83" s="2" t="s">
        <v>403</v>
      </c>
      <c r="F83" s="2" t="s">
        <v>361</v>
      </c>
    </row>
    <row r="84" customFormat="false" ht="15" hidden="false" customHeight="false" outlineLevel="0" collapsed="false">
      <c r="A84" s="2" t="s">
        <v>56</v>
      </c>
      <c r="B84" s="3" t="n">
        <v>44245</v>
      </c>
      <c r="C84" s="2" t="s">
        <v>125</v>
      </c>
      <c r="D84" s="2" t="s">
        <v>346</v>
      </c>
      <c r="E84" s="2" t="s">
        <v>403</v>
      </c>
      <c r="F84" s="2" t="s">
        <v>361</v>
      </c>
    </row>
    <row r="85" customFormat="false" ht="15" hidden="false" customHeight="false" outlineLevel="0" collapsed="false">
      <c r="A85" s="2" t="s">
        <v>59</v>
      </c>
      <c r="B85" s="3" t="n">
        <v>41870</v>
      </c>
      <c r="C85" s="2" t="s">
        <v>23</v>
      </c>
      <c r="D85" s="2" t="s">
        <v>352</v>
      </c>
      <c r="E85" s="2" t="s">
        <v>404</v>
      </c>
      <c r="F85" s="2" t="s">
        <v>369</v>
      </c>
    </row>
    <row r="86" customFormat="false" ht="15" hidden="false" customHeight="false" outlineLevel="0" collapsed="false">
      <c r="A86" s="2" t="s">
        <v>61</v>
      </c>
      <c r="B86" s="3" t="n">
        <v>37633</v>
      </c>
      <c r="C86" s="2" t="s">
        <v>135</v>
      </c>
      <c r="D86" s="2" t="s">
        <v>356</v>
      </c>
      <c r="E86" s="2" t="s">
        <v>405</v>
      </c>
      <c r="F86" s="2" t="s">
        <v>365</v>
      </c>
    </row>
    <row r="87" customFormat="false" ht="15" hidden="false" customHeight="false" outlineLevel="0" collapsed="false">
      <c r="A87" s="2" t="s">
        <v>61</v>
      </c>
      <c r="B87" s="3" t="n">
        <v>37947</v>
      </c>
      <c r="C87" s="2" t="s">
        <v>91</v>
      </c>
      <c r="D87" s="2" t="s">
        <v>356</v>
      </c>
      <c r="E87" s="2" t="s">
        <v>405</v>
      </c>
      <c r="F87" s="2" t="s">
        <v>363</v>
      </c>
    </row>
    <row r="88" customFormat="false" ht="15" hidden="false" customHeight="false" outlineLevel="0" collapsed="false">
      <c r="A88" s="2" t="s">
        <v>61</v>
      </c>
      <c r="B88" s="3" t="n">
        <v>38487</v>
      </c>
      <c r="C88" s="2" t="s">
        <v>263</v>
      </c>
      <c r="D88" s="2" t="s">
        <v>356</v>
      </c>
      <c r="E88" s="2" t="s">
        <v>405</v>
      </c>
      <c r="F88" s="2" t="s">
        <v>359</v>
      </c>
    </row>
    <row r="89" customFormat="false" ht="15" hidden="false" customHeight="false" outlineLevel="0" collapsed="false">
      <c r="A89" s="2" t="s">
        <v>61</v>
      </c>
      <c r="B89" s="3" t="n">
        <v>38752</v>
      </c>
      <c r="C89" s="2" t="s">
        <v>123</v>
      </c>
      <c r="D89" s="2" t="s">
        <v>356</v>
      </c>
      <c r="E89" s="2" t="s">
        <v>405</v>
      </c>
      <c r="F89" s="2" t="s">
        <v>353</v>
      </c>
    </row>
    <row r="90" customFormat="false" ht="15" hidden="false" customHeight="false" outlineLevel="0" collapsed="false">
      <c r="A90" s="2" t="s">
        <v>61</v>
      </c>
      <c r="B90" s="3" t="n">
        <v>39501</v>
      </c>
      <c r="C90" s="2" t="s">
        <v>297</v>
      </c>
      <c r="D90" s="2" t="s">
        <v>356</v>
      </c>
      <c r="E90" s="2" t="s">
        <v>405</v>
      </c>
      <c r="F90" s="2" t="s">
        <v>380</v>
      </c>
    </row>
    <row r="91" customFormat="false" ht="15" hidden="false" customHeight="false" outlineLevel="0" collapsed="false">
      <c r="A91" s="2" t="s">
        <v>61</v>
      </c>
      <c r="B91" s="3" t="n">
        <v>40264</v>
      </c>
      <c r="C91" s="2" t="s">
        <v>42</v>
      </c>
      <c r="D91" s="2" t="s">
        <v>356</v>
      </c>
      <c r="E91" s="2" t="s">
        <v>405</v>
      </c>
      <c r="F91" s="2" t="s">
        <v>361</v>
      </c>
    </row>
    <row r="92" customFormat="false" ht="15" hidden="false" customHeight="false" outlineLevel="0" collapsed="false">
      <c r="A92" s="2" t="s">
        <v>61</v>
      </c>
      <c r="B92" s="3" t="n">
        <v>40544</v>
      </c>
      <c r="C92" s="2" t="s">
        <v>187</v>
      </c>
      <c r="D92" s="2" t="s">
        <v>356</v>
      </c>
      <c r="E92" s="2" t="s">
        <v>405</v>
      </c>
      <c r="F92" s="2" t="s">
        <v>363</v>
      </c>
    </row>
    <row r="93" customFormat="false" ht="15" hidden="false" customHeight="false" outlineLevel="0" collapsed="false">
      <c r="A93" s="2" t="s">
        <v>63</v>
      </c>
      <c r="B93" s="3" t="n">
        <v>33834</v>
      </c>
      <c r="C93" s="2" t="s">
        <v>267</v>
      </c>
      <c r="D93" s="2" t="s">
        <v>356</v>
      </c>
      <c r="E93" s="2" t="s">
        <v>406</v>
      </c>
      <c r="F93" s="2" t="s">
        <v>348</v>
      </c>
    </row>
    <row r="94" customFormat="false" ht="15" hidden="false" customHeight="false" outlineLevel="0" collapsed="false">
      <c r="A94" s="2" t="s">
        <v>63</v>
      </c>
      <c r="B94" s="3" t="n">
        <v>34213</v>
      </c>
      <c r="C94" s="2" t="s">
        <v>218</v>
      </c>
      <c r="D94" s="2" t="s">
        <v>356</v>
      </c>
      <c r="E94" s="2" t="s">
        <v>406</v>
      </c>
      <c r="F94" s="2" t="s">
        <v>361</v>
      </c>
    </row>
    <row r="95" customFormat="false" ht="15" hidden="false" customHeight="false" outlineLevel="0" collapsed="false">
      <c r="A95" s="2" t="s">
        <v>63</v>
      </c>
      <c r="B95" s="3" t="n">
        <v>34766</v>
      </c>
      <c r="C95" s="2" t="s">
        <v>81</v>
      </c>
      <c r="D95" s="2" t="s">
        <v>356</v>
      </c>
      <c r="E95" s="2" t="s">
        <v>406</v>
      </c>
      <c r="F95" s="2" t="s">
        <v>377</v>
      </c>
    </row>
    <row r="96" customFormat="false" ht="15" hidden="false" customHeight="false" outlineLevel="0" collapsed="false">
      <c r="A96" s="2" t="s">
        <v>63</v>
      </c>
      <c r="B96" s="3" t="n">
        <v>35182</v>
      </c>
      <c r="C96" s="2" t="s">
        <v>378</v>
      </c>
      <c r="D96" s="2" t="s">
        <v>356</v>
      </c>
      <c r="E96" s="2" t="s">
        <v>406</v>
      </c>
      <c r="F96" s="2" t="s">
        <v>361</v>
      </c>
    </row>
    <row r="97" customFormat="false" ht="15" hidden="false" customHeight="false" outlineLevel="0" collapsed="false">
      <c r="A97" s="2" t="s">
        <v>63</v>
      </c>
      <c r="B97" s="3" t="n">
        <v>35350</v>
      </c>
      <c r="C97" s="2" t="s">
        <v>73</v>
      </c>
      <c r="D97" s="2" t="s">
        <v>356</v>
      </c>
      <c r="E97" s="2" t="s">
        <v>406</v>
      </c>
      <c r="F97" s="2" t="s">
        <v>353</v>
      </c>
    </row>
    <row r="98" customFormat="false" ht="15" hidden="false" customHeight="false" outlineLevel="0" collapsed="false">
      <c r="A98" s="2" t="s">
        <v>63</v>
      </c>
      <c r="B98" s="3" t="n">
        <v>35898</v>
      </c>
      <c r="C98" s="2" t="s">
        <v>232</v>
      </c>
      <c r="D98" s="2" t="s">
        <v>356</v>
      </c>
      <c r="E98" s="2" t="s">
        <v>406</v>
      </c>
      <c r="F98" s="2" t="s">
        <v>407</v>
      </c>
    </row>
    <row r="99" customFormat="false" ht="15" hidden="false" customHeight="false" outlineLevel="0" collapsed="false">
      <c r="A99" s="2" t="s">
        <v>63</v>
      </c>
      <c r="B99" s="3" t="n">
        <v>36093</v>
      </c>
      <c r="C99" s="2" t="s">
        <v>381</v>
      </c>
      <c r="D99" s="2" t="s">
        <v>356</v>
      </c>
      <c r="E99" s="2" t="s">
        <v>406</v>
      </c>
      <c r="F99" s="2" t="s">
        <v>360</v>
      </c>
    </row>
    <row r="100" customFormat="false" ht="15" hidden="false" customHeight="false" outlineLevel="0" collapsed="false">
      <c r="A100" s="2" t="s">
        <v>63</v>
      </c>
      <c r="B100" s="3" t="n">
        <v>37236</v>
      </c>
      <c r="C100" s="2" t="s">
        <v>115</v>
      </c>
      <c r="D100" s="2" t="s">
        <v>379</v>
      </c>
      <c r="E100" s="2" t="s">
        <v>406</v>
      </c>
      <c r="F100" s="2" t="s">
        <v>354</v>
      </c>
    </row>
    <row r="101" customFormat="false" ht="15" hidden="false" customHeight="false" outlineLevel="0" collapsed="false">
      <c r="A101" s="2" t="s">
        <v>63</v>
      </c>
      <c r="B101" s="3" t="n">
        <v>37286</v>
      </c>
      <c r="C101" s="2" t="s">
        <v>115</v>
      </c>
      <c r="D101" s="2" t="s">
        <v>356</v>
      </c>
      <c r="E101" s="2" t="s">
        <v>406</v>
      </c>
      <c r="F101" s="2" t="s">
        <v>366</v>
      </c>
    </row>
    <row r="102" customFormat="false" ht="15" hidden="false" customHeight="false" outlineLevel="0" collapsed="false">
      <c r="A102" s="2" t="s">
        <v>63</v>
      </c>
      <c r="B102" s="3" t="n">
        <v>37695</v>
      </c>
      <c r="C102" s="2" t="s">
        <v>135</v>
      </c>
      <c r="D102" s="2" t="s">
        <v>356</v>
      </c>
      <c r="E102" s="2" t="s">
        <v>406</v>
      </c>
      <c r="F102" s="2" t="s">
        <v>351</v>
      </c>
    </row>
    <row r="103" customFormat="false" ht="15" hidden="false" customHeight="false" outlineLevel="0" collapsed="false">
      <c r="A103" s="2" t="s">
        <v>63</v>
      </c>
      <c r="B103" s="3" t="n">
        <v>38059</v>
      </c>
      <c r="C103" s="2" t="s">
        <v>91</v>
      </c>
      <c r="D103" s="2" t="s">
        <v>356</v>
      </c>
      <c r="E103" s="2" t="s">
        <v>406</v>
      </c>
      <c r="F103" s="2" t="s">
        <v>353</v>
      </c>
    </row>
    <row r="104" customFormat="false" ht="15" hidden="false" customHeight="false" outlineLevel="0" collapsed="false">
      <c r="A104" s="2" t="s">
        <v>63</v>
      </c>
      <c r="B104" s="3" t="n">
        <v>38430</v>
      </c>
      <c r="C104" s="2" t="s">
        <v>263</v>
      </c>
      <c r="D104" s="2" t="s">
        <v>356</v>
      </c>
      <c r="E104" s="2" t="s">
        <v>406</v>
      </c>
      <c r="F104" s="2" t="s">
        <v>383</v>
      </c>
    </row>
    <row r="105" customFormat="false" ht="15" hidden="false" customHeight="false" outlineLevel="0" collapsed="false">
      <c r="A105" s="2" t="s">
        <v>63</v>
      </c>
      <c r="B105" s="3" t="n">
        <v>38773</v>
      </c>
      <c r="C105" s="2" t="s">
        <v>123</v>
      </c>
      <c r="D105" s="2" t="s">
        <v>356</v>
      </c>
      <c r="E105" s="2" t="s">
        <v>406</v>
      </c>
      <c r="F105" s="2" t="s">
        <v>348</v>
      </c>
    </row>
    <row r="106" customFormat="false" ht="15" hidden="false" customHeight="false" outlineLevel="0" collapsed="false">
      <c r="A106" s="2" t="s">
        <v>63</v>
      </c>
      <c r="B106" s="3" t="n">
        <v>39095</v>
      </c>
      <c r="C106" s="2" t="s">
        <v>110</v>
      </c>
      <c r="D106" s="2" t="s">
        <v>356</v>
      </c>
      <c r="E106" s="2" t="s">
        <v>406</v>
      </c>
      <c r="F106" s="2" t="s">
        <v>353</v>
      </c>
    </row>
    <row r="107" customFormat="false" ht="15" hidden="false" customHeight="false" outlineLevel="0" collapsed="false">
      <c r="A107" s="2" t="s">
        <v>63</v>
      </c>
      <c r="B107" s="3" t="n">
        <v>39141</v>
      </c>
      <c r="C107" s="2" t="s">
        <v>110</v>
      </c>
      <c r="D107" s="2" t="s">
        <v>362</v>
      </c>
      <c r="E107" s="2" t="s">
        <v>406</v>
      </c>
      <c r="F107" s="2" t="s">
        <v>348</v>
      </c>
    </row>
    <row r="108" customFormat="false" ht="15" hidden="false" customHeight="false" outlineLevel="0" collapsed="false">
      <c r="A108" s="2" t="s">
        <v>63</v>
      </c>
      <c r="B108" s="3" t="n">
        <v>39313</v>
      </c>
      <c r="C108" s="2" t="s">
        <v>297</v>
      </c>
      <c r="D108" s="2" t="s">
        <v>356</v>
      </c>
      <c r="E108" s="2" t="s">
        <v>406</v>
      </c>
      <c r="F108" s="2" t="s">
        <v>361</v>
      </c>
    </row>
    <row r="109" customFormat="false" ht="15" hidden="false" customHeight="false" outlineLevel="0" collapsed="false">
      <c r="A109" s="2" t="s">
        <v>63</v>
      </c>
      <c r="B109" s="3" t="n">
        <v>39434</v>
      </c>
      <c r="C109" s="2" t="s">
        <v>297</v>
      </c>
      <c r="D109" s="2" t="s">
        <v>379</v>
      </c>
      <c r="E109" s="2" t="s">
        <v>406</v>
      </c>
      <c r="F109" s="2" t="s">
        <v>366</v>
      </c>
    </row>
    <row r="110" customFormat="false" ht="15" hidden="false" customHeight="false" outlineLevel="0" collapsed="false">
      <c r="A110" s="2" t="s">
        <v>63</v>
      </c>
      <c r="B110" s="3" t="n">
        <v>39704</v>
      </c>
      <c r="C110" s="2" t="s">
        <v>312</v>
      </c>
      <c r="D110" s="2" t="s">
        <v>356</v>
      </c>
      <c r="E110" s="2" t="s">
        <v>406</v>
      </c>
      <c r="F110" s="2" t="s">
        <v>365</v>
      </c>
    </row>
    <row r="111" customFormat="false" ht="15" hidden="false" customHeight="false" outlineLevel="0" collapsed="false">
      <c r="A111" s="2" t="s">
        <v>63</v>
      </c>
      <c r="B111" s="3" t="n">
        <v>40301</v>
      </c>
      <c r="C111" s="2" t="s">
        <v>42</v>
      </c>
      <c r="D111" s="2" t="s">
        <v>356</v>
      </c>
      <c r="E111" s="2" t="s">
        <v>406</v>
      </c>
      <c r="F111" s="2" t="s">
        <v>359</v>
      </c>
    </row>
    <row r="112" customFormat="false" ht="15" hidden="false" customHeight="false" outlineLevel="0" collapsed="false">
      <c r="A112" s="2" t="s">
        <v>63</v>
      </c>
      <c r="B112" s="3" t="n">
        <v>40418</v>
      </c>
      <c r="C112" s="2" t="s">
        <v>187</v>
      </c>
      <c r="D112" s="2" t="s">
        <v>356</v>
      </c>
      <c r="E112" s="2" t="s">
        <v>406</v>
      </c>
      <c r="F112" s="2" t="s">
        <v>360</v>
      </c>
    </row>
    <row r="113" customFormat="false" ht="15" hidden="false" customHeight="false" outlineLevel="0" collapsed="false">
      <c r="A113" s="2" t="s">
        <v>63</v>
      </c>
      <c r="B113" s="3" t="n">
        <v>40803</v>
      </c>
      <c r="C113" s="2" t="s">
        <v>314</v>
      </c>
      <c r="D113" s="2" t="s">
        <v>356</v>
      </c>
      <c r="E113" s="2" t="s">
        <v>406</v>
      </c>
      <c r="F113" s="2" t="s">
        <v>408</v>
      </c>
    </row>
    <row r="114" customFormat="false" ht="15" hidden="false" customHeight="false" outlineLevel="0" collapsed="false">
      <c r="A114" s="2" t="s">
        <v>65</v>
      </c>
      <c r="B114" s="3" t="n">
        <v>40643</v>
      </c>
      <c r="C114" s="2" t="s">
        <v>187</v>
      </c>
      <c r="D114" s="2" t="s">
        <v>356</v>
      </c>
      <c r="E114" s="2" t="s">
        <v>409</v>
      </c>
      <c r="F114" s="2" t="s">
        <v>373</v>
      </c>
    </row>
    <row r="115" customFormat="false" ht="15" hidden="false" customHeight="false" outlineLevel="0" collapsed="false">
      <c r="A115" s="2" t="s">
        <v>65</v>
      </c>
      <c r="B115" s="3" t="n">
        <v>43470</v>
      </c>
      <c r="C115" s="2" t="s">
        <v>153</v>
      </c>
      <c r="D115" s="2" t="s">
        <v>362</v>
      </c>
      <c r="E115" s="2" t="s">
        <v>409</v>
      </c>
      <c r="F115" s="2" t="s">
        <v>363</v>
      </c>
    </row>
    <row r="116" customFormat="false" ht="15" hidden="false" customHeight="false" outlineLevel="0" collapsed="false">
      <c r="A116" s="2" t="s">
        <v>67</v>
      </c>
      <c r="B116" s="3" t="n">
        <v>34365</v>
      </c>
      <c r="C116" s="2" t="s">
        <v>218</v>
      </c>
      <c r="D116" s="2" t="s">
        <v>362</v>
      </c>
      <c r="E116" s="2" t="s">
        <v>410</v>
      </c>
      <c r="F116" s="2" t="s">
        <v>380</v>
      </c>
    </row>
    <row r="117" customFormat="false" ht="15" hidden="false" customHeight="false" outlineLevel="0" collapsed="false">
      <c r="A117" s="2" t="s">
        <v>67</v>
      </c>
      <c r="B117" s="3" t="n">
        <v>35002</v>
      </c>
      <c r="C117" s="2" t="s">
        <v>378</v>
      </c>
      <c r="D117" s="2" t="s">
        <v>356</v>
      </c>
      <c r="E117" s="2" t="s">
        <v>410</v>
      </c>
      <c r="F117" s="2" t="s">
        <v>348</v>
      </c>
    </row>
    <row r="118" customFormat="false" ht="15" hidden="false" customHeight="false" outlineLevel="0" collapsed="false">
      <c r="A118" s="2" t="s">
        <v>67</v>
      </c>
      <c r="B118" s="3" t="n">
        <v>35885</v>
      </c>
      <c r="C118" s="2" t="s">
        <v>232</v>
      </c>
      <c r="D118" s="2" t="s">
        <v>356</v>
      </c>
      <c r="E118" s="2" t="s">
        <v>410</v>
      </c>
      <c r="F118" s="2" t="s">
        <v>383</v>
      </c>
    </row>
    <row r="119" customFormat="false" ht="15" hidden="false" customHeight="false" outlineLevel="0" collapsed="false">
      <c r="A119" s="2" t="s">
        <v>67</v>
      </c>
      <c r="B119" s="3" t="n">
        <v>37375</v>
      </c>
      <c r="C119" s="2" t="s">
        <v>115</v>
      </c>
      <c r="D119" s="2" t="s">
        <v>356</v>
      </c>
      <c r="E119" s="2" t="s">
        <v>410</v>
      </c>
      <c r="F119" s="2" t="s">
        <v>353</v>
      </c>
    </row>
    <row r="120" customFormat="false" ht="15" hidden="false" customHeight="false" outlineLevel="0" collapsed="false">
      <c r="A120" s="2" t="s">
        <v>67</v>
      </c>
      <c r="B120" s="3" t="n">
        <v>37737</v>
      </c>
      <c r="C120" s="2" t="s">
        <v>135</v>
      </c>
      <c r="D120" s="2" t="s">
        <v>356</v>
      </c>
      <c r="E120" s="2" t="s">
        <v>410</v>
      </c>
      <c r="F120" s="2" t="s">
        <v>380</v>
      </c>
    </row>
    <row r="121" customFormat="false" ht="15" hidden="false" customHeight="false" outlineLevel="0" collapsed="false">
      <c r="A121" s="2" t="s">
        <v>67</v>
      </c>
      <c r="B121" s="3" t="n">
        <v>37975</v>
      </c>
      <c r="C121" s="2" t="s">
        <v>91</v>
      </c>
      <c r="D121" s="2" t="s">
        <v>356</v>
      </c>
      <c r="E121" s="2" t="s">
        <v>410</v>
      </c>
      <c r="F121" s="2" t="s">
        <v>361</v>
      </c>
    </row>
    <row r="122" customFormat="false" ht="15" hidden="false" customHeight="false" outlineLevel="0" collapsed="false">
      <c r="A122" s="2" t="s">
        <v>67</v>
      </c>
      <c r="B122" s="3" t="n">
        <v>38367</v>
      </c>
      <c r="C122" s="2" t="s">
        <v>263</v>
      </c>
      <c r="D122" s="2" t="s">
        <v>356</v>
      </c>
      <c r="E122" s="2" t="s">
        <v>410</v>
      </c>
      <c r="F122" s="2" t="s">
        <v>348</v>
      </c>
    </row>
    <row r="123" customFormat="false" ht="15" hidden="false" customHeight="false" outlineLevel="0" collapsed="false">
      <c r="A123" s="2" t="s">
        <v>67</v>
      </c>
      <c r="B123" s="3" t="n">
        <v>38423</v>
      </c>
      <c r="C123" s="2" t="s">
        <v>263</v>
      </c>
      <c r="D123" s="2" t="s">
        <v>362</v>
      </c>
      <c r="E123" s="2" t="s">
        <v>410</v>
      </c>
      <c r="F123" s="2" t="s">
        <v>383</v>
      </c>
    </row>
    <row r="124" customFormat="false" ht="15" hidden="false" customHeight="false" outlineLevel="0" collapsed="false">
      <c r="A124" s="2" t="s">
        <v>67</v>
      </c>
      <c r="B124" s="3" t="n">
        <v>38689</v>
      </c>
      <c r="C124" s="2" t="s">
        <v>123</v>
      </c>
      <c r="D124" s="2" t="s">
        <v>356</v>
      </c>
      <c r="E124" s="2" t="s">
        <v>410</v>
      </c>
      <c r="F124" s="2" t="s">
        <v>351</v>
      </c>
    </row>
    <row r="125" customFormat="false" ht="15" hidden="false" customHeight="false" outlineLevel="0" collapsed="false">
      <c r="A125" s="2" t="s">
        <v>67</v>
      </c>
      <c r="B125" s="3" t="n">
        <v>38745</v>
      </c>
      <c r="C125" s="2" t="s">
        <v>123</v>
      </c>
      <c r="D125" s="2" t="s">
        <v>362</v>
      </c>
      <c r="E125" s="2" t="s">
        <v>410</v>
      </c>
      <c r="F125" s="2" t="s">
        <v>348</v>
      </c>
    </row>
    <row r="126" customFormat="false" ht="15" hidden="false" customHeight="false" outlineLevel="0" collapsed="false">
      <c r="A126" s="2" t="s">
        <v>67</v>
      </c>
      <c r="B126" s="3" t="n">
        <v>39046</v>
      </c>
      <c r="C126" s="2" t="s">
        <v>110</v>
      </c>
      <c r="D126" s="2" t="s">
        <v>356</v>
      </c>
      <c r="E126" s="2" t="s">
        <v>410</v>
      </c>
      <c r="F126" s="2" t="s">
        <v>377</v>
      </c>
    </row>
    <row r="127" customFormat="false" ht="15" hidden="false" customHeight="false" outlineLevel="0" collapsed="false">
      <c r="A127" s="2" t="s">
        <v>67</v>
      </c>
      <c r="B127" s="3" t="n">
        <v>39127</v>
      </c>
      <c r="C127" s="2" t="s">
        <v>110</v>
      </c>
      <c r="D127" s="2" t="s">
        <v>362</v>
      </c>
      <c r="E127" s="2" t="s">
        <v>410</v>
      </c>
      <c r="F127" s="2" t="s">
        <v>373</v>
      </c>
    </row>
    <row r="128" customFormat="false" ht="15" hidden="false" customHeight="false" outlineLevel="0" collapsed="false">
      <c r="A128" s="2" t="s">
        <v>67</v>
      </c>
      <c r="B128" s="3" t="n">
        <v>39536</v>
      </c>
      <c r="C128" s="2" t="s">
        <v>297</v>
      </c>
      <c r="D128" s="2" t="s">
        <v>356</v>
      </c>
      <c r="E128" s="2" t="s">
        <v>410</v>
      </c>
      <c r="F128" s="2" t="s">
        <v>366</v>
      </c>
    </row>
    <row r="129" customFormat="false" ht="15" hidden="false" customHeight="false" outlineLevel="0" collapsed="false">
      <c r="A129" s="2" t="s">
        <v>67</v>
      </c>
      <c r="B129" s="3" t="n">
        <v>39711</v>
      </c>
      <c r="C129" s="2" t="s">
        <v>312</v>
      </c>
      <c r="D129" s="2" t="s">
        <v>356</v>
      </c>
      <c r="E129" s="2" t="s">
        <v>410</v>
      </c>
      <c r="F129" s="2" t="s">
        <v>373</v>
      </c>
    </row>
    <row r="130" customFormat="false" ht="15" hidden="false" customHeight="false" outlineLevel="0" collapsed="false">
      <c r="A130" s="2" t="s">
        <v>67</v>
      </c>
      <c r="B130" s="3" t="n">
        <v>40195</v>
      </c>
      <c r="C130" s="2" t="s">
        <v>42</v>
      </c>
      <c r="D130" s="2" t="s">
        <v>356</v>
      </c>
      <c r="E130" s="2" t="s">
        <v>410</v>
      </c>
      <c r="F130" s="2" t="s">
        <v>353</v>
      </c>
    </row>
    <row r="131" customFormat="false" ht="15" hidden="false" customHeight="false" outlineLevel="0" collapsed="false">
      <c r="A131" s="2" t="s">
        <v>67</v>
      </c>
      <c r="B131" s="3" t="n">
        <v>40657</v>
      </c>
      <c r="C131" s="2" t="s">
        <v>187</v>
      </c>
      <c r="D131" s="2" t="s">
        <v>356</v>
      </c>
      <c r="E131" s="2" t="s">
        <v>410</v>
      </c>
      <c r="F131" s="2" t="s">
        <v>359</v>
      </c>
    </row>
    <row r="132" customFormat="false" ht="15" hidden="false" customHeight="false" outlineLevel="0" collapsed="false">
      <c r="A132" s="2" t="s">
        <v>67</v>
      </c>
      <c r="B132" s="3" t="n">
        <v>40940</v>
      </c>
      <c r="C132" s="2" t="s">
        <v>314</v>
      </c>
      <c r="D132" s="2" t="s">
        <v>356</v>
      </c>
      <c r="E132" s="2" t="s">
        <v>410</v>
      </c>
      <c r="F132" s="2" t="s">
        <v>369</v>
      </c>
    </row>
    <row r="133" customFormat="false" ht="15" hidden="false" customHeight="false" outlineLevel="0" collapsed="false">
      <c r="A133" s="2" t="s">
        <v>70</v>
      </c>
      <c r="B133" s="3" t="n">
        <v>37559</v>
      </c>
      <c r="C133" s="2" t="s">
        <v>135</v>
      </c>
      <c r="D133" s="2" t="s">
        <v>352</v>
      </c>
      <c r="E133" s="2" t="s">
        <v>411</v>
      </c>
      <c r="F133" s="2" t="s">
        <v>359</v>
      </c>
    </row>
    <row r="134" customFormat="false" ht="15" hidden="false" customHeight="false" outlineLevel="0" collapsed="false">
      <c r="A134" s="2" t="s">
        <v>70</v>
      </c>
      <c r="B134" s="3" t="n">
        <v>40799</v>
      </c>
      <c r="C134" s="2" t="s">
        <v>314</v>
      </c>
      <c r="D134" s="2" t="s">
        <v>352</v>
      </c>
      <c r="E134" s="2" t="s">
        <v>411</v>
      </c>
      <c r="F134" s="2" t="s">
        <v>361</v>
      </c>
    </row>
    <row r="135" customFormat="false" ht="15" hidden="false" customHeight="false" outlineLevel="0" collapsed="false">
      <c r="A135" s="2" t="s">
        <v>70</v>
      </c>
      <c r="B135" s="3" t="n">
        <v>41584</v>
      </c>
      <c r="C135" s="2" t="s">
        <v>385</v>
      </c>
      <c r="D135" s="2" t="s">
        <v>352</v>
      </c>
      <c r="E135" s="2" t="s">
        <v>411</v>
      </c>
      <c r="F135" s="2" t="s">
        <v>383</v>
      </c>
    </row>
    <row r="136" customFormat="false" ht="15" hidden="false" customHeight="false" outlineLevel="0" collapsed="false">
      <c r="A136" s="2" t="s">
        <v>70</v>
      </c>
      <c r="B136" s="3" t="n">
        <v>41898</v>
      </c>
      <c r="C136" s="2" t="s">
        <v>23</v>
      </c>
      <c r="D136" s="2" t="s">
        <v>352</v>
      </c>
      <c r="E136" s="2" t="s">
        <v>411</v>
      </c>
      <c r="F136" s="2" t="s">
        <v>351</v>
      </c>
    </row>
    <row r="137" customFormat="false" ht="15" hidden="false" customHeight="false" outlineLevel="0" collapsed="false">
      <c r="A137" s="2" t="s">
        <v>72</v>
      </c>
      <c r="B137" s="3" t="n">
        <v>35333</v>
      </c>
      <c r="C137" s="2" t="s">
        <v>73</v>
      </c>
      <c r="D137" s="2" t="s">
        <v>412</v>
      </c>
      <c r="E137" s="2" t="s">
        <v>413</v>
      </c>
      <c r="F137" s="2" t="s">
        <v>382</v>
      </c>
    </row>
    <row r="138" customFormat="false" ht="15" hidden="false" customHeight="false" outlineLevel="0" collapsed="false">
      <c r="A138" s="2" t="s">
        <v>74</v>
      </c>
      <c r="B138" s="3" t="n">
        <v>36561</v>
      </c>
      <c r="C138" s="2" t="s">
        <v>19</v>
      </c>
      <c r="D138" s="2" t="s">
        <v>356</v>
      </c>
      <c r="E138" s="2" t="s">
        <v>414</v>
      </c>
      <c r="F138" s="2" t="s">
        <v>359</v>
      </c>
    </row>
    <row r="139" customFormat="false" ht="15" hidden="false" customHeight="false" outlineLevel="0" collapsed="false">
      <c r="A139" s="2" t="s">
        <v>74</v>
      </c>
      <c r="B139" s="3" t="n">
        <v>36778</v>
      </c>
      <c r="C139" s="2" t="s">
        <v>89</v>
      </c>
      <c r="D139" s="2" t="s">
        <v>356</v>
      </c>
      <c r="E139" s="2" t="s">
        <v>414</v>
      </c>
      <c r="F139" s="2" t="s">
        <v>361</v>
      </c>
    </row>
    <row r="140" customFormat="false" ht="15" hidden="false" customHeight="false" outlineLevel="0" collapsed="false">
      <c r="A140" s="2" t="s">
        <v>74</v>
      </c>
      <c r="B140" s="3" t="n">
        <v>41254</v>
      </c>
      <c r="C140" s="2" t="s">
        <v>206</v>
      </c>
      <c r="D140" s="2" t="s">
        <v>379</v>
      </c>
      <c r="E140" s="2" t="s">
        <v>414</v>
      </c>
      <c r="F140" s="2" t="s">
        <v>415</v>
      </c>
    </row>
    <row r="141" customFormat="false" ht="15" hidden="false" customHeight="false" outlineLevel="0" collapsed="false">
      <c r="A141" s="2" t="s">
        <v>76</v>
      </c>
      <c r="B141" s="3" t="n">
        <v>44421</v>
      </c>
      <c r="C141" s="2" t="s">
        <v>386</v>
      </c>
      <c r="D141" s="2" t="s">
        <v>356</v>
      </c>
      <c r="E141" s="2" t="s">
        <v>416</v>
      </c>
      <c r="F141" s="2" t="s">
        <v>351</v>
      </c>
    </row>
    <row r="142" customFormat="false" ht="15" hidden="false" customHeight="false" outlineLevel="0" collapsed="false">
      <c r="A142" s="2" t="s">
        <v>76</v>
      </c>
      <c r="B142" s="3" t="n">
        <v>44822</v>
      </c>
      <c r="C142" s="2" t="s">
        <v>147</v>
      </c>
      <c r="D142" s="2" t="s">
        <v>356</v>
      </c>
      <c r="E142" s="2" t="s">
        <v>416</v>
      </c>
      <c r="F142" s="2" t="s">
        <v>363</v>
      </c>
    </row>
    <row r="143" customFormat="false" ht="15" hidden="false" customHeight="false" outlineLevel="0" collapsed="false">
      <c r="A143" s="2" t="s">
        <v>76</v>
      </c>
      <c r="B143" s="3" t="n">
        <v>45196</v>
      </c>
      <c r="C143" s="2" t="s">
        <v>364</v>
      </c>
      <c r="D143" s="2" t="s">
        <v>379</v>
      </c>
      <c r="E143" s="2" t="s">
        <v>416</v>
      </c>
      <c r="F143" s="2" t="s">
        <v>383</v>
      </c>
    </row>
    <row r="144" customFormat="false" ht="15" hidden="false" customHeight="false" outlineLevel="0" collapsed="false">
      <c r="A144" s="2" t="s">
        <v>76</v>
      </c>
      <c r="B144" s="3" t="n">
        <v>45255</v>
      </c>
      <c r="C144" s="2" t="s">
        <v>364</v>
      </c>
      <c r="D144" s="2" t="s">
        <v>356</v>
      </c>
      <c r="E144" s="2" t="s">
        <v>416</v>
      </c>
      <c r="F144" s="2" t="s">
        <v>383</v>
      </c>
    </row>
    <row r="145" customFormat="false" ht="15" hidden="false" customHeight="false" outlineLevel="0" collapsed="false">
      <c r="A145" s="2" t="s">
        <v>76</v>
      </c>
      <c r="B145" s="3" t="n">
        <v>45658</v>
      </c>
      <c r="C145" s="2" t="s">
        <v>30</v>
      </c>
      <c r="D145" s="2" t="s">
        <v>356</v>
      </c>
      <c r="E145" s="2" t="s">
        <v>416</v>
      </c>
      <c r="F145" s="2" t="s">
        <v>373</v>
      </c>
    </row>
    <row r="146" customFormat="false" ht="15" hidden="false" customHeight="false" outlineLevel="0" collapsed="false">
      <c r="A146" s="2" t="s">
        <v>76</v>
      </c>
      <c r="B146" s="3" t="n">
        <v>46065</v>
      </c>
      <c r="C146" s="2" t="s">
        <v>32</v>
      </c>
      <c r="D146" s="2" t="s">
        <v>356</v>
      </c>
      <c r="E146" s="2" t="s">
        <v>416</v>
      </c>
      <c r="F146" s="2" t="s">
        <v>361</v>
      </c>
    </row>
    <row r="147" customFormat="false" ht="15" hidden="false" customHeight="false" outlineLevel="0" collapsed="false">
      <c r="A147" s="2" t="s">
        <v>78</v>
      </c>
      <c r="B147" s="3" t="n">
        <v>41300</v>
      </c>
      <c r="C147" s="2" t="s">
        <v>206</v>
      </c>
      <c r="D147" s="2" t="s">
        <v>362</v>
      </c>
      <c r="E147" s="2" t="s">
        <v>417</v>
      </c>
      <c r="F147" s="2" t="s">
        <v>366</v>
      </c>
    </row>
    <row r="148" customFormat="false" ht="15" hidden="false" customHeight="false" outlineLevel="0" collapsed="false">
      <c r="A148" s="2" t="s">
        <v>78</v>
      </c>
      <c r="B148" s="3" t="n">
        <v>42029</v>
      </c>
      <c r="C148" s="2" t="s">
        <v>23</v>
      </c>
      <c r="D148" s="2" t="s">
        <v>362</v>
      </c>
      <c r="E148" s="2" t="s">
        <v>417</v>
      </c>
      <c r="F148" s="2" t="s">
        <v>366</v>
      </c>
    </row>
    <row r="149" customFormat="false" ht="15" hidden="false" customHeight="false" outlineLevel="0" collapsed="false">
      <c r="A149" s="2" t="s">
        <v>78</v>
      </c>
      <c r="B149" s="3" t="n">
        <v>43163</v>
      </c>
      <c r="C149" s="2" t="s">
        <v>11</v>
      </c>
      <c r="D149" s="2" t="s">
        <v>356</v>
      </c>
      <c r="E149" s="2" t="s">
        <v>417</v>
      </c>
      <c r="F149" s="2" t="s">
        <v>359</v>
      </c>
    </row>
    <row r="150" customFormat="false" ht="15" hidden="false" customHeight="false" outlineLevel="0" collapsed="false">
      <c r="A150" s="2" t="s">
        <v>78</v>
      </c>
      <c r="B150" s="3" t="n">
        <v>43460</v>
      </c>
      <c r="C150" s="2" t="s">
        <v>153</v>
      </c>
      <c r="D150" s="2" t="s">
        <v>356</v>
      </c>
      <c r="E150" s="2" t="s">
        <v>417</v>
      </c>
      <c r="F150" s="2" t="s">
        <v>361</v>
      </c>
    </row>
    <row r="151" customFormat="false" ht="15" hidden="false" customHeight="false" outlineLevel="0" collapsed="false">
      <c r="A151" s="2" t="s">
        <v>78</v>
      </c>
      <c r="B151" s="3" t="n">
        <v>44002</v>
      </c>
      <c r="C151" s="2" t="s">
        <v>130</v>
      </c>
      <c r="D151" s="2" t="s">
        <v>356</v>
      </c>
      <c r="E151" s="2" t="s">
        <v>417</v>
      </c>
      <c r="F151" s="2" t="s">
        <v>359</v>
      </c>
    </row>
    <row r="152" customFormat="false" ht="15" hidden="false" customHeight="false" outlineLevel="0" collapsed="false">
      <c r="A152" s="2" t="s">
        <v>78</v>
      </c>
      <c r="B152" s="3" t="n">
        <v>44194</v>
      </c>
      <c r="C152" s="2" t="s">
        <v>125</v>
      </c>
      <c r="D152" s="2" t="s">
        <v>356</v>
      </c>
      <c r="E152" s="2" t="s">
        <v>417</v>
      </c>
      <c r="F152" s="2" t="s">
        <v>383</v>
      </c>
    </row>
    <row r="153" customFormat="false" ht="15" hidden="false" customHeight="false" outlineLevel="0" collapsed="false">
      <c r="A153" s="2" t="s">
        <v>78</v>
      </c>
      <c r="B153" s="3" t="n">
        <v>44471</v>
      </c>
      <c r="C153" s="2" t="s">
        <v>386</v>
      </c>
      <c r="D153" s="2" t="s">
        <v>356</v>
      </c>
      <c r="E153" s="2" t="s">
        <v>417</v>
      </c>
      <c r="F153" s="2" t="s">
        <v>369</v>
      </c>
    </row>
    <row r="154" customFormat="false" ht="15" hidden="false" customHeight="false" outlineLevel="0" collapsed="false">
      <c r="A154" s="2" t="s">
        <v>78</v>
      </c>
      <c r="B154" s="3" t="n">
        <v>44926</v>
      </c>
      <c r="C154" s="2" t="s">
        <v>147</v>
      </c>
      <c r="D154" s="2" t="s">
        <v>356</v>
      </c>
      <c r="E154" s="2" t="s">
        <v>417</v>
      </c>
      <c r="F154" s="2" t="s">
        <v>384</v>
      </c>
    </row>
    <row r="155" customFormat="false" ht="15" hidden="false" customHeight="false" outlineLevel="0" collapsed="false">
      <c r="A155" s="2" t="s">
        <v>78</v>
      </c>
      <c r="B155" s="3" t="n">
        <v>45388</v>
      </c>
      <c r="C155" s="2" t="s">
        <v>364</v>
      </c>
      <c r="D155" s="2" t="s">
        <v>356</v>
      </c>
      <c r="E155" s="2" t="s">
        <v>417</v>
      </c>
      <c r="F155" s="2" t="s">
        <v>363</v>
      </c>
    </row>
    <row r="156" customFormat="false" ht="15" hidden="false" customHeight="false" outlineLevel="0" collapsed="false">
      <c r="A156" s="2" t="s">
        <v>78</v>
      </c>
      <c r="B156" s="3" t="n">
        <v>45661</v>
      </c>
      <c r="C156" s="2" t="s">
        <v>30</v>
      </c>
      <c r="D156" s="2" t="s">
        <v>356</v>
      </c>
      <c r="E156" s="2" t="s">
        <v>417</v>
      </c>
      <c r="F156" s="2" t="s">
        <v>361</v>
      </c>
    </row>
    <row r="157" customFormat="false" ht="15" hidden="false" customHeight="false" outlineLevel="0" collapsed="false">
      <c r="A157" s="2" t="s">
        <v>78</v>
      </c>
      <c r="B157" s="3" t="n">
        <v>46085</v>
      </c>
      <c r="C157" s="2" t="s">
        <v>32</v>
      </c>
      <c r="D157" s="2" t="s">
        <v>356</v>
      </c>
      <c r="E157" s="2" t="s">
        <v>417</v>
      </c>
      <c r="F157" s="2" t="s">
        <v>383</v>
      </c>
    </row>
    <row r="158" customFormat="false" ht="15" hidden="false" customHeight="false" outlineLevel="0" collapsed="false">
      <c r="A158" s="2" t="s">
        <v>80</v>
      </c>
      <c r="B158" s="3" t="n">
        <v>34627</v>
      </c>
      <c r="C158" s="2" t="s">
        <v>81</v>
      </c>
      <c r="D158" s="2" t="s">
        <v>393</v>
      </c>
      <c r="E158" s="2" t="s">
        <v>418</v>
      </c>
      <c r="F158" s="2" t="s">
        <v>360</v>
      </c>
    </row>
    <row r="159" customFormat="false" ht="15" hidden="false" customHeight="false" outlineLevel="0" collapsed="false">
      <c r="A159" s="2" t="s">
        <v>82</v>
      </c>
      <c r="B159" s="3" t="n">
        <v>39453</v>
      </c>
      <c r="C159" s="2" t="s">
        <v>297</v>
      </c>
      <c r="D159" s="2" t="s">
        <v>362</v>
      </c>
      <c r="E159" s="2" t="s">
        <v>419</v>
      </c>
      <c r="F159" s="2" t="s">
        <v>353</v>
      </c>
    </row>
    <row r="160" customFormat="false" ht="15" hidden="false" customHeight="false" outlineLevel="0" collapsed="false">
      <c r="A160" s="2" t="s">
        <v>82</v>
      </c>
      <c r="B160" s="3" t="n">
        <v>39784</v>
      </c>
      <c r="C160" s="2" t="s">
        <v>312</v>
      </c>
      <c r="D160" s="2" t="s">
        <v>379</v>
      </c>
      <c r="E160" s="2" t="s">
        <v>419</v>
      </c>
      <c r="F160" s="2" t="s">
        <v>351</v>
      </c>
    </row>
    <row r="161" customFormat="false" ht="15" hidden="false" customHeight="false" outlineLevel="0" collapsed="false">
      <c r="A161" s="2" t="s">
        <v>82</v>
      </c>
      <c r="B161" s="3" t="n">
        <v>40163</v>
      </c>
      <c r="C161" s="2" t="s">
        <v>42</v>
      </c>
      <c r="D161" s="2" t="s">
        <v>356</v>
      </c>
      <c r="E161" s="2" t="s">
        <v>419</v>
      </c>
      <c r="F161" s="2" t="s">
        <v>361</v>
      </c>
    </row>
    <row r="162" customFormat="false" ht="15" hidden="false" customHeight="false" outlineLevel="0" collapsed="false">
      <c r="A162" s="2" t="s">
        <v>82</v>
      </c>
      <c r="B162" s="3" t="n">
        <v>42105</v>
      </c>
      <c r="C162" s="2" t="s">
        <v>23</v>
      </c>
      <c r="D162" s="2" t="s">
        <v>356</v>
      </c>
      <c r="E162" s="2" t="s">
        <v>419</v>
      </c>
      <c r="F162" s="2" t="s">
        <v>383</v>
      </c>
    </row>
    <row r="163" customFormat="false" ht="15" hidden="false" customHeight="false" outlineLevel="0" collapsed="false">
      <c r="A163" s="2" t="s">
        <v>82</v>
      </c>
      <c r="B163" s="3" t="n">
        <v>42645</v>
      </c>
      <c r="C163" s="2" t="s">
        <v>138</v>
      </c>
      <c r="D163" s="2" t="s">
        <v>356</v>
      </c>
      <c r="E163" s="2" t="s">
        <v>419</v>
      </c>
      <c r="F163" s="2" t="s">
        <v>383</v>
      </c>
    </row>
    <row r="164" customFormat="false" ht="15" hidden="false" customHeight="false" outlineLevel="0" collapsed="false">
      <c r="A164" s="2" t="s">
        <v>82</v>
      </c>
      <c r="B164" s="3" t="n">
        <v>43065</v>
      </c>
      <c r="C164" s="2" t="s">
        <v>11</v>
      </c>
      <c r="D164" s="2" t="s">
        <v>356</v>
      </c>
      <c r="E164" s="2" t="s">
        <v>419</v>
      </c>
      <c r="F164" s="2" t="s">
        <v>383</v>
      </c>
    </row>
    <row r="165" customFormat="false" ht="15" hidden="false" customHeight="false" outlineLevel="0" collapsed="false">
      <c r="A165" s="2" t="s">
        <v>82</v>
      </c>
      <c r="B165" s="3" t="n">
        <v>43597</v>
      </c>
      <c r="C165" s="2" t="s">
        <v>153</v>
      </c>
      <c r="D165" s="2" t="s">
        <v>356</v>
      </c>
      <c r="E165" s="2" t="s">
        <v>419</v>
      </c>
      <c r="F165" s="2" t="s">
        <v>373</v>
      </c>
    </row>
    <row r="166" customFormat="false" ht="15" hidden="false" customHeight="false" outlineLevel="0" collapsed="false">
      <c r="A166" s="2" t="s">
        <v>82</v>
      </c>
      <c r="B166" s="3" t="n">
        <v>43863</v>
      </c>
      <c r="C166" s="2" t="s">
        <v>130</v>
      </c>
      <c r="D166" s="2" t="s">
        <v>356</v>
      </c>
      <c r="E166" s="2" t="s">
        <v>419</v>
      </c>
      <c r="F166" s="2" t="s">
        <v>369</v>
      </c>
    </row>
    <row r="167" customFormat="false" ht="15" hidden="false" customHeight="false" outlineLevel="0" collapsed="false">
      <c r="A167" s="2" t="s">
        <v>82</v>
      </c>
      <c r="B167" s="3" t="n">
        <v>44261</v>
      </c>
      <c r="C167" s="2" t="s">
        <v>125</v>
      </c>
      <c r="D167" s="2" t="s">
        <v>356</v>
      </c>
      <c r="E167" s="2" t="s">
        <v>419</v>
      </c>
      <c r="F167" s="2" t="s">
        <v>361</v>
      </c>
    </row>
    <row r="168" customFormat="false" ht="15" hidden="false" customHeight="false" outlineLevel="0" collapsed="false">
      <c r="A168" s="2" t="s">
        <v>82</v>
      </c>
      <c r="B168" s="3" t="n">
        <v>44457</v>
      </c>
      <c r="C168" s="2" t="s">
        <v>386</v>
      </c>
      <c r="D168" s="2" t="s">
        <v>356</v>
      </c>
      <c r="E168" s="2" t="s">
        <v>419</v>
      </c>
      <c r="F168" s="2" t="s">
        <v>383</v>
      </c>
    </row>
    <row r="169" customFormat="false" ht="15" hidden="false" customHeight="false" outlineLevel="0" collapsed="false">
      <c r="A169" s="2" t="s">
        <v>82</v>
      </c>
      <c r="B169" s="3" t="n">
        <v>45339</v>
      </c>
      <c r="C169" s="2" t="s">
        <v>364</v>
      </c>
      <c r="D169" s="2" t="s">
        <v>356</v>
      </c>
      <c r="E169" s="2" t="s">
        <v>419</v>
      </c>
      <c r="F169" s="2" t="s">
        <v>420</v>
      </c>
    </row>
    <row r="170" customFormat="false" ht="15" hidden="false" customHeight="false" outlineLevel="0" collapsed="false">
      <c r="A170" s="2" t="s">
        <v>82</v>
      </c>
      <c r="B170" s="3" t="n">
        <v>45962</v>
      </c>
      <c r="C170" s="2" t="s">
        <v>32</v>
      </c>
      <c r="D170" s="2" t="s">
        <v>356</v>
      </c>
      <c r="E170" s="2" t="s">
        <v>419</v>
      </c>
      <c r="F170" s="2" t="s">
        <v>353</v>
      </c>
    </row>
    <row r="171" customFormat="false" ht="15" hidden="false" customHeight="false" outlineLevel="0" collapsed="false">
      <c r="A171" s="2" t="s">
        <v>85</v>
      </c>
      <c r="B171" s="3" t="n">
        <v>39838</v>
      </c>
      <c r="C171" s="2" t="s">
        <v>312</v>
      </c>
      <c r="D171" s="2" t="s">
        <v>362</v>
      </c>
      <c r="E171" s="2" t="s">
        <v>421</v>
      </c>
      <c r="F171" s="2" t="s">
        <v>369</v>
      </c>
    </row>
    <row r="172" customFormat="false" ht="15" hidden="false" customHeight="false" outlineLevel="0" collapsed="false">
      <c r="A172" s="2" t="s">
        <v>85</v>
      </c>
      <c r="B172" s="3" t="n">
        <v>41608</v>
      </c>
      <c r="C172" s="2" t="s">
        <v>385</v>
      </c>
      <c r="D172" s="2" t="s">
        <v>356</v>
      </c>
      <c r="E172" s="2" t="s">
        <v>421</v>
      </c>
      <c r="F172" s="2" t="s">
        <v>363</v>
      </c>
    </row>
    <row r="173" customFormat="false" ht="15" hidden="false" customHeight="false" outlineLevel="0" collapsed="false">
      <c r="A173" s="2" t="s">
        <v>85</v>
      </c>
      <c r="B173" s="3" t="n">
        <v>43345</v>
      </c>
      <c r="C173" s="2" t="s">
        <v>153</v>
      </c>
      <c r="D173" s="2" t="s">
        <v>356</v>
      </c>
      <c r="E173" s="2" t="s">
        <v>421</v>
      </c>
      <c r="F173" s="2" t="s">
        <v>366</v>
      </c>
    </row>
    <row r="174" customFormat="false" ht="15" hidden="false" customHeight="false" outlineLevel="0" collapsed="false">
      <c r="A174" s="2" t="s">
        <v>88</v>
      </c>
      <c r="B174" s="3" t="n">
        <v>36897</v>
      </c>
      <c r="C174" s="2" t="s">
        <v>89</v>
      </c>
      <c r="D174" s="2" t="s">
        <v>362</v>
      </c>
      <c r="E174" s="2" t="s">
        <v>422</v>
      </c>
      <c r="F174" s="2" t="s">
        <v>383</v>
      </c>
    </row>
    <row r="175" customFormat="false" ht="15" hidden="false" customHeight="false" outlineLevel="0" collapsed="false">
      <c r="A175" s="2" t="s">
        <v>90</v>
      </c>
      <c r="B175" s="3" t="n">
        <v>38041</v>
      </c>
      <c r="C175" s="2" t="s">
        <v>91</v>
      </c>
      <c r="D175" s="2" t="s">
        <v>352</v>
      </c>
      <c r="E175" s="2" t="s">
        <v>423</v>
      </c>
      <c r="F175" s="2" t="s">
        <v>366</v>
      </c>
    </row>
    <row r="176" customFormat="false" ht="15" hidden="false" customHeight="false" outlineLevel="0" collapsed="false">
      <c r="A176" s="2" t="s">
        <v>92</v>
      </c>
      <c r="B176" s="3" t="n">
        <v>40043</v>
      </c>
      <c r="C176" s="2" t="s">
        <v>42</v>
      </c>
      <c r="D176" s="2" t="s">
        <v>352</v>
      </c>
      <c r="E176" s="2" t="s">
        <v>424</v>
      </c>
      <c r="F176" s="2" t="s">
        <v>353</v>
      </c>
    </row>
    <row r="177" customFormat="false" ht="15" hidden="false" customHeight="false" outlineLevel="0" collapsed="false">
      <c r="A177" s="2" t="s">
        <v>93</v>
      </c>
      <c r="B177" s="3" t="n">
        <v>32503</v>
      </c>
      <c r="C177" s="2" t="s">
        <v>374</v>
      </c>
      <c r="D177" s="2" t="s">
        <v>375</v>
      </c>
      <c r="E177" s="2" t="s">
        <v>425</v>
      </c>
      <c r="F177" s="2" t="s">
        <v>366</v>
      </c>
    </row>
    <row r="178" customFormat="false" ht="15" hidden="false" customHeight="false" outlineLevel="0" collapsed="false">
      <c r="A178" s="2" t="s">
        <v>93</v>
      </c>
      <c r="B178" s="3" t="n">
        <v>32931</v>
      </c>
      <c r="C178" s="2" t="s">
        <v>240</v>
      </c>
      <c r="D178" s="2" t="s">
        <v>375</v>
      </c>
      <c r="E178" s="2" t="s">
        <v>425</v>
      </c>
      <c r="F178" s="2" t="s">
        <v>369</v>
      </c>
    </row>
    <row r="179" customFormat="false" ht="15" hidden="false" customHeight="false" outlineLevel="0" collapsed="false">
      <c r="A179" s="2" t="s">
        <v>93</v>
      </c>
      <c r="B179" s="3" t="n">
        <v>36157</v>
      </c>
      <c r="C179" s="2" t="s">
        <v>381</v>
      </c>
      <c r="D179" s="2" t="s">
        <v>356</v>
      </c>
      <c r="E179" s="2" t="s">
        <v>425</v>
      </c>
      <c r="F179" s="2" t="s">
        <v>383</v>
      </c>
    </row>
    <row r="180" customFormat="false" ht="15" hidden="false" customHeight="false" outlineLevel="0" collapsed="false">
      <c r="A180" s="2" t="s">
        <v>93</v>
      </c>
      <c r="B180" s="3" t="n">
        <v>36892</v>
      </c>
      <c r="C180" s="2" t="s">
        <v>89</v>
      </c>
      <c r="D180" s="2" t="s">
        <v>356</v>
      </c>
      <c r="E180" s="2" t="s">
        <v>425</v>
      </c>
      <c r="F180" s="2" t="s">
        <v>348</v>
      </c>
    </row>
    <row r="181" customFormat="false" ht="15" hidden="false" customHeight="false" outlineLevel="0" collapsed="false">
      <c r="A181" s="2" t="s">
        <v>93</v>
      </c>
      <c r="B181" s="3" t="n">
        <v>37347</v>
      </c>
      <c r="C181" s="2" t="s">
        <v>115</v>
      </c>
      <c r="D181" s="2" t="s">
        <v>356</v>
      </c>
      <c r="E181" s="2" t="s">
        <v>425</v>
      </c>
      <c r="F181" s="2" t="s">
        <v>363</v>
      </c>
    </row>
    <row r="182" customFormat="false" ht="15" hidden="false" customHeight="false" outlineLevel="0" collapsed="false">
      <c r="A182" s="2" t="s">
        <v>93</v>
      </c>
      <c r="B182" s="3" t="n">
        <v>37513</v>
      </c>
      <c r="C182" s="2" t="s">
        <v>135</v>
      </c>
      <c r="D182" s="2" t="s">
        <v>356</v>
      </c>
      <c r="E182" s="2" t="s">
        <v>425</v>
      </c>
      <c r="F182" s="2" t="s">
        <v>363</v>
      </c>
    </row>
    <row r="183" customFormat="false" ht="15" hidden="false" customHeight="false" outlineLevel="0" collapsed="false">
      <c r="A183" s="2" t="s">
        <v>93</v>
      </c>
      <c r="B183" s="3" t="n">
        <v>37920</v>
      </c>
      <c r="C183" s="2" t="s">
        <v>91</v>
      </c>
      <c r="D183" s="2" t="s">
        <v>356</v>
      </c>
      <c r="E183" s="2" t="s">
        <v>425</v>
      </c>
      <c r="F183" s="2" t="s">
        <v>361</v>
      </c>
    </row>
    <row r="184" customFormat="false" ht="15" hidden="false" customHeight="false" outlineLevel="0" collapsed="false">
      <c r="A184" s="2" t="s">
        <v>93</v>
      </c>
      <c r="B184" s="3" t="n">
        <v>38353</v>
      </c>
      <c r="C184" s="2" t="s">
        <v>263</v>
      </c>
      <c r="D184" s="2" t="s">
        <v>356</v>
      </c>
      <c r="E184" s="2" t="s">
        <v>425</v>
      </c>
      <c r="F184" s="2" t="s">
        <v>373</v>
      </c>
    </row>
    <row r="185" customFormat="false" ht="15" hidden="false" customHeight="false" outlineLevel="0" collapsed="false">
      <c r="A185" s="2" t="s">
        <v>93</v>
      </c>
      <c r="B185" s="3" t="n">
        <v>38712</v>
      </c>
      <c r="C185" s="2" t="s">
        <v>123</v>
      </c>
      <c r="D185" s="2" t="s">
        <v>356</v>
      </c>
      <c r="E185" s="2" t="s">
        <v>425</v>
      </c>
      <c r="F185" s="2" t="s">
        <v>383</v>
      </c>
    </row>
    <row r="186" customFormat="false" ht="15" hidden="false" customHeight="false" outlineLevel="0" collapsed="false">
      <c r="A186" s="2" t="s">
        <v>93</v>
      </c>
      <c r="B186" s="3" t="n">
        <v>38990</v>
      </c>
      <c r="C186" s="2" t="s">
        <v>110</v>
      </c>
      <c r="D186" s="2" t="s">
        <v>356</v>
      </c>
      <c r="E186" s="2" t="s">
        <v>425</v>
      </c>
      <c r="F186" s="2" t="s">
        <v>360</v>
      </c>
    </row>
    <row r="187" customFormat="false" ht="15" hidden="false" customHeight="false" outlineLevel="0" collapsed="false">
      <c r="A187" s="2" t="s">
        <v>96</v>
      </c>
      <c r="B187" s="3" t="n">
        <v>32781</v>
      </c>
      <c r="C187" s="2" t="s">
        <v>240</v>
      </c>
      <c r="D187" s="2" t="s">
        <v>375</v>
      </c>
      <c r="E187" s="2" t="s">
        <v>426</v>
      </c>
      <c r="F187" s="2" t="s">
        <v>369</v>
      </c>
    </row>
    <row r="188" customFormat="false" ht="15" hidden="false" customHeight="false" outlineLevel="0" collapsed="false">
      <c r="A188" s="2" t="s">
        <v>96</v>
      </c>
      <c r="B188" s="3" t="n">
        <v>33271</v>
      </c>
      <c r="C188" s="2" t="s">
        <v>99</v>
      </c>
      <c r="D188" s="2" t="s">
        <v>375</v>
      </c>
      <c r="E188" s="2" t="s">
        <v>426</v>
      </c>
      <c r="F188" s="2" t="s">
        <v>359</v>
      </c>
    </row>
    <row r="189" customFormat="false" ht="15" hidden="false" customHeight="false" outlineLevel="0" collapsed="false">
      <c r="A189" s="2" t="s">
        <v>96</v>
      </c>
      <c r="B189" s="3" t="n">
        <v>33719</v>
      </c>
      <c r="C189" s="2" t="s">
        <v>38</v>
      </c>
      <c r="D189" s="2" t="s">
        <v>375</v>
      </c>
      <c r="E189" s="2" t="s">
        <v>426</v>
      </c>
      <c r="F189" s="2" t="s">
        <v>361</v>
      </c>
    </row>
    <row r="190" customFormat="false" ht="15" hidden="false" customHeight="false" outlineLevel="0" collapsed="false">
      <c r="A190" s="2" t="s">
        <v>96</v>
      </c>
      <c r="B190" s="3" t="n">
        <v>34029</v>
      </c>
      <c r="C190" s="2" t="s">
        <v>267</v>
      </c>
      <c r="D190" s="2" t="s">
        <v>356</v>
      </c>
      <c r="E190" s="2" t="s">
        <v>426</v>
      </c>
      <c r="F190" s="2" t="s">
        <v>348</v>
      </c>
    </row>
    <row r="191" customFormat="false" ht="15" hidden="false" customHeight="false" outlineLevel="0" collapsed="false">
      <c r="A191" s="2" t="s">
        <v>96</v>
      </c>
      <c r="B191" s="3" t="n">
        <v>34293</v>
      </c>
      <c r="C191" s="2" t="s">
        <v>218</v>
      </c>
      <c r="D191" s="2" t="s">
        <v>356</v>
      </c>
      <c r="E191" s="2" t="s">
        <v>426</v>
      </c>
      <c r="F191" s="2" t="s">
        <v>353</v>
      </c>
    </row>
    <row r="192" customFormat="false" ht="15" hidden="false" customHeight="false" outlineLevel="0" collapsed="false">
      <c r="A192" s="2" t="s">
        <v>96</v>
      </c>
      <c r="B192" s="3" t="n">
        <v>34833</v>
      </c>
      <c r="C192" s="2" t="s">
        <v>81</v>
      </c>
      <c r="D192" s="2" t="s">
        <v>356</v>
      </c>
      <c r="E192" s="2" t="s">
        <v>426</v>
      </c>
      <c r="F192" s="2" t="s">
        <v>359</v>
      </c>
    </row>
    <row r="193" customFormat="false" ht="15" hidden="false" customHeight="false" outlineLevel="0" collapsed="false">
      <c r="A193" s="2" t="s">
        <v>96</v>
      </c>
      <c r="B193" s="3" t="n">
        <v>34972</v>
      </c>
      <c r="C193" s="2" t="s">
        <v>378</v>
      </c>
      <c r="D193" s="2" t="s">
        <v>356</v>
      </c>
      <c r="E193" s="2" t="s">
        <v>426</v>
      </c>
      <c r="F193" s="2" t="s">
        <v>348</v>
      </c>
    </row>
    <row r="194" customFormat="false" ht="15" hidden="false" customHeight="false" outlineLevel="0" collapsed="false">
      <c r="A194" s="2" t="s">
        <v>96</v>
      </c>
      <c r="B194" s="3" t="n">
        <v>35525</v>
      </c>
      <c r="C194" s="2" t="s">
        <v>73</v>
      </c>
      <c r="D194" s="2" t="s">
        <v>356</v>
      </c>
      <c r="E194" s="2" t="s">
        <v>426</v>
      </c>
      <c r="F194" s="2" t="s">
        <v>363</v>
      </c>
    </row>
    <row r="195" customFormat="false" ht="15" hidden="false" customHeight="false" outlineLevel="0" collapsed="false">
      <c r="A195" s="2" t="s">
        <v>96</v>
      </c>
      <c r="B195" s="3" t="n">
        <v>35694</v>
      </c>
      <c r="C195" s="2" t="s">
        <v>232</v>
      </c>
      <c r="D195" s="2" t="s">
        <v>356</v>
      </c>
      <c r="E195" s="2" t="s">
        <v>426</v>
      </c>
      <c r="F195" s="2" t="s">
        <v>366</v>
      </c>
    </row>
    <row r="196" customFormat="false" ht="15" hidden="false" customHeight="false" outlineLevel="0" collapsed="false">
      <c r="A196" s="2" t="s">
        <v>96</v>
      </c>
      <c r="B196" s="3" t="n">
        <v>35844</v>
      </c>
      <c r="C196" s="2" t="s">
        <v>232</v>
      </c>
      <c r="D196" s="2" t="s">
        <v>379</v>
      </c>
      <c r="E196" s="2" t="s">
        <v>426</v>
      </c>
      <c r="F196" s="2" t="s">
        <v>377</v>
      </c>
    </row>
    <row r="197" customFormat="false" ht="15" hidden="false" customHeight="false" outlineLevel="0" collapsed="false">
      <c r="A197" s="2" t="s">
        <v>96</v>
      </c>
      <c r="B197" s="3" t="n">
        <v>36047</v>
      </c>
      <c r="C197" s="2" t="s">
        <v>381</v>
      </c>
      <c r="D197" s="2" t="s">
        <v>356</v>
      </c>
      <c r="E197" s="2" t="s">
        <v>426</v>
      </c>
      <c r="F197" s="2" t="s">
        <v>369</v>
      </c>
    </row>
    <row r="198" customFormat="false" ht="15" hidden="false" customHeight="false" outlineLevel="0" collapsed="false">
      <c r="A198" s="2" t="s">
        <v>96</v>
      </c>
      <c r="B198" s="3" t="n">
        <v>36456</v>
      </c>
      <c r="C198" s="2" t="s">
        <v>19</v>
      </c>
      <c r="D198" s="2" t="s">
        <v>356</v>
      </c>
      <c r="E198" s="2" t="s">
        <v>426</v>
      </c>
      <c r="F198" s="2" t="s">
        <v>366</v>
      </c>
    </row>
    <row r="199" customFormat="false" ht="15" hidden="false" customHeight="false" outlineLevel="0" collapsed="false">
      <c r="A199" s="2" t="s">
        <v>96</v>
      </c>
      <c r="B199" s="3" t="n">
        <v>36775</v>
      </c>
      <c r="C199" s="2" t="s">
        <v>89</v>
      </c>
      <c r="D199" s="2" t="s">
        <v>356</v>
      </c>
      <c r="E199" s="2" t="s">
        <v>426</v>
      </c>
      <c r="F199" s="2" t="s">
        <v>380</v>
      </c>
    </row>
    <row r="200" customFormat="false" ht="15" hidden="false" customHeight="false" outlineLevel="0" collapsed="false">
      <c r="A200" s="2" t="s">
        <v>96</v>
      </c>
      <c r="B200" s="3" t="n">
        <v>37142</v>
      </c>
      <c r="C200" s="2" t="s">
        <v>115</v>
      </c>
      <c r="D200" s="2" t="s">
        <v>356</v>
      </c>
      <c r="E200" s="2" t="s">
        <v>426</v>
      </c>
      <c r="F200" s="2" t="s">
        <v>361</v>
      </c>
    </row>
    <row r="201" customFormat="false" ht="15" hidden="false" customHeight="false" outlineLevel="0" collapsed="false">
      <c r="A201" s="2" t="s">
        <v>96</v>
      </c>
      <c r="B201" s="3" t="n">
        <v>37500</v>
      </c>
      <c r="C201" s="2" t="s">
        <v>135</v>
      </c>
      <c r="D201" s="2" t="s">
        <v>356</v>
      </c>
      <c r="E201" s="2" t="s">
        <v>426</v>
      </c>
      <c r="F201" s="2" t="s">
        <v>361</v>
      </c>
    </row>
    <row r="202" customFormat="false" ht="15" hidden="false" customHeight="false" outlineLevel="0" collapsed="false">
      <c r="A202" s="2" t="s">
        <v>96</v>
      </c>
      <c r="B202" s="3" t="n">
        <v>37705</v>
      </c>
      <c r="C202" s="2" t="s">
        <v>135</v>
      </c>
      <c r="D202" s="2" t="s">
        <v>362</v>
      </c>
      <c r="E202" s="2" t="s">
        <v>426</v>
      </c>
      <c r="F202" s="2" t="s">
        <v>373</v>
      </c>
    </row>
    <row r="203" customFormat="false" ht="15" hidden="false" customHeight="false" outlineLevel="0" collapsed="false">
      <c r="A203" s="2" t="s">
        <v>96</v>
      </c>
      <c r="B203" s="3" t="n">
        <v>38038</v>
      </c>
      <c r="C203" s="2" t="s">
        <v>91</v>
      </c>
      <c r="D203" s="2" t="s">
        <v>356</v>
      </c>
      <c r="E203" s="2" t="s">
        <v>426</v>
      </c>
      <c r="F203" s="2" t="s">
        <v>360</v>
      </c>
    </row>
    <row r="204" customFormat="false" ht="15" hidden="false" customHeight="false" outlineLevel="0" collapsed="false">
      <c r="A204" s="2" t="s">
        <v>96</v>
      </c>
      <c r="B204" s="3" t="n">
        <v>38070</v>
      </c>
      <c r="C204" s="2" t="s">
        <v>91</v>
      </c>
      <c r="D204" s="2" t="s">
        <v>352</v>
      </c>
      <c r="E204" s="2" t="s">
        <v>426</v>
      </c>
      <c r="F204" s="2" t="s">
        <v>361</v>
      </c>
    </row>
    <row r="205" customFormat="false" ht="15" hidden="false" customHeight="false" outlineLevel="0" collapsed="false">
      <c r="A205" s="2" t="s">
        <v>96</v>
      </c>
      <c r="B205" s="3" t="n">
        <v>38462</v>
      </c>
      <c r="C205" s="2" t="s">
        <v>263</v>
      </c>
      <c r="D205" s="2" t="s">
        <v>356</v>
      </c>
      <c r="E205" s="2" t="s">
        <v>426</v>
      </c>
      <c r="F205" s="2" t="s">
        <v>369</v>
      </c>
    </row>
    <row r="206" customFormat="false" ht="15" hidden="false" customHeight="false" outlineLevel="0" collapsed="false">
      <c r="A206" s="2" t="s">
        <v>96</v>
      </c>
      <c r="B206" s="3" t="n">
        <v>38585</v>
      </c>
      <c r="C206" s="2" t="s">
        <v>123</v>
      </c>
      <c r="D206" s="2" t="s">
        <v>356</v>
      </c>
      <c r="E206" s="2" t="s">
        <v>426</v>
      </c>
      <c r="F206" s="2" t="s">
        <v>348</v>
      </c>
    </row>
    <row r="207" customFormat="false" ht="15" hidden="false" customHeight="false" outlineLevel="0" collapsed="false">
      <c r="A207" s="2" t="s">
        <v>96</v>
      </c>
      <c r="B207" s="3" t="n">
        <v>39061</v>
      </c>
      <c r="C207" s="2" t="s">
        <v>110</v>
      </c>
      <c r="D207" s="2" t="s">
        <v>356</v>
      </c>
      <c r="E207" s="2" t="s">
        <v>426</v>
      </c>
      <c r="F207" s="2" t="s">
        <v>361</v>
      </c>
    </row>
    <row r="208" customFormat="false" ht="15" hidden="false" customHeight="false" outlineLevel="0" collapsed="false">
      <c r="A208" s="2" t="s">
        <v>96</v>
      </c>
      <c r="B208" s="3" t="n">
        <v>39530</v>
      </c>
      <c r="C208" s="2" t="s">
        <v>297</v>
      </c>
      <c r="D208" s="2" t="s">
        <v>356</v>
      </c>
      <c r="E208" s="2" t="s">
        <v>426</v>
      </c>
      <c r="F208" s="2" t="s">
        <v>359</v>
      </c>
    </row>
    <row r="209" customFormat="false" ht="15" hidden="false" customHeight="false" outlineLevel="0" collapsed="false">
      <c r="A209" s="2" t="s">
        <v>96</v>
      </c>
      <c r="B209" s="3" t="n">
        <v>39782</v>
      </c>
      <c r="C209" s="2" t="s">
        <v>312</v>
      </c>
      <c r="D209" s="2" t="s">
        <v>356</v>
      </c>
      <c r="E209" s="2" t="s">
        <v>426</v>
      </c>
      <c r="F209" s="2" t="s">
        <v>360</v>
      </c>
    </row>
    <row r="210" customFormat="false" ht="15" hidden="false" customHeight="false" outlineLevel="0" collapsed="false">
      <c r="A210" s="2" t="s">
        <v>96</v>
      </c>
      <c r="B210" s="3" t="n">
        <v>40216</v>
      </c>
      <c r="C210" s="2" t="s">
        <v>42</v>
      </c>
      <c r="D210" s="2" t="s">
        <v>356</v>
      </c>
      <c r="E210" s="2" t="s">
        <v>426</v>
      </c>
      <c r="F210" s="2" t="s">
        <v>351</v>
      </c>
    </row>
    <row r="211" customFormat="false" ht="15" hidden="false" customHeight="false" outlineLevel="0" collapsed="false">
      <c r="A211" s="2" t="s">
        <v>96</v>
      </c>
      <c r="B211" s="3" t="n">
        <v>40454</v>
      </c>
      <c r="C211" s="2" t="s">
        <v>187</v>
      </c>
      <c r="D211" s="2" t="s">
        <v>356</v>
      </c>
      <c r="E211" s="2" t="s">
        <v>426</v>
      </c>
      <c r="F211" s="2" t="s">
        <v>351</v>
      </c>
    </row>
    <row r="212" customFormat="false" ht="15" hidden="false" customHeight="false" outlineLevel="0" collapsed="false">
      <c r="A212" s="2" t="s">
        <v>96</v>
      </c>
      <c r="B212" s="3" t="n">
        <v>40845</v>
      </c>
      <c r="C212" s="2" t="s">
        <v>314</v>
      </c>
      <c r="D212" s="2" t="s">
        <v>356</v>
      </c>
      <c r="E212" s="2" t="s">
        <v>426</v>
      </c>
      <c r="F212" s="2" t="s">
        <v>427</v>
      </c>
    </row>
    <row r="213" customFormat="false" ht="15" hidden="false" customHeight="false" outlineLevel="0" collapsed="false">
      <c r="A213" s="2" t="s">
        <v>96</v>
      </c>
      <c r="B213" s="3" t="n">
        <v>41294</v>
      </c>
      <c r="C213" s="2" t="s">
        <v>206</v>
      </c>
      <c r="D213" s="2" t="s">
        <v>356</v>
      </c>
      <c r="E213" s="2" t="s">
        <v>426</v>
      </c>
      <c r="F213" s="2" t="s">
        <v>359</v>
      </c>
    </row>
    <row r="214" customFormat="false" ht="15" hidden="false" customHeight="false" outlineLevel="0" collapsed="false">
      <c r="A214" s="2" t="s">
        <v>96</v>
      </c>
      <c r="B214" s="3" t="n">
        <v>41720</v>
      </c>
      <c r="C214" s="2" t="s">
        <v>385</v>
      </c>
      <c r="D214" s="2" t="s">
        <v>356</v>
      </c>
      <c r="E214" s="2" t="s">
        <v>426</v>
      </c>
      <c r="F214" s="2" t="s">
        <v>428</v>
      </c>
    </row>
    <row r="215" customFormat="false" ht="15" hidden="false" customHeight="false" outlineLevel="0" collapsed="false">
      <c r="A215" s="2" t="s">
        <v>96</v>
      </c>
      <c r="B215" s="3" t="n">
        <v>41917</v>
      </c>
      <c r="C215" s="2" t="s">
        <v>23</v>
      </c>
      <c r="D215" s="2" t="s">
        <v>356</v>
      </c>
      <c r="E215" s="2" t="s">
        <v>426</v>
      </c>
      <c r="F215" s="2" t="s">
        <v>351</v>
      </c>
    </row>
    <row r="216" customFormat="false" ht="15" hidden="false" customHeight="false" outlineLevel="0" collapsed="false">
      <c r="A216" s="2" t="s">
        <v>96</v>
      </c>
      <c r="B216" s="3" t="n">
        <v>42266</v>
      </c>
      <c r="C216" s="2" t="s">
        <v>355</v>
      </c>
      <c r="D216" s="2" t="s">
        <v>356</v>
      </c>
      <c r="E216" s="2" t="s">
        <v>426</v>
      </c>
      <c r="F216" s="2" t="s">
        <v>351</v>
      </c>
    </row>
    <row r="217" customFormat="false" ht="15" hidden="false" customHeight="false" outlineLevel="0" collapsed="false">
      <c r="A217" s="2" t="s">
        <v>96</v>
      </c>
      <c r="B217" s="3" t="n">
        <v>42770</v>
      </c>
      <c r="C217" s="2" t="s">
        <v>138</v>
      </c>
      <c r="D217" s="2" t="s">
        <v>356</v>
      </c>
      <c r="E217" s="2" t="s">
        <v>426</v>
      </c>
      <c r="F217" s="2" t="s">
        <v>377</v>
      </c>
    </row>
    <row r="218" customFormat="false" ht="15" hidden="false" customHeight="false" outlineLevel="0" collapsed="false">
      <c r="A218" s="2" t="s">
        <v>96</v>
      </c>
      <c r="B218" s="3" t="n">
        <v>42995</v>
      </c>
      <c r="C218" s="2" t="s">
        <v>11</v>
      </c>
      <c r="D218" s="2" t="s">
        <v>356</v>
      </c>
      <c r="E218" s="2" t="s">
        <v>426</v>
      </c>
      <c r="F218" s="2" t="s">
        <v>369</v>
      </c>
    </row>
    <row r="219" customFormat="false" ht="15" hidden="false" customHeight="false" outlineLevel="0" collapsed="false">
      <c r="A219" s="2" t="s">
        <v>96</v>
      </c>
      <c r="B219" s="3" t="n">
        <v>43110</v>
      </c>
      <c r="C219" s="2" t="s">
        <v>11</v>
      </c>
      <c r="D219" s="2" t="s">
        <v>379</v>
      </c>
      <c r="E219" s="2" t="s">
        <v>426</v>
      </c>
      <c r="F219" s="2" t="s">
        <v>369</v>
      </c>
    </row>
    <row r="220" customFormat="false" ht="15" hidden="false" customHeight="false" outlineLevel="0" collapsed="false">
      <c r="A220" s="2" t="s">
        <v>96</v>
      </c>
      <c r="B220" s="3" t="n">
        <v>43330</v>
      </c>
      <c r="C220" s="2" t="s">
        <v>153</v>
      </c>
      <c r="D220" s="2" t="s">
        <v>356</v>
      </c>
      <c r="E220" s="2" t="s">
        <v>426</v>
      </c>
      <c r="F220" s="2" t="s">
        <v>382</v>
      </c>
    </row>
    <row r="221" customFormat="false" ht="15" hidden="false" customHeight="false" outlineLevel="0" collapsed="false">
      <c r="A221" s="2" t="s">
        <v>96</v>
      </c>
      <c r="B221" s="3" t="n">
        <v>43851</v>
      </c>
      <c r="C221" s="2" t="s">
        <v>130</v>
      </c>
      <c r="D221" s="2" t="s">
        <v>356</v>
      </c>
      <c r="E221" s="2" t="s">
        <v>426</v>
      </c>
      <c r="F221" s="2" t="s">
        <v>380</v>
      </c>
    </row>
    <row r="222" customFormat="false" ht="15" hidden="false" customHeight="false" outlineLevel="0" collapsed="false">
      <c r="A222" s="2" t="s">
        <v>96</v>
      </c>
      <c r="B222" s="3" t="n">
        <v>44328</v>
      </c>
      <c r="C222" s="2" t="s">
        <v>125</v>
      </c>
      <c r="D222" s="2" t="s">
        <v>356</v>
      </c>
      <c r="E222" s="2" t="s">
        <v>426</v>
      </c>
      <c r="F222" s="2" t="s">
        <v>383</v>
      </c>
    </row>
    <row r="223" customFormat="false" ht="15" hidden="false" customHeight="false" outlineLevel="0" collapsed="false">
      <c r="A223" s="2" t="s">
        <v>96</v>
      </c>
      <c r="B223" s="3" t="n">
        <v>44671</v>
      </c>
      <c r="C223" s="2" t="s">
        <v>386</v>
      </c>
      <c r="D223" s="2" t="s">
        <v>356</v>
      </c>
      <c r="E223" s="2" t="s">
        <v>426</v>
      </c>
      <c r="F223" s="2" t="s">
        <v>384</v>
      </c>
    </row>
    <row r="224" customFormat="false" ht="15" hidden="false" customHeight="false" outlineLevel="0" collapsed="false">
      <c r="A224" s="2" t="s">
        <v>96</v>
      </c>
      <c r="B224" s="3" t="n">
        <v>44871</v>
      </c>
      <c r="C224" s="2" t="s">
        <v>147</v>
      </c>
      <c r="D224" s="2" t="s">
        <v>356</v>
      </c>
      <c r="E224" s="2" t="s">
        <v>426</v>
      </c>
      <c r="F224" s="2" t="s">
        <v>383</v>
      </c>
    </row>
    <row r="225" customFormat="false" ht="15" hidden="false" customHeight="false" outlineLevel="0" collapsed="false">
      <c r="A225" s="2" t="s">
        <v>96</v>
      </c>
      <c r="B225" s="3" t="n">
        <v>45220</v>
      </c>
      <c r="C225" s="2" t="s">
        <v>364</v>
      </c>
      <c r="D225" s="2" t="s">
        <v>356</v>
      </c>
      <c r="E225" s="2" t="s">
        <v>426</v>
      </c>
      <c r="F225" s="2" t="s">
        <v>380</v>
      </c>
    </row>
    <row r="226" customFormat="false" ht="15" hidden="false" customHeight="false" outlineLevel="0" collapsed="false">
      <c r="A226" s="2" t="s">
        <v>96</v>
      </c>
      <c r="B226" s="3" t="n">
        <v>45606</v>
      </c>
      <c r="C226" s="2" t="s">
        <v>30</v>
      </c>
      <c r="D226" s="2" t="s">
        <v>356</v>
      </c>
      <c r="E226" s="2" t="s">
        <v>426</v>
      </c>
      <c r="F226" s="2" t="s">
        <v>361</v>
      </c>
    </row>
    <row r="227" customFormat="false" ht="15" hidden="false" customHeight="false" outlineLevel="0" collapsed="false">
      <c r="A227" s="2" t="s">
        <v>96</v>
      </c>
      <c r="B227" s="3" t="n">
        <v>45991</v>
      </c>
      <c r="C227" s="2" t="s">
        <v>32</v>
      </c>
      <c r="D227" s="2" t="s">
        <v>356</v>
      </c>
      <c r="E227" s="2" t="s">
        <v>426</v>
      </c>
      <c r="F227" s="2" t="s">
        <v>361</v>
      </c>
    </row>
    <row r="228" customFormat="false" ht="15" hidden="false" customHeight="false" outlineLevel="0" collapsed="false">
      <c r="A228" s="2" t="s">
        <v>96</v>
      </c>
      <c r="B228" s="3" t="n">
        <v>46036</v>
      </c>
      <c r="C228" s="2" t="s">
        <v>32</v>
      </c>
      <c r="D228" s="2" t="s">
        <v>379</v>
      </c>
      <c r="E228" s="2" t="s">
        <v>426</v>
      </c>
      <c r="F228" s="2" t="s">
        <v>366</v>
      </c>
    </row>
    <row r="229" customFormat="false" ht="15" hidden="false" customHeight="false" outlineLevel="0" collapsed="false">
      <c r="A229" s="2" t="s">
        <v>98</v>
      </c>
      <c r="B229" s="3" t="n">
        <v>33141</v>
      </c>
      <c r="C229" s="2" t="s">
        <v>99</v>
      </c>
      <c r="D229" s="2" t="s">
        <v>379</v>
      </c>
      <c r="E229" s="2" t="s">
        <v>429</v>
      </c>
      <c r="F229" s="2" t="s">
        <v>383</v>
      </c>
    </row>
    <row r="230" customFormat="false" ht="15" hidden="false" customHeight="false" outlineLevel="0" collapsed="false">
      <c r="A230" s="2" t="s">
        <v>101</v>
      </c>
      <c r="B230" s="3" t="n">
        <v>46001</v>
      </c>
      <c r="C230" s="2" t="s">
        <v>32</v>
      </c>
      <c r="D230" s="2" t="s">
        <v>352</v>
      </c>
      <c r="E230" s="2" t="s">
        <v>430</v>
      </c>
      <c r="F230" s="2" t="s">
        <v>363</v>
      </c>
    </row>
    <row r="231" customFormat="false" ht="15" hidden="false" customHeight="false" outlineLevel="0" collapsed="false">
      <c r="A231" s="2" t="s">
        <v>102</v>
      </c>
      <c r="B231" s="3" t="n">
        <v>32560</v>
      </c>
      <c r="C231" s="2" t="s">
        <v>374</v>
      </c>
      <c r="D231" s="2" t="s">
        <v>375</v>
      </c>
      <c r="E231" s="2" t="s">
        <v>431</v>
      </c>
      <c r="F231" s="2" t="s">
        <v>348</v>
      </c>
    </row>
    <row r="232" customFormat="false" ht="15" hidden="false" customHeight="false" outlineLevel="0" collapsed="false">
      <c r="A232" s="2" t="s">
        <v>102</v>
      </c>
      <c r="B232" s="3" t="n">
        <v>32851</v>
      </c>
      <c r="C232" s="2" t="s">
        <v>240</v>
      </c>
      <c r="D232" s="2" t="s">
        <v>375</v>
      </c>
      <c r="E232" s="2" t="s">
        <v>431</v>
      </c>
      <c r="F232" s="2" t="s">
        <v>383</v>
      </c>
    </row>
    <row r="233" customFormat="false" ht="15" hidden="false" customHeight="false" outlineLevel="0" collapsed="false">
      <c r="A233" s="2" t="s">
        <v>102</v>
      </c>
      <c r="B233" s="3" t="n">
        <v>33180</v>
      </c>
      <c r="C233" s="2" t="s">
        <v>99</v>
      </c>
      <c r="D233" s="2" t="s">
        <v>375</v>
      </c>
      <c r="E233" s="2" t="s">
        <v>431</v>
      </c>
      <c r="F233" s="2" t="s">
        <v>353</v>
      </c>
    </row>
    <row r="234" customFormat="false" ht="15" hidden="false" customHeight="false" outlineLevel="0" collapsed="false">
      <c r="A234" s="2" t="s">
        <v>102</v>
      </c>
      <c r="B234" s="3" t="n">
        <v>33541</v>
      </c>
      <c r="C234" s="2" t="s">
        <v>38</v>
      </c>
      <c r="D234" s="2" t="s">
        <v>379</v>
      </c>
      <c r="E234" s="2" t="s">
        <v>431</v>
      </c>
      <c r="F234" s="2" t="s">
        <v>348</v>
      </c>
    </row>
    <row r="235" customFormat="false" ht="15" hidden="false" customHeight="false" outlineLevel="0" collapsed="false">
      <c r="A235" s="2" t="s">
        <v>102</v>
      </c>
      <c r="B235" s="3" t="n">
        <v>33698</v>
      </c>
      <c r="C235" s="2" t="s">
        <v>38</v>
      </c>
      <c r="D235" s="2" t="s">
        <v>375</v>
      </c>
      <c r="E235" s="2" t="s">
        <v>431</v>
      </c>
      <c r="F235" s="2" t="s">
        <v>383</v>
      </c>
    </row>
    <row r="236" customFormat="false" ht="15" hidden="false" customHeight="false" outlineLevel="0" collapsed="false">
      <c r="A236" s="2" t="s">
        <v>102</v>
      </c>
      <c r="B236" s="3" t="n">
        <v>34041</v>
      </c>
      <c r="C236" s="2" t="s">
        <v>267</v>
      </c>
      <c r="D236" s="2" t="s">
        <v>356</v>
      </c>
      <c r="E236" s="2" t="s">
        <v>431</v>
      </c>
      <c r="F236" s="2" t="s">
        <v>353</v>
      </c>
    </row>
    <row r="237" customFormat="false" ht="15" hidden="false" customHeight="false" outlineLevel="0" collapsed="false">
      <c r="A237" s="2" t="s">
        <v>102</v>
      </c>
      <c r="B237" s="3" t="n">
        <v>34307</v>
      </c>
      <c r="C237" s="2" t="s">
        <v>218</v>
      </c>
      <c r="D237" s="2" t="s">
        <v>356</v>
      </c>
      <c r="E237" s="2" t="s">
        <v>431</v>
      </c>
      <c r="F237" s="2" t="s">
        <v>348</v>
      </c>
    </row>
    <row r="238" customFormat="false" ht="15" hidden="false" customHeight="false" outlineLevel="0" collapsed="false">
      <c r="A238" s="2" t="s">
        <v>102</v>
      </c>
      <c r="B238" s="3" t="n">
        <v>34720</v>
      </c>
      <c r="C238" s="2" t="s">
        <v>81</v>
      </c>
      <c r="D238" s="2" t="s">
        <v>356</v>
      </c>
      <c r="E238" s="2" t="s">
        <v>431</v>
      </c>
      <c r="F238" s="2" t="s">
        <v>383</v>
      </c>
    </row>
    <row r="239" customFormat="false" ht="15" hidden="false" customHeight="false" outlineLevel="0" collapsed="false">
      <c r="A239" s="2" t="s">
        <v>102</v>
      </c>
      <c r="B239" s="3" t="n">
        <v>34937</v>
      </c>
      <c r="C239" s="2" t="s">
        <v>378</v>
      </c>
      <c r="D239" s="2" t="s">
        <v>356</v>
      </c>
      <c r="E239" s="2" t="s">
        <v>431</v>
      </c>
      <c r="F239" s="2" t="s">
        <v>369</v>
      </c>
    </row>
    <row r="240" customFormat="false" ht="15" hidden="false" customHeight="false" outlineLevel="0" collapsed="false">
      <c r="A240" s="2" t="s">
        <v>102</v>
      </c>
      <c r="B240" s="3" t="n">
        <v>35541</v>
      </c>
      <c r="C240" s="2" t="s">
        <v>73</v>
      </c>
      <c r="D240" s="2" t="s">
        <v>356</v>
      </c>
      <c r="E240" s="2" t="s">
        <v>431</v>
      </c>
      <c r="F240" s="2" t="s">
        <v>361</v>
      </c>
    </row>
    <row r="241" customFormat="false" ht="15" hidden="false" customHeight="false" outlineLevel="0" collapsed="false">
      <c r="A241" s="2" t="s">
        <v>102</v>
      </c>
      <c r="B241" s="3" t="n">
        <v>35812</v>
      </c>
      <c r="C241" s="2" t="s">
        <v>232</v>
      </c>
      <c r="D241" s="2" t="s">
        <v>356</v>
      </c>
      <c r="E241" s="2" t="s">
        <v>431</v>
      </c>
      <c r="F241" s="2" t="s">
        <v>380</v>
      </c>
    </row>
    <row r="242" customFormat="false" ht="15" hidden="false" customHeight="false" outlineLevel="0" collapsed="false">
      <c r="A242" s="2" t="s">
        <v>102</v>
      </c>
      <c r="B242" s="3" t="n">
        <v>36099</v>
      </c>
      <c r="C242" s="2" t="s">
        <v>381</v>
      </c>
      <c r="D242" s="2" t="s">
        <v>356</v>
      </c>
      <c r="E242" s="2" t="s">
        <v>431</v>
      </c>
      <c r="F242" s="2" t="s">
        <v>383</v>
      </c>
    </row>
    <row r="243" customFormat="false" ht="15" hidden="false" customHeight="false" outlineLevel="0" collapsed="false">
      <c r="A243" s="2" t="s">
        <v>102</v>
      </c>
      <c r="B243" s="3" t="n">
        <v>36520</v>
      </c>
      <c r="C243" s="2" t="s">
        <v>19</v>
      </c>
      <c r="D243" s="2" t="s">
        <v>356</v>
      </c>
      <c r="E243" s="2" t="s">
        <v>431</v>
      </c>
      <c r="F243" s="2" t="s">
        <v>382</v>
      </c>
    </row>
    <row r="244" customFormat="false" ht="15" hidden="false" customHeight="false" outlineLevel="0" collapsed="false">
      <c r="A244" s="2" t="s">
        <v>102</v>
      </c>
      <c r="B244" s="3" t="n">
        <v>36925</v>
      </c>
      <c r="C244" s="2" t="s">
        <v>89</v>
      </c>
      <c r="D244" s="2" t="s">
        <v>356</v>
      </c>
      <c r="E244" s="2" t="s">
        <v>431</v>
      </c>
      <c r="F244" s="2" t="s">
        <v>383</v>
      </c>
    </row>
    <row r="245" customFormat="false" ht="15" hidden="false" customHeight="false" outlineLevel="0" collapsed="false">
      <c r="A245" s="2" t="s">
        <v>104</v>
      </c>
      <c r="B245" s="3" t="n">
        <v>43027</v>
      </c>
      <c r="C245" s="2" t="s">
        <v>11</v>
      </c>
      <c r="D245" s="2" t="s">
        <v>346</v>
      </c>
      <c r="E245" s="2" t="s">
        <v>432</v>
      </c>
      <c r="F245" s="2" t="s">
        <v>383</v>
      </c>
    </row>
    <row r="246" customFormat="false" ht="15" hidden="false" customHeight="false" outlineLevel="0" collapsed="false">
      <c r="A246" s="2" t="s">
        <v>105</v>
      </c>
      <c r="B246" s="3" t="n">
        <v>32977</v>
      </c>
      <c r="C246" s="2" t="s">
        <v>240</v>
      </c>
      <c r="D246" s="2" t="s">
        <v>375</v>
      </c>
      <c r="E246" s="2" t="s">
        <v>433</v>
      </c>
      <c r="F246" s="2" t="s">
        <v>361</v>
      </c>
    </row>
    <row r="247" customFormat="false" ht="15" hidden="false" customHeight="false" outlineLevel="0" collapsed="false">
      <c r="A247" s="2" t="s">
        <v>105</v>
      </c>
      <c r="B247" s="3" t="n">
        <v>33187</v>
      </c>
      <c r="C247" s="2" t="s">
        <v>99</v>
      </c>
      <c r="D247" s="2" t="s">
        <v>375</v>
      </c>
      <c r="E247" s="2" t="s">
        <v>433</v>
      </c>
      <c r="F247" s="2" t="s">
        <v>369</v>
      </c>
    </row>
    <row r="248" customFormat="false" ht="15" hidden="false" customHeight="false" outlineLevel="0" collapsed="false">
      <c r="A248" s="2" t="s">
        <v>105</v>
      </c>
      <c r="B248" s="3" t="n">
        <v>33495</v>
      </c>
      <c r="C248" s="2" t="s">
        <v>38</v>
      </c>
      <c r="D248" s="2" t="s">
        <v>375</v>
      </c>
      <c r="E248" s="2" t="s">
        <v>433</v>
      </c>
      <c r="F248" s="2" t="s">
        <v>407</v>
      </c>
    </row>
    <row r="249" customFormat="false" ht="15" hidden="false" customHeight="false" outlineLevel="0" collapsed="false">
      <c r="A249" s="2" t="s">
        <v>105</v>
      </c>
      <c r="B249" s="3" t="n">
        <v>33910</v>
      </c>
      <c r="C249" s="2" t="s">
        <v>267</v>
      </c>
      <c r="D249" s="2" t="s">
        <v>356</v>
      </c>
      <c r="E249" s="2" t="s">
        <v>433</v>
      </c>
      <c r="F249" s="2" t="s">
        <v>360</v>
      </c>
    </row>
    <row r="250" customFormat="false" ht="15" hidden="false" customHeight="false" outlineLevel="0" collapsed="false">
      <c r="A250" s="2" t="s">
        <v>105</v>
      </c>
      <c r="B250" s="3" t="n">
        <v>34007</v>
      </c>
      <c r="C250" s="2" t="s">
        <v>267</v>
      </c>
      <c r="D250" s="2" t="s">
        <v>379</v>
      </c>
      <c r="E250" s="2" t="s">
        <v>433</v>
      </c>
      <c r="F250" s="2" t="s">
        <v>373</v>
      </c>
    </row>
    <row r="251" customFormat="false" ht="15" hidden="false" customHeight="false" outlineLevel="0" collapsed="false">
      <c r="A251" s="2" t="s">
        <v>105</v>
      </c>
      <c r="B251" s="3" t="n">
        <v>34755</v>
      </c>
      <c r="C251" s="2" t="s">
        <v>81</v>
      </c>
      <c r="D251" s="2" t="s">
        <v>356</v>
      </c>
      <c r="E251" s="2" t="s">
        <v>433</v>
      </c>
      <c r="F251" s="2" t="s">
        <v>363</v>
      </c>
    </row>
    <row r="252" customFormat="false" ht="15" hidden="false" customHeight="false" outlineLevel="0" collapsed="false">
      <c r="A252" s="2" t="s">
        <v>105</v>
      </c>
      <c r="B252" s="3" t="n">
        <v>35721</v>
      </c>
      <c r="C252" s="2" t="s">
        <v>232</v>
      </c>
      <c r="D252" s="2" t="s">
        <v>356</v>
      </c>
      <c r="E252" s="2" t="s">
        <v>433</v>
      </c>
      <c r="F252" s="2" t="s">
        <v>369</v>
      </c>
    </row>
    <row r="253" customFormat="false" ht="15" hidden="false" customHeight="false" outlineLevel="0" collapsed="false">
      <c r="A253" s="2" t="s">
        <v>105</v>
      </c>
      <c r="B253" s="3" t="n">
        <v>35851</v>
      </c>
      <c r="C253" s="2" t="s">
        <v>232</v>
      </c>
      <c r="D253" s="2" t="s">
        <v>362</v>
      </c>
      <c r="E253" s="2" t="s">
        <v>433</v>
      </c>
      <c r="F253" s="2" t="s">
        <v>360</v>
      </c>
    </row>
    <row r="254" customFormat="false" ht="15" hidden="false" customHeight="false" outlineLevel="0" collapsed="false">
      <c r="A254" s="2" t="s">
        <v>105</v>
      </c>
      <c r="B254" s="3" t="n">
        <v>38297</v>
      </c>
      <c r="C254" s="2" t="s">
        <v>263</v>
      </c>
      <c r="D254" s="2" t="s">
        <v>356</v>
      </c>
      <c r="E254" s="2" t="s">
        <v>433</v>
      </c>
      <c r="F254" s="2" t="s">
        <v>361</v>
      </c>
    </row>
    <row r="255" customFormat="false" ht="15" hidden="false" customHeight="false" outlineLevel="0" collapsed="false">
      <c r="A255" s="2" t="s">
        <v>105</v>
      </c>
      <c r="B255" s="3" t="n">
        <v>41573</v>
      </c>
      <c r="C255" s="2" t="s">
        <v>385</v>
      </c>
      <c r="D255" s="2" t="s">
        <v>356</v>
      </c>
      <c r="E255" s="2" t="s">
        <v>433</v>
      </c>
      <c r="F255" s="2" t="s">
        <v>353</v>
      </c>
    </row>
    <row r="256" customFormat="false" ht="15" hidden="false" customHeight="false" outlineLevel="0" collapsed="false">
      <c r="A256" s="2" t="s">
        <v>105</v>
      </c>
      <c r="B256" s="3" t="n">
        <v>42056</v>
      </c>
      <c r="C256" s="2" t="s">
        <v>23</v>
      </c>
      <c r="D256" s="2" t="s">
        <v>356</v>
      </c>
      <c r="E256" s="2" t="s">
        <v>433</v>
      </c>
      <c r="F256" s="2" t="s">
        <v>360</v>
      </c>
    </row>
    <row r="257" customFormat="false" ht="15" hidden="false" customHeight="false" outlineLevel="0" collapsed="false">
      <c r="A257" s="2" t="s">
        <v>105</v>
      </c>
      <c r="B257" s="3" t="n">
        <v>42232</v>
      </c>
      <c r="C257" s="2" t="s">
        <v>355</v>
      </c>
      <c r="D257" s="2" t="s">
        <v>356</v>
      </c>
      <c r="E257" s="2" t="s">
        <v>433</v>
      </c>
      <c r="F257" s="2" t="s">
        <v>360</v>
      </c>
    </row>
    <row r="258" customFormat="false" ht="15" hidden="false" customHeight="false" outlineLevel="0" collapsed="false">
      <c r="A258" s="2" t="s">
        <v>105</v>
      </c>
      <c r="B258" s="3" t="n">
        <v>42835</v>
      </c>
      <c r="C258" s="2" t="s">
        <v>138</v>
      </c>
      <c r="D258" s="2" t="s">
        <v>356</v>
      </c>
      <c r="E258" s="2" t="s">
        <v>433</v>
      </c>
      <c r="F258" s="2" t="s">
        <v>434</v>
      </c>
    </row>
    <row r="259" customFormat="false" ht="15" hidden="false" customHeight="false" outlineLevel="0" collapsed="false">
      <c r="A259" s="2" t="s">
        <v>105</v>
      </c>
      <c r="B259" s="3" t="n">
        <v>43097</v>
      </c>
      <c r="C259" s="2" t="s">
        <v>11</v>
      </c>
      <c r="D259" s="2" t="s">
        <v>356</v>
      </c>
      <c r="E259" s="2" t="s">
        <v>433</v>
      </c>
      <c r="F259" s="2" t="s">
        <v>366</v>
      </c>
    </row>
    <row r="260" customFormat="false" ht="15" hidden="false" customHeight="false" outlineLevel="0" collapsed="false">
      <c r="A260" s="2" t="s">
        <v>105</v>
      </c>
      <c r="B260" s="3" t="n">
        <v>43401</v>
      </c>
      <c r="C260" s="2" t="s">
        <v>153</v>
      </c>
      <c r="D260" s="2" t="s">
        <v>356</v>
      </c>
      <c r="E260" s="2" t="s">
        <v>433</v>
      </c>
      <c r="F260" s="2" t="s">
        <v>380</v>
      </c>
    </row>
    <row r="261" customFormat="false" ht="15" hidden="false" customHeight="false" outlineLevel="0" collapsed="false">
      <c r="A261" s="2" t="s">
        <v>105</v>
      </c>
      <c r="B261" s="3" t="n">
        <v>43841</v>
      </c>
      <c r="C261" s="2" t="s">
        <v>130</v>
      </c>
      <c r="D261" s="2" t="s">
        <v>356</v>
      </c>
      <c r="E261" s="2" t="s">
        <v>433</v>
      </c>
      <c r="F261" s="2" t="s">
        <v>361</v>
      </c>
    </row>
    <row r="262" customFormat="false" ht="15" hidden="false" customHeight="false" outlineLevel="0" collapsed="false">
      <c r="A262" s="2" t="s">
        <v>105</v>
      </c>
      <c r="B262" s="3" t="n">
        <v>44335</v>
      </c>
      <c r="C262" s="2" t="s">
        <v>125</v>
      </c>
      <c r="D262" s="2" t="s">
        <v>356</v>
      </c>
      <c r="E262" s="2" t="s">
        <v>433</v>
      </c>
      <c r="F262" s="2" t="s">
        <v>373</v>
      </c>
    </row>
    <row r="263" customFormat="false" ht="15" hidden="false" customHeight="false" outlineLevel="0" collapsed="false">
      <c r="A263" s="2" t="s">
        <v>105</v>
      </c>
      <c r="B263" s="3" t="n">
        <v>44655</v>
      </c>
      <c r="C263" s="2" t="s">
        <v>386</v>
      </c>
      <c r="D263" s="2" t="s">
        <v>356</v>
      </c>
      <c r="E263" s="2" t="s">
        <v>433</v>
      </c>
      <c r="F263" s="2" t="s">
        <v>434</v>
      </c>
    </row>
    <row r="264" customFormat="false" ht="15" hidden="false" customHeight="false" outlineLevel="0" collapsed="false">
      <c r="A264" s="2" t="s">
        <v>105</v>
      </c>
      <c r="B264" s="3" t="n">
        <v>44778</v>
      </c>
      <c r="C264" s="2" t="s">
        <v>147</v>
      </c>
      <c r="D264" s="2" t="s">
        <v>356</v>
      </c>
      <c r="E264" s="2" t="s">
        <v>433</v>
      </c>
      <c r="F264" s="2" t="s">
        <v>353</v>
      </c>
    </row>
    <row r="265" customFormat="false" ht="15" hidden="false" customHeight="false" outlineLevel="0" collapsed="false">
      <c r="A265" s="2" t="s">
        <v>105</v>
      </c>
      <c r="B265" s="3" t="n">
        <v>45159</v>
      </c>
      <c r="C265" s="2" t="s">
        <v>364</v>
      </c>
      <c r="D265" s="2" t="s">
        <v>356</v>
      </c>
      <c r="E265" s="2" t="s">
        <v>433</v>
      </c>
      <c r="F265" s="2" t="s">
        <v>383</v>
      </c>
    </row>
    <row r="266" customFormat="false" ht="15" hidden="false" customHeight="false" outlineLevel="0" collapsed="false">
      <c r="A266" s="2" t="s">
        <v>105</v>
      </c>
      <c r="B266" s="3" t="n">
        <v>45647</v>
      </c>
      <c r="C266" s="2" t="s">
        <v>30</v>
      </c>
      <c r="D266" s="2" t="s">
        <v>356</v>
      </c>
      <c r="E266" s="2" t="s">
        <v>433</v>
      </c>
      <c r="F266" s="2" t="s">
        <v>435</v>
      </c>
    </row>
    <row r="267" customFormat="false" ht="15" hidden="false" customHeight="false" outlineLevel="0" collapsed="false">
      <c r="A267" s="2" t="s">
        <v>105</v>
      </c>
      <c r="B267" s="3" t="n">
        <v>46166</v>
      </c>
      <c r="C267" s="2" t="s">
        <v>32</v>
      </c>
      <c r="D267" s="2" t="s">
        <v>356</v>
      </c>
      <c r="E267" s="2" t="s">
        <v>433</v>
      </c>
      <c r="F267" s="2" t="s">
        <v>360</v>
      </c>
    </row>
    <row r="268" customFormat="false" ht="15" hidden="false" customHeight="false" outlineLevel="0" collapsed="false">
      <c r="A268" s="2" t="s">
        <v>107</v>
      </c>
      <c r="B268" s="3" t="n">
        <v>43202</v>
      </c>
      <c r="C268" s="2" t="s">
        <v>11</v>
      </c>
      <c r="D268" s="2" t="s">
        <v>346</v>
      </c>
      <c r="E268" s="2" t="s">
        <v>436</v>
      </c>
      <c r="F268" s="2" t="s">
        <v>380</v>
      </c>
    </row>
    <row r="269" customFormat="false" ht="15" hidden="false" customHeight="false" outlineLevel="0" collapsed="false">
      <c r="A269" s="2" t="s">
        <v>109</v>
      </c>
      <c r="B269" s="3" t="n">
        <v>39007</v>
      </c>
      <c r="C269" s="2" t="s">
        <v>110</v>
      </c>
      <c r="D269" s="2" t="s">
        <v>352</v>
      </c>
      <c r="E269" s="2" t="s">
        <v>437</v>
      </c>
      <c r="F269" s="2" t="s">
        <v>348</v>
      </c>
    </row>
    <row r="270" customFormat="false" ht="15" hidden="false" customHeight="false" outlineLevel="0" collapsed="false">
      <c r="A270" s="2" t="s">
        <v>112</v>
      </c>
      <c r="B270" s="3" t="n">
        <v>36594</v>
      </c>
      <c r="C270" s="2" t="s">
        <v>19</v>
      </c>
      <c r="D270" s="2" t="s">
        <v>412</v>
      </c>
      <c r="E270" s="2" t="s">
        <v>438</v>
      </c>
      <c r="F270" s="2" t="s">
        <v>359</v>
      </c>
    </row>
    <row r="271" customFormat="false" ht="15" hidden="false" customHeight="false" outlineLevel="0" collapsed="false">
      <c r="A271" s="2" t="s">
        <v>114</v>
      </c>
      <c r="B271" s="3" t="n">
        <v>37216</v>
      </c>
      <c r="C271" s="2" t="s">
        <v>115</v>
      </c>
      <c r="D271" s="2" t="s">
        <v>352</v>
      </c>
      <c r="E271" s="2" t="s">
        <v>439</v>
      </c>
      <c r="F271" s="2" t="s">
        <v>351</v>
      </c>
    </row>
    <row r="272" customFormat="false" ht="15" hidden="false" customHeight="false" outlineLevel="0" collapsed="false">
      <c r="A272" s="2" t="s">
        <v>117</v>
      </c>
      <c r="B272" s="3" t="n">
        <v>32473</v>
      </c>
      <c r="C272" s="2" t="s">
        <v>374</v>
      </c>
      <c r="D272" s="2" t="s">
        <v>375</v>
      </c>
      <c r="E272" s="2" t="s">
        <v>440</v>
      </c>
      <c r="F272" s="2" t="s">
        <v>359</v>
      </c>
    </row>
    <row r="273" customFormat="false" ht="15" hidden="false" customHeight="false" outlineLevel="0" collapsed="false">
      <c r="A273" s="2" t="s">
        <v>117</v>
      </c>
      <c r="B273" s="3" t="n">
        <v>32956</v>
      </c>
      <c r="C273" s="2" t="s">
        <v>240</v>
      </c>
      <c r="D273" s="2" t="s">
        <v>375</v>
      </c>
      <c r="E273" s="2" t="s">
        <v>440</v>
      </c>
      <c r="F273" s="2" t="s">
        <v>373</v>
      </c>
    </row>
    <row r="274" customFormat="false" ht="15" hidden="false" customHeight="false" outlineLevel="0" collapsed="false">
      <c r="A274" s="2" t="s">
        <v>117</v>
      </c>
      <c r="B274" s="3" t="n">
        <v>33327</v>
      </c>
      <c r="C274" s="2" t="s">
        <v>99</v>
      </c>
      <c r="D274" s="2" t="s">
        <v>375</v>
      </c>
      <c r="E274" s="2" t="s">
        <v>440</v>
      </c>
      <c r="F274" s="2" t="s">
        <v>353</v>
      </c>
    </row>
    <row r="275" customFormat="false" ht="15" hidden="false" customHeight="false" outlineLevel="0" collapsed="false">
      <c r="A275" s="2" t="s">
        <v>117</v>
      </c>
      <c r="B275" s="3" t="n">
        <v>33905</v>
      </c>
      <c r="C275" s="2" t="s">
        <v>267</v>
      </c>
      <c r="D275" s="2" t="s">
        <v>379</v>
      </c>
      <c r="E275" s="2" t="s">
        <v>440</v>
      </c>
      <c r="F275" s="2" t="s">
        <v>361</v>
      </c>
    </row>
    <row r="276" customFormat="false" ht="15" hidden="false" customHeight="false" outlineLevel="0" collapsed="false">
      <c r="A276" s="2" t="s">
        <v>117</v>
      </c>
      <c r="B276" s="3" t="n">
        <v>35561</v>
      </c>
      <c r="C276" s="2" t="s">
        <v>73</v>
      </c>
      <c r="D276" s="2" t="s">
        <v>356</v>
      </c>
      <c r="E276" s="2" t="s">
        <v>440</v>
      </c>
      <c r="F276" s="2" t="s">
        <v>373</v>
      </c>
    </row>
    <row r="277" customFormat="false" ht="15" hidden="false" customHeight="false" outlineLevel="0" collapsed="false">
      <c r="A277" s="2" t="s">
        <v>117</v>
      </c>
      <c r="B277" s="3" t="n">
        <v>35735</v>
      </c>
      <c r="C277" s="2" t="s">
        <v>232</v>
      </c>
      <c r="D277" s="2" t="s">
        <v>356</v>
      </c>
      <c r="E277" s="2" t="s">
        <v>440</v>
      </c>
      <c r="F277" s="2" t="s">
        <v>434</v>
      </c>
    </row>
    <row r="278" customFormat="false" ht="15" hidden="false" customHeight="false" outlineLevel="0" collapsed="false">
      <c r="A278" s="2" t="s">
        <v>117</v>
      </c>
      <c r="B278" s="3" t="n">
        <v>36096</v>
      </c>
      <c r="C278" s="2" t="s">
        <v>381</v>
      </c>
      <c r="D278" s="2" t="s">
        <v>379</v>
      </c>
      <c r="E278" s="2" t="s">
        <v>440</v>
      </c>
      <c r="F278" s="2" t="s">
        <v>360</v>
      </c>
    </row>
    <row r="279" customFormat="false" ht="15" hidden="false" customHeight="false" outlineLevel="0" collapsed="false">
      <c r="A279" s="2" t="s">
        <v>117</v>
      </c>
      <c r="B279" s="3" t="n">
        <v>36134</v>
      </c>
      <c r="C279" s="2" t="s">
        <v>381</v>
      </c>
      <c r="D279" s="2" t="s">
        <v>356</v>
      </c>
      <c r="E279" s="2" t="s">
        <v>440</v>
      </c>
      <c r="F279" s="2" t="s">
        <v>369</v>
      </c>
    </row>
    <row r="280" customFormat="false" ht="15" hidden="false" customHeight="false" outlineLevel="0" collapsed="false">
      <c r="A280" s="2" t="s">
        <v>117</v>
      </c>
      <c r="B280" s="3" t="n">
        <v>36382</v>
      </c>
      <c r="C280" s="2" t="s">
        <v>19</v>
      </c>
      <c r="D280" s="2" t="s">
        <v>356</v>
      </c>
      <c r="E280" s="2" t="s">
        <v>440</v>
      </c>
      <c r="F280" s="2" t="s">
        <v>360</v>
      </c>
    </row>
    <row r="281" customFormat="false" ht="15" hidden="false" customHeight="false" outlineLevel="0" collapsed="false">
      <c r="A281" s="2" t="s">
        <v>117</v>
      </c>
      <c r="B281" s="3" t="n">
        <v>37009</v>
      </c>
      <c r="C281" s="2" t="s">
        <v>89</v>
      </c>
      <c r="D281" s="2" t="s">
        <v>356</v>
      </c>
      <c r="E281" s="2" t="s">
        <v>440</v>
      </c>
      <c r="F281" s="2" t="s">
        <v>360</v>
      </c>
    </row>
    <row r="282" customFormat="false" ht="15" hidden="false" customHeight="false" outlineLevel="0" collapsed="false">
      <c r="A282" s="2" t="s">
        <v>117</v>
      </c>
      <c r="B282" s="3" t="n">
        <v>37163</v>
      </c>
      <c r="C282" s="2" t="s">
        <v>115</v>
      </c>
      <c r="D282" s="2" t="s">
        <v>356</v>
      </c>
      <c r="E282" s="2" t="s">
        <v>440</v>
      </c>
      <c r="F282" s="2" t="s">
        <v>353</v>
      </c>
    </row>
    <row r="283" customFormat="false" ht="15" hidden="false" customHeight="false" outlineLevel="0" collapsed="false">
      <c r="A283" s="2" t="s">
        <v>117</v>
      </c>
      <c r="B283" s="3" t="n">
        <v>39566</v>
      </c>
      <c r="C283" s="2" t="s">
        <v>297</v>
      </c>
      <c r="D283" s="2" t="s">
        <v>356</v>
      </c>
      <c r="E283" s="2" t="s">
        <v>440</v>
      </c>
      <c r="F283" s="2" t="s">
        <v>441</v>
      </c>
    </row>
    <row r="284" customFormat="false" ht="15" hidden="false" customHeight="false" outlineLevel="0" collapsed="false">
      <c r="A284" s="2" t="s">
        <v>120</v>
      </c>
      <c r="B284" s="3" t="n">
        <v>38937</v>
      </c>
      <c r="C284" s="2" t="s">
        <v>110</v>
      </c>
      <c r="D284" s="2" t="s">
        <v>352</v>
      </c>
      <c r="E284" s="2" t="s">
        <v>442</v>
      </c>
      <c r="F284" s="2" t="s">
        <v>363</v>
      </c>
    </row>
    <row r="285" customFormat="false" ht="15" hidden="false" customHeight="false" outlineLevel="0" collapsed="false">
      <c r="A285" s="2" t="s">
        <v>120</v>
      </c>
      <c r="B285" s="3" t="n">
        <v>42263</v>
      </c>
      <c r="C285" s="2" t="s">
        <v>355</v>
      </c>
      <c r="D285" s="2" t="s">
        <v>352</v>
      </c>
      <c r="E285" s="2" t="s">
        <v>442</v>
      </c>
      <c r="F285" s="2" t="s">
        <v>359</v>
      </c>
    </row>
    <row r="286" customFormat="false" ht="15" hidden="false" customHeight="false" outlineLevel="0" collapsed="false">
      <c r="A286" s="2" t="s">
        <v>122</v>
      </c>
      <c r="B286" s="3" t="n">
        <v>38707</v>
      </c>
      <c r="C286" s="2" t="s">
        <v>123</v>
      </c>
      <c r="D286" s="2" t="s">
        <v>379</v>
      </c>
      <c r="E286" s="2" t="s">
        <v>443</v>
      </c>
      <c r="F286" s="2" t="s">
        <v>444</v>
      </c>
    </row>
    <row r="287" customFormat="false" ht="15" hidden="false" customHeight="false" outlineLevel="0" collapsed="false">
      <c r="A287" s="2" t="s">
        <v>124</v>
      </c>
      <c r="B287" s="3" t="n">
        <v>44175</v>
      </c>
      <c r="C287" s="2" t="s">
        <v>125</v>
      </c>
      <c r="D287" s="2" t="s">
        <v>346</v>
      </c>
      <c r="E287" s="2" t="s">
        <v>445</v>
      </c>
      <c r="F287" s="2" t="s">
        <v>384</v>
      </c>
    </row>
    <row r="288" customFormat="false" ht="15" hidden="false" customHeight="false" outlineLevel="0" collapsed="false">
      <c r="A288" s="2" t="s">
        <v>127</v>
      </c>
      <c r="B288" s="3" t="n">
        <v>36103</v>
      </c>
      <c r="C288" s="2" t="s">
        <v>381</v>
      </c>
      <c r="D288" s="2" t="s">
        <v>352</v>
      </c>
      <c r="E288" s="2" t="s">
        <v>446</v>
      </c>
      <c r="F288" s="2" t="s">
        <v>377</v>
      </c>
    </row>
    <row r="289" customFormat="false" ht="15" hidden="false" customHeight="false" outlineLevel="0" collapsed="false">
      <c r="A289" s="2" t="s">
        <v>127</v>
      </c>
      <c r="B289" s="3" t="n">
        <v>37915</v>
      </c>
      <c r="C289" s="2" t="s">
        <v>91</v>
      </c>
      <c r="D289" s="2" t="s">
        <v>352</v>
      </c>
      <c r="E289" s="2" t="s">
        <v>446</v>
      </c>
      <c r="F289" s="2" t="s">
        <v>359</v>
      </c>
    </row>
    <row r="290" customFormat="false" ht="15" hidden="false" customHeight="false" outlineLevel="0" collapsed="false">
      <c r="A290" s="2" t="s">
        <v>127</v>
      </c>
      <c r="B290" s="3" t="n">
        <v>39708</v>
      </c>
      <c r="C290" s="2" t="s">
        <v>312</v>
      </c>
      <c r="D290" s="2" t="s">
        <v>352</v>
      </c>
      <c r="E290" s="2" t="s">
        <v>446</v>
      </c>
      <c r="F290" s="2" t="s">
        <v>361</v>
      </c>
    </row>
    <row r="291" customFormat="false" ht="15" hidden="false" customHeight="false" outlineLevel="0" collapsed="false">
      <c r="A291" s="2" t="s">
        <v>129</v>
      </c>
      <c r="B291" s="3" t="n">
        <v>43727</v>
      </c>
      <c r="C291" s="2" t="s">
        <v>130</v>
      </c>
      <c r="D291" s="2" t="s">
        <v>346</v>
      </c>
      <c r="E291" s="2" t="s">
        <v>447</v>
      </c>
      <c r="F291" s="2" t="s">
        <v>363</v>
      </c>
    </row>
    <row r="292" customFormat="false" ht="15" hidden="false" customHeight="false" outlineLevel="0" collapsed="false">
      <c r="A292" s="2" t="s">
        <v>131</v>
      </c>
      <c r="B292" s="3" t="n">
        <v>32522</v>
      </c>
      <c r="C292" s="2" t="s">
        <v>374</v>
      </c>
      <c r="D292" s="2" t="s">
        <v>375</v>
      </c>
      <c r="E292" s="2" t="s">
        <v>448</v>
      </c>
      <c r="F292" s="2" t="s">
        <v>373</v>
      </c>
    </row>
    <row r="293" customFormat="false" ht="15" hidden="false" customHeight="false" outlineLevel="0" collapsed="false">
      <c r="A293" s="2" t="s">
        <v>131</v>
      </c>
      <c r="B293" s="3" t="n">
        <v>32802</v>
      </c>
      <c r="C293" s="2" t="s">
        <v>240</v>
      </c>
      <c r="D293" s="2" t="s">
        <v>375</v>
      </c>
      <c r="E293" s="2" t="s">
        <v>448</v>
      </c>
      <c r="F293" s="2" t="s">
        <v>434</v>
      </c>
    </row>
    <row r="294" customFormat="false" ht="15" hidden="false" customHeight="false" outlineLevel="0" collapsed="false">
      <c r="A294" s="2" t="s">
        <v>131</v>
      </c>
      <c r="B294" s="3" t="n">
        <v>33124</v>
      </c>
      <c r="C294" s="2" t="s">
        <v>99</v>
      </c>
      <c r="D294" s="2" t="s">
        <v>375</v>
      </c>
      <c r="E294" s="2" t="s">
        <v>448</v>
      </c>
      <c r="F294" s="2" t="s">
        <v>361</v>
      </c>
    </row>
    <row r="295" customFormat="false" ht="15" hidden="false" customHeight="false" outlineLevel="0" collapsed="false">
      <c r="A295" s="2" t="s">
        <v>131</v>
      </c>
      <c r="B295" s="3" t="n">
        <v>33470</v>
      </c>
      <c r="C295" s="2" t="s">
        <v>38</v>
      </c>
      <c r="D295" s="2" t="s">
        <v>375</v>
      </c>
      <c r="E295" s="2" t="s">
        <v>448</v>
      </c>
      <c r="F295" s="2" t="s">
        <v>377</v>
      </c>
    </row>
    <row r="296" customFormat="false" ht="15" hidden="false" customHeight="false" outlineLevel="0" collapsed="false">
      <c r="A296" s="2" t="s">
        <v>131</v>
      </c>
      <c r="B296" s="3" t="n">
        <v>34090</v>
      </c>
      <c r="C296" s="2" t="s">
        <v>267</v>
      </c>
      <c r="D296" s="2" t="s">
        <v>356</v>
      </c>
      <c r="E296" s="2" t="s">
        <v>448</v>
      </c>
      <c r="F296" s="2" t="s">
        <v>369</v>
      </c>
    </row>
    <row r="297" customFormat="false" ht="15" hidden="false" customHeight="false" outlineLevel="0" collapsed="false">
      <c r="A297" s="2" t="s">
        <v>131</v>
      </c>
      <c r="B297" s="3" t="n">
        <v>34384</v>
      </c>
      <c r="C297" s="2" t="s">
        <v>218</v>
      </c>
      <c r="D297" s="2" t="s">
        <v>356</v>
      </c>
      <c r="E297" s="2" t="s">
        <v>448</v>
      </c>
      <c r="F297" s="2" t="s">
        <v>361</v>
      </c>
    </row>
    <row r="298" customFormat="false" ht="15" hidden="false" customHeight="false" outlineLevel="0" collapsed="false">
      <c r="A298" s="2" t="s">
        <v>131</v>
      </c>
      <c r="B298" s="3" t="n">
        <v>34636</v>
      </c>
      <c r="C298" s="2" t="s">
        <v>81</v>
      </c>
      <c r="D298" s="2" t="s">
        <v>356</v>
      </c>
      <c r="E298" s="2" t="s">
        <v>448</v>
      </c>
      <c r="F298" s="2" t="s">
        <v>361</v>
      </c>
    </row>
    <row r="299" customFormat="false" ht="15" hidden="false" customHeight="false" outlineLevel="0" collapsed="false">
      <c r="A299" s="2" t="s">
        <v>131</v>
      </c>
      <c r="B299" s="3" t="n">
        <v>34934</v>
      </c>
      <c r="C299" s="2" t="s">
        <v>378</v>
      </c>
      <c r="D299" s="2" t="s">
        <v>356</v>
      </c>
      <c r="E299" s="2" t="s">
        <v>448</v>
      </c>
      <c r="F299" s="2" t="s">
        <v>353</v>
      </c>
    </row>
    <row r="300" customFormat="false" ht="15" hidden="false" customHeight="false" outlineLevel="0" collapsed="false">
      <c r="A300" s="2" t="s">
        <v>131</v>
      </c>
      <c r="B300" s="3" t="n">
        <v>35490</v>
      </c>
      <c r="C300" s="2" t="s">
        <v>73</v>
      </c>
      <c r="D300" s="2" t="s">
        <v>356</v>
      </c>
      <c r="E300" s="2" t="s">
        <v>448</v>
      </c>
      <c r="F300" s="2" t="s">
        <v>353</v>
      </c>
    </row>
    <row r="301" customFormat="false" ht="15" hidden="false" customHeight="false" outlineLevel="0" collapsed="false">
      <c r="A301" s="2" t="s">
        <v>131</v>
      </c>
      <c r="B301" s="3" t="n">
        <v>35700</v>
      </c>
      <c r="C301" s="2" t="s">
        <v>232</v>
      </c>
      <c r="D301" s="2" t="s">
        <v>356</v>
      </c>
      <c r="E301" s="2" t="s">
        <v>448</v>
      </c>
      <c r="F301" s="2" t="s">
        <v>380</v>
      </c>
    </row>
    <row r="302" customFormat="false" ht="15" hidden="false" customHeight="false" outlineLevel="0" collapsed="false">
      <c r="A302" s="2" t="s">
        <v>131</v>
      </c>
      <c r="B302" s="3" t="n">
        <v>36232</v>
      </c>
      <c r="C302" s="2" t="s">
        <v>381</v>
      </c>
      <c r="D302" s="2" t="s">
        <v>356</v>
      </c>
      <c r="E302" s="2" t="s">
        <v>448</v>
      </c>
      <c r="F302" s="2" t="s">
        <v>353</v>
      </c>
    </row>
    <row r="303" customFormat="false" ht="15" hidden="false" customHeight="false" outlineLevel="0" collapsed="false">
      <c r="A303" s="2" t="s">
        <v>131</v>
      </c>
      <c r="B303" s="3" t="n">
        <v>36645</v>
      </c>
      <c r="C303" s="2" t="s">
        <v>19</v>
      </c>
      <c r="D303" s="2" t="s">
        <v>356</v>
      </c>
      <c r="E303" s="2" t="s">
        <v>448</v>
      </c>
      <c r="F303" s="2" t="s">
        <v>383</v>
      </c>
    </row>
    <row r="304" customFormat="false" ht="15" hidden="false" customHeight="false" outlineLevel="0" collapsed="false">
      <c r="A304" s="2" t="s">
        <v>131</v>
      </c>
      <c r="B304" s="3" t="n">
        <v>36848</v>
      </c>
      <c r="C304" s="2" t="s">
        <v>89</v>
      </c>
      <c r="D304" s="2" t="s">
        <v>356</v>
      </c>
      <c r="E304" s="2" t="s">
        <v>448</v>
      </c>
      <c r="F304" s="2" t="s">
        <v>351</v>
      </c>
    </row>
    <row r="305" customFormat="false" ht="15" hidden="false" customHeight="false" outlineLevel="0" collapsed="false">
      <c r="A305" s="2" t="s">
        <v>131</v>
      </c>
      <c r="B305" s="3" t="n">
        <v>37297</v>
      </c>
      <c r="C305" s="2" t="s">
        <v>115</v>
      </c>
      <c r="D305" s="2" t="s">
        <v>356</v>
      </c>
      <c r="E305" s="2" t="s">
        <v>448</v>
      </c>
      <c r="F305" s="2" t="s">
        <v>383</v>
      </c>
    </row>
    <row r="306" customFormat="false" ht="15" hidden="false" customHeight="false" outlineLevel="0" collapsed="false">
      <c r="A306" s="2" t="s">
        <v>131</v>
      </c>
      <c r="B306" s="3" t="n">
        <v>37548</v>
      </c>
      <c r="C306" s="2" t="s">
        <v>135</v>
      </c>
      <c r="D306" s="2" t="s">
        <v>356</v>
      </c>
      <c r="E306" s="2" t="s">
        <v>448</v>
      </c>
      <c r="F306" s="2" t="s">
        <v>359</v>
      </c>
    </row>
    <row r="307" customFormat="false" ht="15" hidden="false" customHeight="false" outlineLevel="0" collapsed="false">
      <c r="A307" s="2" t="s">
        <v>131</v>
      </c>
      <c r="B307" s="3" t="n">
        <v>37993</v>
      </c>
      <c r="C307" s="2" t="s">
        <v>91</v>
      </c>
      <c r="D307" s="2" t="s">
        <v>356</v>
      </c>
      <c r="E307" s="2" t="s">
        <v>448</v>
      </c>
      <c r="F307" s="2" t="s">
        <v>361</v>
      </c>
    </row>
    <row r="308" customFormat="false" ht="15" hidden="false" customHeight="false" outlineLevel="0" collapsed="false">
      <c r="A308" s="2" t="s">
        <v>131</v>
      </c>
      <c r="B308" s="3" t="n">
        <v>38214</v>
      </c>
      <c r="C308" s="2" t="s">
        <v>263</v>
      </c>
      <c r="D308" s="2" t="s">
        <v>356</v>
      </c>
      <c r="E308" s="2" t="s">
        <v>448</v>
      </c>
      <c r="F308" s="2" t="s">
        <v>407</v>
      </c>
    </row>
    <row r="309" customFormat="false" ht="15" hidden="false" customHeight="false" outlineLevel="0" collapsed="false">
      <c r="A309" s="2" t="s">
        <v>131</v>
      </c>
      <c r="B309" s="3" t="n">
        <v>38738</v>
      </c>
      <c r="C309" s="2" t="s">
        <v>123</v>
      </c>
      <c r="D309" s="2" t="s">
        <v>356</v>
      </c>
      <c r="E309" s="2" t="s">
        <v>448</v>
      </c>
      <c r="F309" s="2" t="s">
        <v>348</v>
      </c>
    </row>
    <row r="310" customFormat="false" ht="15" hidden="false" customHeight="false" outlineLevel="0" collapsed="false">
      <c r="A310" s="2" t="s">
        <v>131</v>
      </c>
      <c r="B310" s="3" t="n">
        <v>39029</v>
      </c>
      <c r="C310" s="2" t="s">
        <v>110</v>
      </c>
      <c r="D310" s="2" t="s">
        <v>379</v>
      </c>
      <c r="E310" s="2" t="s">
        <v>448</v>
      </c>
      <c r="F310" s="2" t="s">
        <v>383</v>
      </c>
    </row>
    <row r="311" customFormat="false" ht="15" hidden="false" customHeight="false" outlineLevel="0" collapsed="false">
      <c r="A311" s="2" t="s">
        <v>131</v>
      </c>
      <c r="B311" s="3" t="n">
        <v>39159</v>
      </c>
      <c r="C311" s="2" t="s">
        <v>110</v>
      </c>
      <c r="D311" s="2" t="s">
        <v>356</v>
      </c>
      <c r="E311" s="2" t="s">
        <v>448</v>
      </c>
      <c r="F311" s="2" t="s">
        <v>348</v>
      </c>
    </row>
    <row r="312" customFormat="false" ht="15" hidden="false" customHeight="false" outlineLevel="0" collapsed="false">
      <c r="A312" s="2" t="s">
        <v>131</v>
      </c>
      <c r="B312" s="3" t="n">
        <v>39445</v>
      </c>
      <c r="C312" s="2" t="s">
        <v>297</v>
      </c>
      <c r="D312" s="2" t="s">
        <v>356</v>
      </c>
      <c r="E312" s="2" t="s">
        <v>448</v>
      </c>
      <c r="F312" s="2" t="s">
        <v>407</v>
      </c>
    </row>
    <row r="313" customFormat="false" ht="15" hidden="false" customHeight="false" outlineLevel="0" collapsed="false">
      <c r="A313" s="2" t="s">
        <v>131</v>
      </c>
      <c r="B313" s="3" t="n">
        <v>39841</v>
      </c>
      <c r="C313" s="2" t="s">
        <v>312</v>
      </c>
      <c r="D313" s="2" t="s">
        <v>356</v>
      </c>
      <c r="E313" s="2" t="s">
        <v>448</v>
      </c>
      <c r="F313" s="2" t="s">
        <v>361</v>
      </c>
    </row>
    <row r="314" customFormat="false" ht="15" hidden="false" customHeight="false" outlineLevel="0" collapsed="false">
      <c r="A314" s="2" t="s">
        <v>131</v>
      </c>
      <c r="B314" s="3" t="n">
        <v>40040</v>
      </c>
      <c r="C314" s="2" t="s">
        <v>42</v>
      </c>
      <c r="D314" s="2" t="s">
        <v>356</v>
      </c>
      <c r="E314" s="2" t="s">
        <v>448</v>
      </c>
      <c r="F314" s="2" t="s">
        <v>449</v>
      </c>
    </row>
    <row r="315" customFormat="false" ht="15" hidden="false" customHeight="false" outlineLevel="0" collapsed="false">
      <c r="A315" s="2" t="s">
        <v>131</v>
      </c>
      <c r="B315" s="3" t="n">
        <v>40496</v>
      </c>
      <c r="C315" s="2" t="s">
        <v>187</v>
      </c>
      <c r="D315" s="2" t="s">
        <v>356</v>
      </c>
      <c r="E315" s="2" t="s">
        <v>448</v>
      </c>
      <c r="F315" s="2" t="s">
        <v>360</v>
      </c>
    </row>
    <row r="316" customFormat="false" ht="15" hidden="false" customHeight="false" outlineLevel="0" collapsed="false">
      <c r="A316" s="2" t="s">
        <v>131</v>
      </c>
      <c r="B316" s="3" t="n">
        <v>40989</v>
      </c>
      <c r="C316" s="2" t="s">
        <v>314</v>
      </c>
      <c r="D316" s="2" t="s">
        <v>356</v>
      </c>
      <c r="E316" s="2" t="s">
        <v>448</v>
      </c>
      <c r="F316" s="2" t="s">
        <v>383</v>
      </c>
    </row>
    <row r="317" customFormat="false" ht="15" hidden="false" customHeight="false" outlineLevel="0" collapsed="false">
      <c r="A317" s="2" t="s">
        <v>131</v>
      </c>
      <c r="B317" s="3" t="n">
        <v>41241</v>
      </c>
      <c r="C317" s="2" t="s">
        <v>206</v>
      </c>
      <c r="D317" s="2" t="s">
        <v>356</v>
      </c>
      <c r="E317" s="2" t="s">
        <v>448</v>
      </c>
      <c r="F317" s="2" t="s">
        <v>361</v>
      </c>
    </row>
    <row r="318" customFormat="false" ht="15" hidden="false" customHeight="false" outlineLevel="0" collapsed="false">
      <c r="A318" s="2" t="s">
        <v>131</v>
      </c>
      <c r="B318" s="3" t="n">
        <v>41735</v>
      </c>
      <c r="C318" s="2" t="s">
        <v>385</v>
      </c>
      <c r="D318" s="2" t="s">
        <v>356</v>
      </c>
      <c r="E318" s="2" t="s">
        <v>448</v>
      </c>
      <c r="F318" s="2" t="s">
        <v>434</v>
      </c>
    </row>
    <row r="319" customFormat="false" ht="15" hidden="false" customHeight="false" outlineLevel="0" collapsed="false">
      <c r="A319" s="2" t="s">
        <v>131</v>
      </c>
      <c r="B319" s="3" t="n">
        <v>41874</v>
      </c>
      <c r="C319" s="2" t="s">
        <v>23</v>
      </c>
      <c r="D319" s="2" t="s">
        <v>356</v>
      </c>
      <c r="E319" s="2" t="s">
        <v>448</v>
      </c>
      <c r="F319" s="2" t="s">
        <v>380</v>
      </c>
    </row>
    <row r="320" customFormat="false" ht="15" hidden="false" customHeight="false" outlineLevel="0" collapsed="false">
      <c r="A320" s="2" t="s">
        <v>131</v>
      </c>
      <c r="B320" s="3" t="n">
        <v>42448</v>
      </c>
      <c r="C320" s="2" t="s">
        <v>355</v>
      </c>
      <c r="D320" s="2" t="s">
        <v>356</v>
      </c>
      <c r="E320" s="2" t="s">
        <v>448</v>
      </c>
      <c r="F320" s="2" t="s">
        <v>353</v>
      </c>
    </row>
    <row r="321" customFormat="false" ht="15" hidden="false" customHeight="false" outlineLevel="0" collapsed="false">
      <c r="A321" s="2" t="s">
        <v>131</v>
      </c>
      <c r="B321" s="3" t="n">
        <v>42717</v>
      </c>
      <c r="C321" s="2" t="s">
        <v>138</v>
      </c>
      <c r="D321" s="2" t="s">
        <v>356</v>
      </c>
      <c r="E321" s="2" t="s">
        <v>448</v>
      </c>
      <c r="F321" s="2" t="s">
        <v>359</v>
      </c>
    </row>
    <row r="322" customFormat="false" ht="15" hidden="false" customHeight="false" outlineLevel="0" collapsed="false">
      <c r="A322" s="2" t="s">
        <v>131</v>
      </c>
      <c r="B322" s="3" t="n">
        <v>43030</v>
      </c>
      <c r="C322" s="2" t="s">
        <v>11</v>
      </c>
      <c r="D322" s="2" t="s">
        <v>356</v>
      </c>
      <c r="E322" s="2" t="s">
        <v>448</v>
      </c>
      <c r="F322" s="2" t="s">
        <v>450</v>
      </c>
    </row>
    <row r="323" customFormat="false" ht="15" hidden="false" customHeight="false" outlineLevel="0" collapsed="false">
      <c r="A323" s="2" t="s">
        <v>131</v>
      </c>
      <c r="B323" s="3" t="n">
        <v>43562</v>
      </c>
      <c r="C323" s="2" t="s">
        <v>153</v>
      </c>
      <c r="D323" s="2" t="s">
        <v>356</v>
      </c>
      <c r="E323" s="2" t="s">
        <v>448</v>
      </c>
      <c r="F323" s="2" t="s">
        <v>348</v>
      </c>
    </row>
    <row r="324" customFormat="false" ht="15" hidden="false" customHeight="false" outlineLevel="0" collapsed="false">
      <c r="A324" s="2" t="s">
        <v>131</v>
      </c>
      <c r="B324" s="3" t="n">
        <v>43820</v>
      </c>
      <c r="C324" s="2" t="s">
        <v>130</v>
      </c>
      <c r="D324" s="2" t="s">
        <v>356</v>
      </c>
      <c r="E324" s="2" t="s">
        <v>448</v>
      </c>
      <c r="F324" s="2" t="s">
        <v>369</v>
      </c>
    </row>
    <row r="325" customFormat="false" ht="15" hidden="false" customHeight="false" outlineLevel="0" collapsed="false">
      <c r="A325" s="2" t="s">
        <v>131</v>
      </c>
      <c r="B325" s="3" t="n">
        <v>44184</v>
      </c>
      <c r="C325" s="2" t="s">
        <v>125</v>
      </c>
      <c r="D325" s="2" t="s">
        <v>356</v>
      </c>
      <c r="E325" s="2" t="s">
        <v>448</v>
      </c>
      <c r="F325" s="2" t="s">
        <v>359</v>
      </c>
    </row>
    <row r="326" customFormat="false" ht="15" hidden="false" customHeight="false" outlineLevel="0" collapsed="false">
      <c r="A326" s="2" t="s">
        <v>131</v>
      </c>
      <c r="B326" s="3" t="n">
        <v>44536</v>
      </c>
      <c r="C326" s="2" t="s">
        <v>386</v>
      </c>
      <c r="D326" s="2" t="s">
        <v>356</v>
      </c>
      <c r="E326" s="2" t="s">
        <v>448</v>
      </c>
      <c r="F326" s="2" t="s">
        <v>359</v>
      </c>
    </row>
    <row r="327" customFormat="false" ht="15" hidden="false" customHeight="false" outlineLevel="0" collapsed="false">
      <c r="A327" s="2" t="s">
        <v>131</v>
      </c>
      <c r="B327" s="3" t="n">
        <v>44961</v>
      </c>
      <c r="C327" s="2" t="s">
        <v>147</v>
      </c>
      <c r="D327" s="2" t="s">
        <v>356</v>
      </c>
      <c r="E327" s="2" t="s">
        <v>448</v>
      </c>
      <c r="F327" s="2" t="s">
        <v>348</v>
      </c>
    </row>
    <row r="328" customFormat="false" ht="15" hidden="false" customHeight="false" outlineLevel="0" collapsed="false">
      <c r="A328" s="2" t="s">
        <v>131</v>
      </c>
      <c r="B328" s="3" t="n">
        <v>45186</v>
      </c>
      <c r="C328" s="2" t="s">
        <v>364</v>
      </c>
      <c r="D328" s="2" t="s">
        <v>356</v>
      </c>
      <c r="E328" s="2" t="s">
        <v>448</v>
      </c>
      <c r="F328" s="2" t="s">
        <v>383</v>
      </c>
    </row>
    <row r="329" customFormat="false" ht="15" hidden="false" customHeight="false" outlineLevel="0" collapsed="false">
      <c r="A329" s="2" t="s">
        <v>131</v>
      </c>
      <c r="B329" s="3" t="n">
        <v>45752</v>
      </c>
      <c r="C329" s="2" t="s">
        <v>30</v>
      </c>
      <c r="D329" s="2" t="s">
        <v>356</v>
      </c>
      <c r="E329" s="2" t="s">
        <v>448</v>
      </c>
      <c r="F329" s="2" t="s">
        <v>361</v>
      </c>
    </row>
    <row r="330" customFormat="false" ht="15" hidden="false" customHeight="false" outlineLevel="0" collapsed="false">
      <c r="A330" s="2" t="s">
        <v>131</v>
      </c>
      <c r="B330" s="3" t="n">
        <v>46011</v>
      </c>
      <c r="C330" s="2" t="s">
        <v>32</v>
      </c>
      <c r="D330" s="2" t="s">
        <v>356</v>
      </c>
      <c r="E330" s="2" t="s">
        <v>448</v>
      </c>
      <c r="F330" s="2" t="s">
        <v>383</v>
      </c>
    </row>
    <row r="331" customFormat="false" ht="15" hidden="false" customHeight="false" outlineLevel="0" collapsed="false">
      <c r="A331" s="2" t="s">
        <v>134</v>
      </c>
      <c r="B331" s="3" t="n">
        <v>37646</v>
      </c>
      <c r="C331" s="2" t="s">
        <v>135</v>
      </c>
      <c r="D331" s="2" t="s">
        <v>362</v>
      </c>
      <c r="E331" s="2" t="s">
        <v>451</v>
      </c>
      <c r="F331" s="2" t="s">
        <v>435</v>
      </c>
    </row>
    <row r="332" customFormat="false" ht="15" hidden="false" customHeight="false" outlineLevel="0" collapsed="false">
      <c r="A332" s="2" t="s">
        <v>137</v>
      </c>
      <c r="B332" s="3" t="n">
        <v>42710</v>
      </c>
      <c r="C332" s="2" t="s">
        <v>138</v>
      </c>
      <c r="D332" s="2" t="s">
        <v>352</v>
      </c>
      <c r="E332" s="2" t="s">
        <v>452</v>
      </c>
      <c r="F332" s="2" t="s">
        <v>407</v>
      </c>
    </row>
    <row r="333" customFormat="false" ht="15" hidden="false" customHeight="false" outlineLevel="0" collapsed="false">
      <c r="A333" s="2" t="s">
        <v>139</v>
      </c>
      <c r="B333" s="3" t="n">
        <v>43006</v>
      </c>
      <c r="C333" s="2" t="s">
        <v>11</v>
      </c>
      <c r="D333" s="2" t="s">
        <v>346</v>
      </c>
      <c r="E333" s="2" t="s">
        <v>453</v>
      </c>
      <c r="F333" s="2" t="s">
        <v>384</v>
      </c>
    </row>
    <row r="334" customFormat="false" ht="15" hidden="false" customHeight="false" outlineLevel="0" collapsed="false">
      <c r="A334" s="2" t="s">
        <v>139</v>
      </c>
      <c r="B334" s="3" t="n">
        <v>43510</v>
      </c>
      <c r="C334" s="2" t="s">
        <v>153</v>
      </c>
      <c r="D334" s="2" t="s">
        <v>346</v>
      </c>
      <c r="E334" s="2" t="s">
        <v>453</v>
      </c>
      <c r="F334" s="2" t="s">
        <v>348</v>
      </c>
    </row>
    <row r="335" customFormat="false" ht="15" hidden="false" customHeight="false" outlineLevel="0" collapsed="false">
      <c r="A335" s="2" t="s">
        <v>142</v>
      </c>
      <c r="B335" s="3" t="n">
        <v>39057</v>
      </c>
      <c r="C335" s="2" t="s">
        <v>110</v>
      </c>
      <c r="D335" s="2" t="s">
        <v>352</v>
      </c>
      <c r="E335" s="2" t="s">
        <v>454</v>
      </c>
      <c r="F335" s="2" t="s">
        <v>369</v>
      </c>
    </row>
    <row r="336" customFormat="false" ht="15" hidden="false" customHeight="false" outlineLevel="0" collapsed="false">
      <c r="A336" s="2" t="s">
        <v>142</v>
      </c>
      <c r="B336" s="3" t="n">
        <v>39792</v>
      </c>
      <c r="C336" s="2" t="s">
        <v>312</v>
      </c>
      <c r="D336" s="2" t="s">
        <v>352</v>
      </c>
      <c r="E336" s="2" t="s">
        <v>454</v>
      </c>
      <c r="F336" s="2" t="s">
        <v>351</v>
      </c>
    </row>
    <row r="337" customFormat="false" ht="15" hidden="false" customHeight="false" outlineLevel="0" collapsed="false">
      <c r="A337" s="2" t="s">
        <v>142</v>
      </c>
      <c r="B337" s="3" t="n">
        <v>40226</v>
      </c>
      <c r="C337" s="2" t="s">
        <v>42</v>
      </c>
      <c r="D337" s="2" t="s">
        <v>352</v>
      </c>
      <c r="E337" s="2" t="s">
        <v>454</v>
      </c>
      <c r="F337" s="2" t="s">
        <v>359</v>
      </c>
    </row>
    <row r="338" customFormat="false" ht="15" hidden="false" customHeight="false" outlineLevel="0" collapsed="false">
      <c r="A338" s="2" t="s">
        <v>142</v>
      </c>
      <c r="B338" s="3" t="n">
        <v>45343</v>
      </c>
      <c r="C338" s="2" t="s">
        <v>364</v>
      </c>
      <c r="D338" s="2" t="s">
        <v>352</v>
      </c>
      <c r="E338" s="2" t="s">
        <v>454</v>
      </c>
      <c r="F338" s="2" t="s">
        <v>348</v>
      </c>
    </row>
    <row r="339" customFormat="false" ht="15" hidden="false" customHeight="false" outlineLevel="0" collapsed="false">
      <c r="A339" s="2" t="s">
        <v>144</v>
      </c>
      <c r="B339" s="3" t="n">
        <v>38678</v>
      </c>
      <c r="C339" s="2" t="s">
        <v>123</v>
      </c>
      <c r="D339" s="2" t="s">
        <v>352</v>
      </c>
      <c r="E339" s="2" t="s">
        <v>455</v>
      </c>
      <c r="F339" s="2" t="s">
        <v>383</v>
      </c>
    </row>
    <row r="340" customFormat="false" ht="15" hidden="false" customHeight="false" outlineLevel="0" collapsed="false">
      <c r="A340" s="2" t="s">
        <v>146</v>
      </c>
      <c r="B340" s="3" t="n">
        <v>44812</v>
      </c>
      <c r="C340" s="2" t="s">
        <v>147</v>
      </c>
      <c r="D340" s="2" t="s">
        <v>346</v>
      </c>
      <c r="E340" s="2" t="s">
        <v>456</v>
      </c>
      <c r="F340" s="2" t="s">
        <v>360</v>
      </c>
    </row>
    <row r="341" customFormat="false" ht="15" hidden="false" customHeight="false" outlineLevel="0" collapsed="false">
      <c r="A341" s="2" t="s">
        <v>148</v>
      </c>
      <c r="B341" s="3" t="n">
        <v>39742</v>
      </c>
      <c r="C341" s="2" t="s">
        <v>312</v>
      </c>
      <c r="D341" s="2" t="s">
        <v>352</v>
      </c>
      <c r="E341" s="2" t="s">
        <v>457</v>
      </c>
      <c r="F341" s="2" t="s">
        <v>450</v>
      </c>
    </row>
    <row r="342" customFormat="false" ht="15" hidden="false" customHeight="false" outlineLevel="0" collapsed="false">
      <c r="A342" s="2" t="s">
        <v>148</v>
      </c>
      <c r="B342" s="3" t="n">
        <v>41507</v>
      </c>
      <c r="C342" s="2" t="s">
        <v>385</v>
      </c>
      <c r="D342" s="2" t="s">
        <v>352</v>
      </c>
      <c r="E342" s="2" t="s">
        <v>457</v>
      </c>
      <c r="F342" s="2" t="s">
        <v>363</v>
      </c>
    </row>
    <row r="343" customFormat="false" ht="15" hidden="false" customHeight="false" outlineLevel="0" collapsed="false">
      <c r="A343" s="2" t="s">
        <v>150</v>
      </c>
      <c r="B343" s="3" t="n">
        <v>36417</v>
      </c>
      <c r="C343" s="2" t="s">
        <v>19</v>
      </c>
      <c r="D343" s="2" t="s">
        <v>352</v>
      </c>
      <c r="E343" s="2" t="s">
        <v>458</v>
      </c>
      <c r="F343" s="2" t="s">
        <v>369</v>
      </c>
    </row>
    <row r="344" customFormat="false" ht="15" hidden="false" customHeight="false" outlineLevel="0" collapsed="false">
      <c r="A344" s="2" t="s">
        <v>151</v>
      </c>
      <c r="B344" s="3" t="n">
        <v>44847</v>
      </c>
      <c r="C344" s="2" t="s">
        <v>147</v>
      </c>
      <c r="D344" s="2" t="s">
        <v>346</v>
      </c>
      <c r="E344" s="2" t="s">
        <v>459</v>
      </c>
      <c r="F344" s="2" t="s">
        <v>383</v>
      </c>
    </row>
    <row r="345" customFormat="false" ht="15" hidden="false" customHeight="false" outlineLevel="0" collapsed="false">
      <c r="A345" s="2" t="s">
        <v>152</v>
      </c>
      <c r="B345" s="3" t="n">
        <v>43377</v>
      </c>
      <c r="C345" s="2" t="s">
        <v>153</v>
      </c>
      <c r="D345" s="2" t="s">
        <v>346</v>
      </c>
      <c r="E345" s="2" t="s">
        <v>460</v>
      </c>
      <c r="F345" s="2" t="s">
        <v>363</v>
      </c>
    </row>
    <row r="346" customFormat="false" ht="15" hidden="false" customHeight="false" outlineLevel="0" collapsed="false">
      <c r="A346" s="2" t="s">
        <v>155</v>
      </c>
      <c r="B346" s="3" t="n">
        <v>37149</v>
      </c>
      <c r="C346" s="2" t="s">
        <v>115</v>
      </c>
      <c r="D346" s="2" t="s">
        <v>356</v>
      </c>
      <c r="E346" s="2" t="s">
        <v>461</v>
      </c>
      <c r="F346" s="2" t="s">
        <v>373</v>
      </c>
    </row>
    <row r="347" customFormat="false" ht="15" hidden="false" customHeight="false" outlineLevel="0" collapsed="false">
      <c r="A347" s="2" t="s">
        <v>155</v>
      </c>
      <c r="B347" s="3" t="n">
        <v>37563</v>
      </c>
      <c r="C347" s="2" t="s">
        <v>135</v>
      </c>
      <c r="D347" s="2" t="s">
        <v>356</v>
      </c>
      <c r="E347" s="2" t="s">
        <v>461</v>
      </c>
      <c r="F347" s="2" t="s">
        <v>383</v>
      </c>
    </row>
    <row r="348" customFormat="false" ht="15" hidden="false" customHeight="false" outlineLevel="0" collapsed="false">
      <c r="A348" s="2" t="s">
        <v>155</v>
      </c>
      <c r="B348" s="3" t="n">
        <v>38116</v>
      </c>
      <c r="C348" s="2" t="s">
        <v>91</v>
      </c>
      <c r="D348" s="2" t="s">
        <v>356</v>
      </c>
      <c r="E348" s="2" t="s">
        <v>461</v>
      </c>
      <c r="F348" s="2" t="s">
        <v>383</v>
      </c>
    </row>
    <row r="349" customFormat="false" ht="15" hidden="false" customHeight="false" outlineLevel="0" collapsed="false">
      <c r="A349" s="2" t="s">
        <v>155</v>
      </c>
      <c r="B349" s="3" t="n">
        <v>38241</v>
      </c>
      <c r="C349" s="2" t="s">
        <v>263</v>
      </c>
      <c r="D349" s="2" t="s">
        <v>356</v>
      </c>
      <c r="E349" s="2" t="s">
        <v>461</v>
      </c>
      <c r="F349" s="2" t="s">
        <v>363</v>
      </c>
    </row>
    <row r="350" customFormat="false" ht="15" hidden="false" customHeight="false" outlineLevel="0" collapsed="false">
      <c r="A350" s="2" t="s">
        <v>155</v>
      </c>
      <c r="B350" s="3" t="n">
        <v>38780</v>
      </c>
      <c r="C350" s="2" t="s">
        <v>123</v>
      </c>
      <c r="D350" s="2" t="s">
        <v>356</v>
      </c>
      <c r="E350" s="2" t="s">
        <v>461</v>
      </c>
      <c r="F350" s="2" t="s">
        <v>365</v>
      </c>
    </row>
    <row r="351" customFormat="false" ht="15" hidden="false" customHeight="false" outlineLevel="0" collapsed="false">
      <c r="A351" s="2" t="s">
        <v>155</v>
      </c>
      <c r="B351" s="3" t="n">
        <v>39050</v>
      </c>
      <c r="C351" s="2" t="s">
        <v>110</v>
      </c>
      <c r="D351" s="2" t="s">
        <v>356</v>
      </c>
      <c r="E351" s="2" t="s">
        <v>461</v>
      </c>
      <c r="F351" s="2" t="s">
        <v>359</v>
      </c>
    </row>
    <row r="352" customFormat="false" ht="15" hidden="false" customHeight="false" outlineLevel="0" collapsed="false">
      <c r="A352" s="2" t="s">
        <v>155</v>
      </c>
      <c r="B352" s="3" t="n">
        <v>39466</v>
      </c>
      <c r="C352" s="2" t="s">
        <v>297</v>
      </c>
      <c r="D352" s="2" t="s">
        <v>356</v>
      </c>
      <c r="E352" s="2" t="s">
        <v>461</v>
      </c>
      <c r="F352" s="2" t="s">
        <v>363</v>
      </c>
    </row>
    <row r="353" customFormat="false" ht="15" hidden="false" customHeight="false" outlineLevel="0" collapsed="false">
      <c r="A353" s="2" t="s">
        <v>155</v>
      </c>
      <c r="B353" s="3" t="n">
        <v>39683</v>
      </c>
      <c r="C353" s="2" t="s">
        <v>312</v>
      </c>
      <c r="D353" s="2" t="s">
        <v>356</v>
      </c>
      <c r="E353" s="2" t="s">
        <v>461</v>
      </c>
      <c r="F353" s="2" t="s">
        <v>348</v>
      </c>
    </row>
    <row r="354" customFormat="false" ht="15" hidden="false" customHeight="false" outlineLevel="0" collapsed="false">
      <c r="A354" s="2" t="s">
        <v>155</v>
      </c>
      <c r="B354" s="3" t="n">
        <v>40082</v>
      </c>
      <c r="C354" s="2" t="s">
        <v>42</v>
      </c>
      <c r="D354" s="2" t="s">
        <v>356</v>
      </c>
      <c r="E354" s="2" t="s">
        <v>461</v>
      </c>
      <c r="F354" s="2" t="s">
        <v>383</v>
      </c>
    </row>
    <row r="355" customFormat="false" ht="15" hidden="false" customHeight="false" outlineLevel="0" collapsed="false">
      <c r="A355" s="2" t="s">
        <v>155</v>
      </c>
      <c r="B355" s="3" t="n">
        <v>40685</v>
      </c>
      <c r="C355" s="2" t="s">
        <v>187</v>
      </c>
      <c r="D355" s="2" t="s">
        <v>356</v>
      </c>
      <c r="E355" s="2" t="s">
        <v>461</v>
      </c>
      <c r="F355" s="2" t="s">
        <v>380</v>
      </c>
    </row>
    <row r="356" customFormat="false" ht="15" hidden="false" customHeight="false" outlineLevel="0" collapsed="false">
      <c r="A356" s="2" t="s">
        <v>155</v>
      </c>
      <c r="B356" s="3" t="n">
        <v>40910</v>
      </c>
      <c r="C356" s="2" t="s">
        <v>314</v>
      </c>
      <c r="D356" s="2" t="s">
        <v>356</v>
      </c>
      <c r="E356" s="2" t="s">
        <v>461</v>
      </c>
      <c r="F356" s="2" t="s">
        <v>359</v>
      </c>
    </row>
    <row r="357" customFormat="false" ht="15" hidden="false" customHeight="false" outlineLevel="0" collapsed="false">
      <c r="A357" s="2" t="s">
        <v>155</v>
      </c>
      <c r="B357" s="3" t="n">
        <v>41384</v>
      </c>
      <c r="C357" s="2" t="s">
        <v>206</v>
      </c>
      <c r="D357" s="2" t="s">
        <v>356</v>
      </c>
      <c r="E357" s="2" t="s">
        <v>461</v>
      </c>
      <c r="F357" s="2" t="s">
        <v>383</v>
      </c>
    </row>
    <row r="358" customFormat="false" ht="15" hidden="false" customHeight="false" outlineLevel="0" collapsed="false">
      <c r="A358" s="2" t="s">
        <v>155</v>
      </c>
      <c r="B358" s="3" t="n">
        <v>41510</v>
      </c>
      <c r="C358" s="2" t="s">
        <v>385</v>
      </c>
      <c r="D358" s="2" t="s">
        <v>356</v>
      </c>
      <c r="E358" s="2" t="s">
        <v>461</v>
      </c>
      <c r="F358" s="2" t="s">
        <v>373</v>
      </c>
    </row>
    <row r="359" customFormat="false" ht="15" hidden="false" customHeight="false" outlineLevel="0" collapsed="false">
      <c r="A359" s="2" t="s">
        <v>155</v>
      </c>
      <c r="B359" s="3" t="n">
        <v>43380</v>
      </c>
      <c r="C359" s="2" t="s">
        <v>153</v>
      </c>
      <c r="D359" s="2" t="s">
        <v>356</v>
      </c>
      <c r="E359" s="2" t="s">
        <v>461</v>
      </c>
      <c r="F359" s="2" t="s">
        <v>435</v>
      </c>
    </row>
    <row r="360" customFormat="false" ht="15" hidden="false" customHeight="false" outlineLevel="0" collapsed="false">
      <c r="A360" s="2" t="s">
        <v>155</v>
      </c>
      <c r="B360" s="3" t="n">
        <v>44086</v>
      </c>
      <c r="C360" s="2" t="s">
        <v>125</v>
      </c>
      <c r="D360" s="2" t="s">
        <v>356</v>
      </c>
      <c r="E360" s="2" t="s">
        <v>461</v>
      </c>
      <c r="F360" s="2" t="s">
        <v>363</v>
      </c>
    </row>
    <row r="361" customFormat="false" ht="15" hidden="false" customHeight="false" outlineLevel="0" collapsed="false">
      <c r="A361" s="2" t="s">
        <v>155</v>
      </c>
      <c r="B361" s="3" t="n">
        <v>44997</v>
      </c>
      <c r="C361" s="2" t="s">
        <v>147</v>
      </c>
      <c r="D361" s="2" t="s">
        <v>356</v>
      </c>
      <c r="E361" s="2" t="s">
        <v>461</v>
      </c>
      <c r="F361" s="2" t="s">
        <v>363</v>
      </c>
    </row>
    <row r="362" customFormat="false" ht="15" hidden="false" customHeight="false" outlineLevel="0" collapsed="false">
      <c r="A362" s="2" t="s">
        <v>155</v>
      </c>
      <c r="B362" s="3" t="n">
        <v>45291</v>
      </c>
      <c r="C362" s="2" t="s">
        <v>364</v>
      </c>
      <c r="D362" s="2" t="s">
        <v>356</v>
      </c>
      <c r="E362" s="2" t="s">
        <v>461</v>
      </c>
      <c r="F362" s="2" t="s">
        <v>359</v>
      </c>
    </row>
    <row r="363" customFormat="false" ht="15" hidden="false" customHeight="false" outlineLevel="0" collapsed="false">
      <c r="A363" s="2" t="s">
        <v>155</v>
      </c>
      <c r="B363" s="3" t="n">
        <v>45634</v>
      </c>
      <c r="C363" s="2" t="s">
        <v>30</v>
      </c>
      <c r="D363" s="2" t="s">
        <v>356</v>
      </c>
      <c r="E363" s="2" t="s">
        <v>461</v>
      </c>
      <c r="F363" s="2" t="s">
        <v>361</v>
      </c>
    </row>
    <row r="364" customFormat="false" ht="15" hidden="false" customHeight="false" outlineLevel="0" collapsed="false">
      <c r="A364" s="2" t="s">
        <v>155</v>
      </c>
      <c r="B364" s="3" t="n">
        <v>45948</v>
      </c>
      <c r="C364" s="2" t="s">
        <v>32</v>
      </c>
      <c r="D364" s="2" t="s">
        <v>356</v>
      </c>
      <c r="E364" s="2" t="s">
        <v>461</v>
      </c>
      <c r="F364" s="2" t="s">
        <v>383</v>
      </c>
    </row>
    <row r="365" customFormat="false" ht="15" hidden="false" customHeight="false" outlineLevel="0" collapsed="false">
      <c r="A365" s="2" t="s">
        <v>158</v>
      </c>
      <c r="B365" s="3" t="n">
        <v>41982</v>
      </c>
      <c r="C365" s="2" t="s">
        <v>23</v>
      </c>
      <c r="D365" s="2" t="s">
        <v>352</v>
      </c>
      <c r="E365" s="2" t="s">
        <v>462</v>
      </c>
      <c r="F365" s="2" t="s">
        <v>407</v>
      </c>
    </row>
    <row r="366" customFormat="false" ht="15" hidden="false" customHeight="false" outlineLevel="0" collapsed="false">
      <c r="A366" s="2" t="s">
        <v>160</v>
      </c>
      <c r="B366" s="3" t="n">
        <v>45686</v>
      </c>
      <c r="C366" s="2" t="s">
        <v>30</v>
      </c>
      <c r="D366" s="2" t="s">
        <v>352</v>
      </c>
      <c r="E366" s="2" t="s">
        <v>463</v>
      </c>
      <c r="F366" s="2" t="s">
        <v>360</v>
      </c>
    </row>
    <row r="367" customFormat="false" ht="15" hidden="false" customHeight="false" outlineLevel="0" collapsed="false">
      <c r="A367" s="2" t="s">
        <v>162</v>
      </c>
      <c r="B367" s="3" t="n">
        <v>38973</v>
      </c>
      <c r="C367" s="2" t="s">
        <v>110</v>
      </c>
      <c r="D367" s="2" t="s">
        <v>352</v>
      </c>
      <c r="E367" s="2" t="s">
        <v>464</v>
      </c>
      <c r="F367" s="2" t="s">
        <v>360</v>
      </c>
    </row>
    <row r="368" customFormat="false" ht="15" hidden="false" customHeight="false" outlineLevel="0" collapsed="false">
      <c r="A368" s="2" t="s">
        <v>163</v>
      </c>
      <c r="B368" s="3" t="n">
        <v>34598</v>
      </c>
      <c r="C368" s="2" t="s">
        <v>81</v>
      </c>
      <c r="D368" s="2" t="s">
        <v>379</v>
      </c>
      <c r="E368" s="2" t="s">
        <v>465</v>
      </c>
      <c r="F368" s="2" t="s">
        <v>420</v>
      </c>
    </row>
    <row r="369" customFormat="false" ht="15" hidden="false" customHeight="false" outlineLevel="0" collapsed="false">
      <c r="A369" s="2" t="s">
        <v>163</v>
      </c>
      <c r="B369" s="3" t="n">
        <v>34961</v>
      </c>
      <c r="C369" s="2" t="s">
        <v>378</v>
      </c>
      <c r="D369" s="2" t="s">
        <v>379</v>
      </c>
      <c r="E369" s="2" t="s">
        <v>465</v>
      </c>
      <c r="F369" s="2" t="s">
        <v>363</v>
      </c>
    </row>
    <row r="370" customFormat="false" ht="15" hidden="false" customHeight="false" outlineLevel="0" collapsed="false">
      <c r="A370" s="2" t="s">
        <v>165</v>
      </c>
      <c r="B370" s="3" t="n">
        <v>34233</v>
      </c>
      <c r="C370" s="2" t="s">
        <v>218</v>
      </c>
      <c r="D370" s="2" t="s">
        <v>379</v>
      </c>
      <c r="E370" s="2" t="s">
        <v>466</v>
      </c>
      <c r="F370" s="2" t="s">
        <v>420</v>
      </c>
    </row>
    <row r="371" customFormat="false" ht="15" hidden="false" customHeight="false" outlineLevel="0" collapsed="false">
      <c r="A371" s="2" t="s">
        <v>165</v>
      </c>
      <c r="B371" s="3" t="n">
        <v>43233</v>
      </c>
      <c r="C371" s="2" t="s">
        <v>11</v>
      </c>
      <c r="D371" s="2" t="s">
        <v>356</v>
      </c>
      <c r="E371" s="2" t="s">
        <v>466</v>
      </c>
      <c r="F371" s="2" t="s">
        <v>383</v>
      </c>
    </row>
    <row r="372" customFormat="false" ht="15" hidden="false" customHeight="false" outlineLevel="0" collapsed="false">
      <c r="A372" s="2" t="s">
        <v>165</v>
      </c>
      <c r="B372" s="3" t="n">
        <v>43505</v>
      </c>
      <c r="C372" s="2" t="s">
        <v>153</v>
      </c>
      <c r="D372" s="2" t="s">
        <v>356</v>
      </c>
      <c r="E372" s="2" t="s">
        <v>466</v>
      </c>
      <c r="F372" s="2" t="s">
        <v>360</v>
      </c>
    </row>
    <row r="373" customFormat="false" ht="15" hidden="false" customHeight="false" outlineLevel="0" collapsed="false">
      <c r="A373" s="2" t="s">
        <v>168</v>
      </c>
      <c r="B373" s="3" t="n">
        <v>32414</v>
      </c>
      <c r="C373" s="2" t="s">
        <v>374</v>
      </c>
      <c r="D373" s="2" t="s">
        <v>379</v>
      </c>
      <c r="E373" s="2" t="s">
        <v>467</v>
      </c>
      <c r="F373" s="2" t="s">
        <v>360</v>
      </c>
    </row>
    <row r="374" customFormat="false" ht="15" hidden="false" customHeight="false" outlineLevel="0" collapsed="false">
      <c r="A374" s="2" t="s">
        <v>168</v>
      </c>
      <c r="B374" s="3" t="n">
        <v>39830</v>
      </c>
      <c r="C374" s="2" t="s">
        <v>312</v>
      </c>
      <c r="D374" s="2" t="s">
        <v>356</v>
      </c>
      <c r="E374" s="2" t="s">
        <v>467</v>
      </c>
      <c r="F374" s="2" t="s">
        <v>373</v>
      </c>
    </row>
    <row r="375" customFormat="false" ht="15" hidden="false" customHeight="false" outlineLevel="0" collapsed="false">
      <c r="A375" s="2" t="s">
        <v>168</v>
      </c>
      <c r="B375" s="3" t="n">
        <v>40250</v>
      </c>
      <c r="C375" s="2" t="s">
        <v>42</v>
      </c>
      <c r="D375" s="2" t="s">
        <v>356</v>
      </c>
      <c r="E375" s="2" t="s">
        <v>467</v>
      </c>
      <c r="F375" s="2" t="s">
        <v>360</v>
      </c>
    </row>
    <row r="376" customFormat="false" ht="15" hidden="false" customHeight="false" outlineLevel="0" collapsed="false">
      <c r="A376" s="2" t="s">
        <v>168</v>
      </c>
      <c r="B376" s="3" t="n">
        <v>41749</v>
      </c>
      <c r="C376" s="2" t="s">
        <v>385</v>
      </c>
      <c r="D376" s="2" t="s">
        <v>356</v>
      </c>
      <c r="E376" s="2" t="s">
        <v>467</v>
      </c>
      <c r="F376" s="2" t="s">
        <v>363</v>
      </c>
    </row>
    <row r="377" customFormat="false" ht="15" hidden="false" customHeight="false" outlineLevel="0" collapsed="false">
      <c r="A377" s="2" t="s">
        <v>168</v>
      </c>
      <c r="B377" s="3" t="n">
        <v>42128</v>
      </c>
      <c r="C377" s="2" t="s">
        <v>23</v>
      </c>
      <c r="D377" s="2" t="s">
        <v>356</v>
      </c>
      <c r="E377" s="2" t="s">
        <v>467</v>
      </c>
      <c r="F377" s="2" t="s">
        <v>373</v>
      </c>
    </row>
    <row r="378" customFormat="false" ht="15" hidden="false" customHeight="false" outlineLevel="0" collapsed="false">
      <c r="A378" s="2" t="s">
        <v>168</v>
      </c>
      <c r="B378" s="3" t="n">
        <v>42437</v>
      </c>
      <c r="C378" s="2" t="s">
        <v>355</v>
      </c>
      <c r="D378" s="2" t="s">
        <v>362</v>
      </c>
      <c r="E378" s="2" t="s">
        <v>467</v>
      </c>
      <c r="F378" s="2" t="s">
        <v>365</v>
      </c>
    </row>
    <row r="379" customFormat="false" ht="15" hidden="false" customHeight="false" outlineLevel="0" collapsed="false">
      <c r="A379" s="2" t="s">
        <v>168</v>
      </c>
      <c r="B379" s="3" t="n">
        <v>42630</v>
      </c>
      <c r="C379" s="2" t="s">
        <v>138</v>
      </c>
      <c r="D379" s="2" t="s">
        <v>356</v>
      </c>
      <c r="E379" s="2" t="s">
        <v>467</v>
      </c>
      <c r="F379" s="2" t="s">
        <v>407</v>
      </c>
    </row>
    <row r="380" customFormat="false" ht="15" hidden="false" customHeight="false" outlineLevel="0" collapsed="false">
      <c r="A380" s="2" t="s">
        <v>171</v>
      </c>
      <c r="B380" s="3" t="n">
        <v>37950</v>
      </c>
      <c r="C380" s="2" t="s">
        <v>91</v>
      </c>
      <c r="D380" s="2" t="s">
        <v>352</v>
      </c>
      <c r="E380" s="2" t="s">
        <v>468</v>
      </c>
      <c r="F380" s="2" t="s">
        <v>435</v>
      </c>
    </row>
    <row r="381" customFormat="false" ht="15" hidden="false" customHeight="false" outlineLevel="0" collapsed="false">
      <c r="A381" s="2" t="s">
        <v>172</v>
      </c>
      <c r="B381" s="3" t="n">
        <v>45602</v>
      </c>
      <c r="C381" s="2" t="s">
        <v>30</v>
      </c>
      <c r="D381" s="2" t="s">
        <v>352</v>
      </c>
      <c r="E381" s="2" t="s">
        <v>469</v>
      </c>
      <c r="F381" s="2" t="s">
        <v>348</v>
      </c>
    </row>
    <row r="382" customFormat="false" ht="15" hidden="false" customHeight="false" outlineLevel="0" collapsed="false">
      <c r="A382" s="2" t="s">
        <v>172</v>
      </c>
      <c r="B382" s="3" t="n">
        <v>46042</v>
      </c>
      <c r="C382" s="2" t="s">
        <v>32</v>
      </c>
      <c r="D382" s="2" t="s">
        <v>352</v>
      </c>
      <c r="E382" s="2" t="s">
        <v>469</v>
      </c>
      <c r="F382" s="2" t="s">
        <v>373</v>
      </c>
    </row>
    <row r="383" customFormat="false" ht="15" hidden="false" customHeight="false" outlineLevel="0" collapsed="false">
      <c r="A383" s="2" t="s">
        <v>176</v>
      </c>
      <c r="B383" s="3" t="n">
        <v>34034</v>
      </c>
      <c r="C383" s="2" t="s">
        <v>267</v>
      </c>
      <c r="D383" s="2" t="s">
        <v>362</v>
      </c>
      <c r="E383" s="2" t="s">
        <v>470</v>
      </c>
      <c r="F383" s="2" t="s">
        <v>384</v>
      </c>
    </row>
    <row r="384" customFormat="false" ht="15" hidden="false" customHeight="false" outlineLevel="0" collapsed="false">
      <c r="A384" s="2" t="s">
        <v>176</v>
      </c>
      <c r="B384" s="3" t="n">
        <v>34069</v>
      </c>
      <c r="C384" s="2" t="s">
        <v>267</v>
      </c>
      <c r="D384" s="2" t="s">
        <v>356</v>
      </c>
      <c r="E384" s="2" t="s">
        <v>470</v>
      </c>
      <c r="F384" s="2" t="s">
        <v>360</v>
      </c>
    </row>
    <row r="385" customFormat="false" ht="15" hidden="false" customHeight="false" outlineLevel="0" collapsed="false">
      <c r="A385" s="2" t="s">
        <v>176</v>
      </c>
      <c r="B385" s="3" t="n">
        <v>34398</v>
      </c>
      <c r="C385" s="2" t="s">
        <v>218</v>
      </c>
      <c r="D385" s="2" t="s">
        <v>356</v>
      </c>
      <c r="E385" s="2" t="s">
        <v>470</v>
      </c>
      <c r="F385" s="2" t="s">
        <v>435</v>
      </c>
    </row>
    <row r="386" customFormat="false" ht="15" hidden="false" customHeight="false" outlineLevel="0" collapsed="false">
      <c r="A386" s="2" t="s">
        <v>176</v>
      </c>
      <c r="B386" s="3" t="n">
        <v>34696</v>
      </c>
      <c r="C386" s="2" t="s">
        <v>81</v>
      </c>
      <c r="D386" s="2" t="s">
        <v>356</v>
      </c>
      <c r="E386" s="2" t="s">
        <v>470</v>
      </c>
      <c r="F386" s="2" t="s">
        <v>353</v>
      </c>
    </row>
    <row r="387" customFormat="false" ht="15" hidden="false" customHeight="false" outlineLevel="0" collapsed="false">
      <c r="A387" s="2" t="s">
        <v>176</v>
      </c>
      <c r="B387" s="3" t="n">
        <v>36792</v>
      </c>
      <c r="C387" s="2" t="s">
        <v>89</v>
      </c>
      <c r="D387" s="2" t="s">
        <v>356</v>
      </c>
      <c r="E387" s="2" t="s">
        <v>470</v>
      </c>
      <c r="F387" s="2" t="s">
        <v>361</v>
      </c>
    </row>
    <row r="388" customFormat="false" ht="15" hidden="false" customHeight="false" outlineLevel="0" collapsed="false">
      <c r="A388" s="2" t="s">
        <v>176</v>
      </c>
      <c r="B388" s="3" t="n">
        <v>37226</v>
      </c>
      <c r="C388" s="2" t="s">
        <v>115</v>
      </c>
      <c r="D388" s="2" t="s">
        <v>356</v>
      </c>
      <c r="E388" s="2" t="s">
        <v>470</v>
      </c>
      <c r="F388" s="2" t="s">
        <v>353</v>
      </c>
    </row>
    <row r="389" customFormat="false" ht="15" hidden="false" customHeight="false" outlineLevel="0" collapsed="false">
      <c r="A389" s="2" t="s">
        <v>176</v>
      </c>
      <c r="B389" s="3" t="n">
        <v>40555</v>
      </c>
      <c r="C389" s="2" t="s">
        <v>187</v>
      </c>
      <c r="D389" s="2" t="s">
        <v>379</v>
      </c>
      <c r="E389" s="2" t="s">
        <v>470</v>
      </c>
      <c r="F389" s="2" t="s">
        <v>348</v>
      </c>
    </row>
    <row r="390" customFormat="false" ht="15" hidden="false" customHeight="false" outlineLevel="0" collapsed="false">
      <c r="A390" s="2" t="s">
        <v>176</v>
      </c>
      <c r="B390" s="3" t="n">
        <v>45767</v>
      </c>
      <c r="C390" s="2" t="s">
        <v>30</v>
      </c>
      <c r="D390" s="2" t="s">
        <v>356</v>
      </c>
      <c r="E390" s="2" t="s">
        <v>470</v>
      </c>
      <c r="F390" s="2" t="s">
        <v>365</v>
      </c>
    </row>
    <row r="391" customFormat="false" ht="15" hidden="false" customHeight="false" outlineLevel="0" collapsed="false">
      <c r="A391" s="2" t="s">
        <v>178</v>
      </c>
      <c r="B391" s="3" t="n">
        <v>37335</v>
      </c>
      <c r="C391" s="2" t="s">
        <v>115</v>
      </c>
      <c r="D391" s="2" t="s">
        <v>352</v>
      </c>
      <c r="E391" s="2" t="s">
        <v>471</v>
      </c>
      <c r="F391" s="2" t="s">
        <v>348</v>
      </c>
    </row>
    <row r="392" customFormat="false" ht="15" hidden="false" customHeight="false" outlineLevel="0" collapsed="false">
      <c r="A392" s="2" t="s">
        <v>178</v>
      </c>
      <c r="B392" s="3" t="n">
        <v>38812</v>
      </c>
      <c r="C392" s="2" t="s">
        <v>123</v>
      </c>
      <c r="D392" s="2" t="s">
        <v>352</v>
      </c>
      <c r="E392" s="2" t="s">
        <v>471</v>
      </c>
      <c r="F392" s="2" t="s">
        <v>369</v>
      </c>
    </row>
    <row r="393" customFormat="false" ht="15" hidden="false" customHeight="false" outlineLevel="0" collapsed="false">
      <c r="A393" s="2" t="s">
        <v>180</v>
      </c>
      <c r="B393" s="3" t="n">
        <v>36816</v>
      </c>
      <c r="C393" s="2" t="s">
        <v>89</v>
      </c>
      <c r="D393" s="2" t="s">
        <v>352</v>
      </c>
      <c r="E393" s="2" t="s">
        <v>472</v>
      </c>
      <c r="F393" s="2" t="s">
        <v>361</v>
      </c>
    </row>
    <row r="394" customFormat="false" ht="15" hidden="false" customHeight="false" outlineLevel="0" collapsed="false">
      <c r="A394" s="2" t="s">
        <v>181</v>
      </c>
      <c r="B394" s="3" t="n">
        <v>33145</v>
      </c>
      <c r="C394" s="2" t="s">
        <v>99</v>
      </c>
      <c r="D394" s="2" t="s">
        <v>375</v>
      </c>
      <c r="E394" s="2" t="s">
        <v>473</v>
      </c>
      <c r="F394" s="2" t="s">
        <v>380</v>
      </c>
    </row>
    <row r="395" customFormat="false" ht="15" hidden="false" customHeight="false" outlineLevel="0" collapsed="false">
      <c r="A395" s="2" t="s">
        <v>181</v>
      </c>
      <c r="B395" s="3" t="n">
        <v>33268</v>
      </c>
      <c r="C395" s="2" t="s">
        <v>99</v>
      </c>
      <c r="D395" s="2" t="s">
        <v>362</v>
      </c>
      <c r="E395" s="2" t="s">
        <v>473</v>
      </c>
      <c r="F395" s="2" t="s">
        <v>361</v>
      </c>
    </row>
    <row r="396" customFormat="false" ht="15" hidden="false" customHeight="false" outlineLevel="0" collapsed="false">
      <c r="A396" s="2" t="s">
        <v>181</v>
      </c>
      <c r="B396" s="3" t="n">
        <v>33285</v>
      </c>
      <c r="C396" s="2" t="s">
        <v>99</v>
      </c>
      <c r="D396" s="2" t="s">
        <v>362</v>
      </c>
      <c r="E396" s="2" t="s">
        <v>473</v>
      </c>
      <c r="F396" s="2" t="s">
        <v>360</v>
      </c>
    </row>
    <row r="397" customFormat="false" ht="15" hidden="false" customHeight="false" outlineLevel="0" collapsed="false">
      <c r="A397" s="2" t="s">
        <v>181</v>
      </c>
      <c r="B397" s="3" t="n">
        <v>33484</v>
      </c>
      <c r="C397" s="2" t="s">
        <v>38</v>
      </c>
      <c r="D397" s="2" t="s">
        <v>375</v>
      </c>
      <c r="E397" s="2" t="s">
        <v>473</v>
      </c>
      <c r="F397" s="2" t="s">
        <v>380</v>
      </c>
    </row>
    <row r="398" customFormat="false" ht="15" hidden="false" customHeight="false" outlineLevel="0" collapsed="false">
      <c r="A398" s="2" t="s">
        <v>181</v>
      </c>
      <c r="B398" s="3" t="n">
        <v>33929</v>
      </c>
      <c r="C398" s="2" t="s">
        <v>267</v>
      </c>
      <c r="D398" s="2" t="s">
        <v>356</v>
      </c>
      <c r="E398" s="2" t="s">
        <v>473</v>
      </c>
      <c r="F398" s="2" t="s">
        <v>434</v>
      </c>
    </row>
    <row r="399" customFormat="false" ht="15" hidden="false" customHeight="false" outlineLevel="0" collapsed="false">
      <c r="A399" s="2" t="s">
        <v>181</v>
      </c>
      <c r="B399" s="3" t="n">
        <v>34003</v>
      </c>
      <c r="C399" s="2" t="s">
        <v>267</v>
      </c>
      <c r="D399" s="2" t="s">
        <v>362</v>
      </c>
      <c r="E399" s="2" t="s">
        <v>473</v>
      </c>
      <c r="F399" s="2" t="s">
        <v>366</v>
      </c>
    </row>
    <row r="400" customFormat="false" ht="15" hidden="false" customHeight="false" outlineLevel="0" collapsed="false">
      <c r="A400" s="2" t="s">
        <v>181</v>
      </c>
      <c r="B400" s="3" t="n">
        <v>34321</v>
      </c>
      <c r="C400" s="2" t="s">
        <v>218</v>
      </c>
      <c r="D400" s="2" t="s">
        <v>356</v>
      </c>
      <c r="E400" s="2" t="s">
        <v>473</v>
      </c>
      <c r="F400" s="2" t="s">
        <v>359</v>
      </c>
    </row>
    <row r="401" customFormat="false" ht="15" hidden="false" customHeight="false" outlineLevel="0" collapsed="false">
      <c r="A401" s="2" t="s">
        <v>181</v>
      </c>
      <c r="B401" s="3" t="n">
        <v>34569</v>
      </c>
      <c r="C401" s="2" t="s">
        <v>81</v>
      </c>
      <c r="D401" s="2" t="s">
        <v>356</v>
      </c>
      <c r="E401" s="2" t="s">
        <v>473</v>
      </c>
      <c r="F401" s="2" t="s">
        <v>348</v>
      </c>
    </row>
    <row r="402" customFormat="false" ht="15" hidden="false" customHeight="false" outlineLevel="0" collapsed="false">
      <c r="A402" s="2" t="s">
        <v>181</v>
      </c>
      <c r="B402" s="3" t="n">
        <v>34986</v>
      </c>
      <c r="C402" s="2" t="s">
        <v>378</v>
      </c>
      <c r="D402" s="2" t="s">
        <v>356</v>
      </c>
      <c r="E402" s="2" t="s">
        <v>473</v>
      </c>
      <c r="F402" s="2" t="s">
        <v>363</v>
      </c>
    </row>
    <row r="403" customFormat="false" ht="15" hidden="false" customHeight="false" outlineLevel="0" collapsed="false">
      <c r="A403" s="2" t="s">
        <v>181</v>
      </c>
      <c r="B403" s="3" t="n">
        <v>35462</v>
      </c>
      <c r="C403" s="2" t="s">
        <v>73</v>
      </c>
      <c r="D403" s="2" t="s">
        <v>356</v>
      </c>
      <c r="E403" s="2" t="s">
        <v>473</v>
      </c>
      <c r="F403" s="2" t="s">
        <v>369</v>
      </c>
    </row>
    <row r="404" customFormat="false" ht="15" hidden="false" customHeight="false" outlineLevel="0" collapsed="false">
      <c r="A404" s="2" t="s">
        <v>181</v>
      </c>
      <c r="B404" s="3" t="n">
        <v>35651</v>
      </c>
      <c r="C404" s="2" t="s">
        <v>232</v>
      </c>
      <c r="D404" s="2" t="s">
        <v>356</v>
      </c>
      <c r="E404" s="2" t="s">
        <v>473</v>
      </c>
      <c r="F404" s="2" t="s">
        <v>361</v>
      </c>
    </row>
    <row r="405" customFormat="false" ht="15" hidden="false" customHeight="false" outlineLevel="0" collapsed="false">
      <c r="A405" s="2" t="s">
        <v>181</v>
      </c>
      <c r="B405" s="3" t="n">
        <v>36291</v>
      </c>
      <c r="C405" s="2" t="s">
        <v>381</v>
      </c>
      <c r="D405" s="2" t="s">
        <v>356</v>
      </c>
      <c r="E405" s="2" t="s">
        <v>473</v>
      </c>
      <c r="F405" s="2" t="s">
        <v>348</v>
      </c>
    </row>
    <row r="406" customFormat="false" ht="15" hidden="false" customHeight="false" outlineLevel="0" collapsed="false">
      <c r="A406" s="2" t="s">
        <v>181</v>
      </c>
      <c r="B406" s="3" t="n">
        <v>36632</v>
      </c>
      <c r="C406" s="2" t="s">
        <v>19</v>
      </c>
      <c r="D406" s="2" t="s">
        <v>356</v>
      </c>
      <c r="E406" s="2" t="s">
        <v>473</v>
      </c>
      <c r="F406" s="2" t="s">
        <v>365</v>
      </c>
    </row>
    <row r="407" customFormat="false" ht="15" hidden="false" customHeight="false" outlineLevel="0" collapsed="false">
      <c r="A407" s="2" t="s">
        <v>181</v>
      </c>
      <c r="B407" s="3" t="n">
        <v>36856</v>
      </c>
      <c r="C407" s="2" t="s">
        <v>89</v>
      </c>
      <c r="D407" s="2" t="s">
        <v>356</v>
      </c>
      <c r="E407" s="2" t="s">
        <v>473</v>
      </c>
      <c r="F407" s="2" t="s">
        <v>348</v>
      </c>
    </row>
    <row r="408" customFormat="false" ht="15" hidden="false" customHeight="false" outlineLevel="0" collapsed="false">
      <c r="A408" s="2" t="s">
        <v>181</v>
      </c>
      <c r="B408" s="3" t="n">
        <v>37276</v>
      </c>
      <c r="C408" s="2" t="s">
        <v>115</v>
      </c>
      <c r="D408" s="2" t="s">
        <v>356</v>
      </c>
      <c r="E408" s="2" t="s">
        <v>473</v>
      </c>
      <c r="F408" s="2" t="s">
        <v>361</v>
      </c>
    </row>
    <row r="409" customFormat="false" ht="15" hidden="false" customHeight="false" outlineLevel="0" collapsed="false">
      <c r="A409" s="2" t="s">
        <v>181</v>
      </c>
      <c r="B409" s="3" t="n">
        <v>37527</v>
      </c>
      <c r="C409" s="2" t="s">
        <v>135</v>
      </c>
      <c r="D409" s="2" t="s">
        <v>356</v>
      </c>
      <c r="E409" s="2" t="s">
        <v>473</v>
      </c>
      <c r="F409" s="2" t="s">
        <v>407</v>
      </c>
    </row>
    <row r="410" customFormat="false" ht="15" hidden="false" customHeight="false" outlineLevel="0" collapsed="false">
      <c r="A410" s="2" t="s">
        <v>181</v>
      </c>
      <c r="B410" s="3" t="n">
        <v>37926</v>
      </c>
      <c r="C410" s="2" t="s">
        <v>91</v>
      </c>
      <c r="D410" s="2" t="s">
        <v>356</v>
      </c>
      <c r="E410" s="2" t="s">
        <v>473</v>
      </c>
      <c r="F410" s="2" t="s">
        <v>407</v>
      </c>
    </row>
    <row r="411" customFormat="false" ht="15" hidden="false" customHeight="false" outlineLevel="0" collapsed="false">
      <c r="A411" s="2" t="s">
        <v>181</v>
      </c>
      <c r="B411" s="3" t="n">
        <v>37990</v>
      </c>
      <c r="C411" s="2" t="s">
        <v>91</v>
      </c>
      <c r="D411" s="2" t="s">
        <v>362</v>
      </c>
      <c r="E411" s="2" t="s">
        <v>473</v>
      </c>
      <c r="F411" s="2" t="s">
        <v>407</v>
      </c>
    </row>
    <row r="412" customFormat="false" ht="15" hidden="false" customHeight="false" outlineLevel="0" collapsed="false">
      <c r="A412" s="2" t="s">
        <v>181</v>
      </c>
      <c r="B412" s="3" t="n">
        <v>40562</v>
      </c>
      <c r="C412" s="2" t="s">
        <v>187</v>
      </c>
      <c r="D412" s="2" t="s">
        <v>362</v>
      </c>
      <c r="E412" s="2" t="s">
        <v>473</v>
      </c>
      <c r="F412" s="2" t="s">
        <v>373</v>
      </c>
    </row>
    <row r="413" customFormat="false" ht="15" hidden="false" customHeight="false" outlineLevel="0" collapsed="false">
      <c r="A413" s="2" t="s">
        <v>181</v>
      </c>
      <c r="B413" s="3" t="n">
        <v>44157</v>
      </c>
      <c r="C413" s="2" t="s">
        <v>125</v>
      </c>
      <c r="D413" s="2" t="s">
        <v>356</v>
      </c>
      <c r="E413" s="2" t="s">
        <v>473</v>
      </c>
      <c r="F413" s="2" t="s">
        <v>369</v>
      </c>
    </row>
    <row r="414" customFormat="false" ht="15" hidden="false" customHeight="false" outlineLevel="0" collapsed="false">
      <c r="A414" s="2" t="s">
        <v>181</v>
      </c>
      <c r="B414" s="3" t="n">
        <v>44548</v>
      </c>
      <c r="C414" s="2" t="s">
        <v>386</v>
      </c>
      <c r="D414" s="2" t="s">
        <v>356</v>
      </c>
      <c r="E414" s="2" t="s">
        <v>473</v>
      </c>
      <c r="F414" s="2" t="s">
        <v>407</v>
      </c>
    </row>
    <row r="415" customFormat="false" ht="15" hidden="false" customHeight="false" outlineLevel="0" collapsed="false">
      <c r="A415" s="2" t="s">
        <v>181</v>
      </c>
      <c r="B415" s="3" t="n">
        <v>44850</v>
      </c>
      <c r="C415" s="2" t="s">
        <v>147</v>
      </c>
      <c r="D415" s="2" t="s">
        <v>356</v>
      </c>
      <c r="E415" s="2" t="s">
        <v>473</v>
      </c>
      <c r="F415" s="2" t="s">
        <v>383</v>
      </c>
    </row>
    <row r="416" customFormat="false" ht="15" hidden="false" customHeight="false" outlineLevel="0" collapsed="false">
      <c r="A416" s="2" t="s">
        <v>181</v>
      </c>
      <c r="B416" s="3" t="n">
        <v>46053</v>
      </c>
      <c r="C416" s="2" t="s">
        <v>32</v>
      </c>
      <c r="D416" s="2" t="s">
        <v>356</v>
      </c>
      <c r="E416" s="2" t="s">
        <v>473</v>
      </c>
      <c r="F416" s="2" t="s">
        <v>365</v>
      </c>
    </row>
    <row r="417" customFormat="false" ht="15" hidden="false" customHeight="false" outlineLevel="0" collapsed="false">
      <c r="A417" s="2" t="s">
        <v>183</v>
      </c>
      <c r="B417" s="3" t="n">
        <v>33506</v>
      </c>
      <c r="C417" s="2" t="s">
        <v>38</v>
      </c>
      <c r="D417" s="2" t="s">
        <v>379</v>
      </c>
      <c r="E417" s="2" t="s">
        <v>474</v>
      </c>
      <c r="F417" s="2" t="s">
        <v>361</v>
      </c>
    </row>
    <row r="418" customFormat="false" ht="15" hidden="false" customHeight="false" outlineLevel="0" collapsed="false">
      <c r="A418" s="2" t="s">
        <v>183</v>
      </c>
      <c r="B418" s="3" t="n">
        <v>34661</v>
      </c>
      <c r="C418" s="2" t="s">
        <v>81</v>
      </c>
      <c r="D418" s="2" t="s">
        <v>356</v>
      </c>
      <c r="E418" s="2" t="s">
        <v>474</v>
      </c>
      <c r="F418" s="2" t="s">
        <v>359</v>
      </c>
    </row>
    <row r="419" customFormat="false" ht="15" hidden="false" customHeight="false" outlineLevel="0" collapsed="false">
      <c r="A419" s="2" t="s">
        <v>183</v>
      </c>
      <c r="B419" s="3" t="n">
        <v>35301</v>
      </c>
      <c r="C419" s="2" t="s">
        <v>73</v>
      </c>
      <c r="D419" s="2" t="s">
        <v>356</v>
      </c>
      <c r="E419" s="2" t="s">
        <v>474</v>
      </c>
      <c r="F419" s="2" t="s">
        <v>353</v>
      </c>
    </row>
    <row r="420" customFormat="false" ht="15" hidden="false" customHeight="false" outlineLevel="0" collapsed="false">
      <c r="A420" s="2" t="s">
        <v>183</v>
      </c>
      <c r="B420" s="3" t="n">
        <v>35669</v>
      </c>
      <c r="C420" s="2" t="s">
        <v>232</v>
      </c>
      <c r="D420" s="2" t="s">
        <v>356</v>
      </c>
      <c r="E420" s="2" t="s">
        <v>474</v>
      </c>
      <c r="F420" s="2" t="s">
        <v>358</v>
      </c>
    </row>
    <row r="421" customFormat="false" ht="15" hidden="false" customHeight="false" outlineLevel="0" collapsed="false">
      <c r="A421" s="2" t="s">
        <v>183</v>
      </c>
      <c r="B421" s="3" t="n">
        <v>36050</v>
      </c>
      <c r="C421" s="2" t="s">
        <v>381</v>
      </c>
      <c r="D421" s="2" t="s">
        <v>356</v>
      </c>
      <c r="E421" s="2" t="s">
        <v>474</v>
      </c>
      <c r="F421" s="2" t="s">
        <v>361</v>
      </c>
    </row>
    <row r="422" customFormat="false" ht="15" hidden="false" customHeight="false" outlineLevel="0" collapsed="false">
      <c r="A422" s="2" t="s">
        <v>183</v>
      </c>
      <c r="B422" s="3" t="n">
        <v>36498</v>
      </c>
      <c r="C422" s="2" t="s">
        <v>19</v>
      </c>
      <c r="D422" s="2" t="s">
        <v>356</v>
      </c>
      <c r="E422" s="2" t="s">
        <v>474</v>
      </c>
      <c r="F422" s="2" t="s">
        <v>363</v>
      </c>
    </row>
    <row r="423" customFormat="false" ht="15" hidden="false" customHeight="false" outlineLevel="0" collapsed="false">
      <c r="A423" s="2" t="s">
        <v>183</v>
      </c>
      <c r="B423" s="3" t="n">
        <v>36544</v>
      </c>
      <c r="C423" s="2" t="s">
        <v>19</v>
      </c>
      <c r="D423" s="2" t="s">
        <v>362</v>
      </c>
      <c r="E423" s="2" t="s">
        <v>474</v>
      </c>
      <c r="F423" s="2" t="s">
        <v>475</v>
      </c>
    </row>
    <row r="424" customFormat="false" ht="15" hidden="false" customHeight="false" outlineLevel="0" collapsed="false">
      <c r="A424" s="2" t="s">
        <v>183</v>
      </c>
      <c r="B424" s="3" t="n">
        <v>36911</v>
      </c>
      <c r="C424" s="2" t="s">
        <v>89</v>
      </c>
      <c r="D424" s="2" t="s">
        <v>356</v>
      </c>
      <c r="E424" s="2" t="s">
        <v>474</v>
      </c>
      <c r="F424" s="2" t="s">
        <v>369</v>
      </c>
    </row>
    <row r="425" customFormat="false" ht="15" hidden="false" customHeight="false" outlineLevel="0" collapsed="false">
      <c r="A425" s="2" t="s">
        <v>183</v>
      </c>
      <c r="B425" s="3" t="n">
        <v>37279</v>
      </c>
      <c r="C425" s="2" t="s">
        <v>115</v>
      </c>
      <c r="D425" s="2" t="s">
        <v>356</v>
      </c>
      <c r="E425" s="2" t="s">
        <v>474</v>
      </c>
      <c r="F425" s="2" t="s">
        <v>373</v>
      </c>
    </row>
    <row r="426" customFormat="false" ht="15" hidden="false" customHeight="false" outlineLevel="0" collapsed="false">
      <c r="A426" s="2" t="s">
        <v>183</v>
      </c>
      <c r="B426" s="3" t="n">
        <v>37961</v>
      </c>
      <c r="C426" s="2" t="s">
        <v>91</v>
      </c>
      <c r="D426" s="2" t="s">
        <v>356</v>
      </c>
      <c r="E426" s="2" t="s">
        <v>474</v>
      </c>
      <c r="F426" s="2" t="s">
        <v>361</v>
      </c>
    </row>
    <row r="427" customFormat="false" ht="15" hidden="false" customHeight="false" outlineLevel="0" collapsed="false">
      <c r="A427" s="2" t="s">
        <v>183</v>
      </c>
      <c r="B427" s="3" t="n">
        <v>41882</v>
      </c>
      <c r="C427" s="2" t="s">
        <v>23</v>
      </c>
      <c r="D427" s="2" t="s">
        <v>356</v>
      </c>
      <c r="E427" s="2" t="s">
        <v>474</v>
      </c>
      <c r="F427" s="2" t="s">
        <v>361</v>
      </c>
    </row>
    <row r="428" customFormat="false" ht="15" hidden="false" customHeight="false" outlineLevel="0" collapsed="false">
      <c r="A428" s="2" t="s">
        <v>183</v>
      </c>
      <c r="B428" s="3" t="n">
        <v>42273</v>
      </c>
      <c r="C428" s="2" t="s">
        <v>355</v>
      </c>
      <c r="D428" s="2" t="s">
        <v>356</v>
      </c>
      <c r="E428" s="2" t="s">
        <v>474</v>
      </c>
      <c r="F428" s="2" t="s">
        <v>450</v>
      </c>
    </row>
    <row r="429" customFormat="false" ht="15" hidden="false" customHeight="false" outlineLevel="0" collapsed="false">
      <c r="A429" s="2" t="s">
        <v>183</v>
      </c>
      <c r="B429" s="3" t="n">
        <v>42602</v>
      </c>
      <c r="C429" s="2" t="s">
        <v>138</v>
      </c>
      <c r="D429" s="2" t="s">
        <v>356</v>
      </c>
      <c r="E429" s="2" t="s">
        <v>474</v>
      </c>
      <c r="F429" s="2" t="s">
        <v>369</v>
      </c>
    </row>
    <row r="430" customFormat="false" ht="15" hidden="false" customHeight="false" outlineLevel="0" collapsed="false">
      <c r="A430" s="2" t="s">
        <v>183</v>
      </c>
      <c r="B430" s="3" t="n">
        <v>43229</v>
      </c>
      <c r="C430" s="2" t="s">
        <v>11</v>
      </c>
      <c r="D430" s="2" t="s">
        <v>356</v>
      </c>
      <c r="E430" s="2" t="s">
        <v>474</v>
      </c>
      <c r="F430" s="2" t="s">
        <v>377</v>
      </c>
    </row>
    <row r="431" customFormat="false" ht="15" hidden="false" customHeight="false" outlineLevel="0" collapsed="false">
      <c r="A431" s="2" t="s">
        <v>183</v>
      </c>
      <c r="B431" s="3" t="n">
        <v>43583</v>
      </c>
      <c r="C431" s="2" t="s">
        <v>153</v>
      </c>
      <c r="D431" s="2" t="s">
        <v>356</v>
      </c>
      <c r="E431" s="2" t="s">
        <v>474</v>
      </c>
      <c r="F431" s="2" t="s">
        <v>434</v>
      </c>
    </row>
    <row r="432" customFormat="false" ht="15" hidden="false" customHeight="false" outlineLevel="0" collapsed="false">
      <c r="A432" s="2" t="s">
        <v>183</v>
      </c>
      <c r="B432" s="3" t="n">
        <v>43778</v>
      </c>
      <c r="C432" s="2" t="s">
        <v>130</v>
      </c>
      <c r="D432" s="2" t="s">
        <v>356</v>
      </c>
      <c r="E432" s="2" t="s">
        <v>474</v>
      </c>
      <c r="F432" s="2" t="s">
        <v>351</v>
      </c>
    </row>
    <row r="433" customFormat="false" ht="15" hidden="false" customHeight="false" outlineLevel="0" collapsed="false">
      <c r="A433" s="2" t="s">
        <v>183</v>
      </c>
      <c r="B433" s="3" t="n">
        <v>44097</v>
      </c>
      <c r="C433" s="2" t="s">
        <v>125</v>
      </c>
      <c r="D433" s="2" t="s">
        <v>379</v>
      </c>
      <c r="E433" s="2" t="s">
        <v>474</v>
      </c>
      <c r="F433" s="2" t="s">
        <v>353</v>
      </c>
    </row>
    <row r="434" customFormat="false" ht="15" hidden="false" customHeight="false" outlineLevel="0" collapsed="false">
      <c r="A434" s="2" t="s">
        <v>183</v>
      </c>
      <c r="B434" s="3" t="n">
        <v>44255</v>
      </c>
      <c r="C434" s="2" t="s">
        <v>125</v>
      </c>
      <c r="D434" s="2" t="s">
        <v>356</v>
      </c>
      <c r="E434" s="2" t="s">
        <v>474</v>
      </c>
      <c r="F434" s="2" t="s">
        <v>373</v>
      </c>
    </row>
    <row r="435" customFormat="false" ht="15" hidden="false" customHeight="false" outlineLevel="0" collapsed="false">
      <c r="A435" s="2" t="s">
        <v>183</v>
      </c>
      <c r="B435" s="3" t="n">
        <v>44499</v>
      </c>
      <c r="C435" s="2" t="s">
        <v>386</v>
      </c>
      <c r="D435" s="2" t="s">
        <v>356</v>
      </c>
      <c r="E435" s="2" t="s">
        <v>474</v>
      </c>
      <c r="F435" s="2" t="s">
        <v>353</v>
      </c>
    </row>
    <row r="436" customFormat="false" ht="15" hidden="false" customHeight="false" outlineLevel="0" collapsed="false">
      <c r="A436" s="2" t="s">
        <v>183</v>
      </c>
      <c r="B436" s="3" t="n">
        <v>44982</v>
      </c>
      <c r="C436" s="2" t="s">
        <v>147</v>
      </c>
      <c r="D436" s="2" t="s">
        <v>356</v>
      </c>
      <c r="E436" s="2" t="s">
        <v>474</v>
      </c>
      <c r="F436" s="2" t="s">
        <v>383</v>
      </c>
    </row>
    <row r="437" customFormat="false" ht="15" hidden="false" customHeight="false" outlineLevel="0" collapsed="false">
      <c r="A437" s="2" t="s">
        <v>183</v>
      </c>
      <c r="B437" s="3" t="n">
        <v>45703</v>
      </c>
      <c r="C437" s="2" t="s">
        <v>30</v>
      </c>
      <c r="D437" s="2" t="s">
        <v>356</v>
      </c>
      <c r="E437" s="2" t="s">
        <v>474</v>
      </c>
      <c r="F437" s="2" t="s">
        <v>353</v>
      </c>
    </row>
    <row r="438" customFormat="false" ht="15" hidden="false" customHeight="false" outlineLevel="0" collapsed="false">
      <c r="A438" s="2" t="s">
        <v>186</v>
      </c>
      <c r="B438" s="3" t="n">
        <v>40594</v>
      </c>
      <c r="C438" s="2" t="s">
        <v>187</v>
      </c>
      <c r="D438" s="2" t="s">
        <v>362</v>
      </c>
      <c r="E438" s="2" t="s">
        <v>476</v>
      </c>
      <c r="F438" s="2" t="s">
        <v>361</v>
      </c>
    </row>
    <row r="439" customFormat="false" ht="15" hidden="false" customHeight="false" outlineLevel="0" collapsed="false">
      <c r="A439" s="2" t="s">
        <v>189</v>
      </c>
      <c r="B439" s="3" t="n">
        <v>32449</v>
      </c>
      <c r="C439" s="2" t="s">
        <v>374</v>
      </c>
      <c r="D439" s="2" t="s">
        <v>379</v>
      </c>
      <c r="E439" s="2" t="s">
        <v>477</v>
      </c>
      <c r="F439" s="2" t="s">
        <v>361</v>
      </c>
    </row>
    <row r="440" customFormat="false" ht="15" hidden="false" customHeight="false" outlineLevel="0" collapsed="false">
      <c r="A440" s="2" t="s">
        <v>189</v>
      </c>
      <c r="B440" s="3" t="n">
        <v>32654</v>
      </c>
      <c r="C440" s="2" t="s">
        <v>374</v>
      </c>
      <c r="D440" s="2" t="s">
        <v>375</v>
      </c>
      <c r="E440" s="2" t="s">
        <v>477</v>
      </c>
      <c r="F440" s="2" t="s">
        <v>353</v>
      </c>
    </row>
    <row r="441" customFormat="false" ht="15" hidden="false" customHeight="false" outlineLevel="0" collapsed="false">
      <c r="A441" s="2" t="s">
        <v>189</v>
      </c>
      <c r="B441" s="3" t="n">
        <v>32732</v>
      </c>
      <c r="C441" s="2" t="s">
        <v>240</v>
      </c>
      <c r="D441" s="2" t="s">
        <v>478</v>
      </c>
      <c r="E441" s="2" t="s">
        <v>477</v>
      </c>
      <c r="F441" s="2" t="s">
        <v>348</v>
      </c>
    </row>
    <row r="442" customFormat="false" ht="15" hidden="false" customHeight="false" outlineLevel="0" collapsed="false">
      <c r="A442" s="2" t="s">
        <v>189</v>
      </c>
      <c r="B442" s="3" t="n">
        <v>32838</v>
      </c>
      <c r="C442" s="2" t="s">
        <v>240</v>
      </c>
      <c r="D442" s="2" t="s">
        <v>375</v>
      </c>
      <c r="E442" s="2" t="s">
        <v>477</v>
      </c>
      <c r="F442" s="2" t="s">
        <v>359</v>
      </c>
    </row>
    <row r="443" customFormat="false" ht="15" hidden="false" customHeight="false" outlineLevel="0" collapsed="false">
      <c r="A443" s="2" t="s">
        <v>189</v>
      </c>
      <c r="B443" s="3" t="n">
        <v>33300</v>
      </c>
      <c r="C443" s="2" t="s">
        <v>99</v>
      </c>
      <c r="D443" s="2" t="s">
        <v>375</v>
      </c>
      <c r="E443" s="2" t="s">
        <v>477</v>
      </c>
      <c r="F443" s="2" t="s">
        <v>383</v>
      </c>
    </row>
    <row r="444" customFormat="false" ht="15" hidden="false" customHeight="false" outlineLevel="0" collapsed="false">
      <c r="A444" s="2" t="s">
        <v>189</v>
      </c>
      <c r="B444" s="3" t="n">
        <v>33632</v>
      </c>
      <c r="C444" s="2" t="s">
        <v>38</v>
      </c>
      <c r="D444" s="2" t="s">
        <v>375</v>
      </c>
      <c r="E444" s="2" t="s">
        <v>477</v>
      </c>
      <c r="F444" s="2" t="s">
        <v>351</v>
      </c>
    </row>
    <row r="445" customFormat="false" ht="15" hidden="false" customHeight="false" outlineLevel="0" collapsed="false">
      <c r="A445" s="2" t="s">
        <v>189</v>
      </c>
      <c r="B445" s="3" t="n">
        <v>33839</v>
      </c>
      <c r="C445" s="2" t="s">
        <v>267</v>
      </c>
      <c r="D445" s="2" t="s">
        <v>356</v>
      </c>
      <c r="E445" s="2" t="s">
        <v>477</v>
      </c>
      <c r="F445" s="2" t="s">
        <v>353</v>
      </c>
    </row>
    <row r="446" customFormat="false" ht="15" hidden="false" customHeight="false" outlineLevel="0" collapsed="false">
      <c r="A446" s="2" t="s">
        <v>189</v>
      </c>
      <c r="B446" s="3" t="n">
        <v>34244</v>
      </c>
      <c r="C446" s="2" t="s">
        <v>218</v>
      </c>
      <c r="D446" s="2" t="s">
        <v>356</v>
      </c>
      <c r="E446" s="2" t="s">
        <v>477</v>
      </c>
      <c r="F446" s="2" t="s">
        <v>369</v>
      </c>
    </row>
    <row r="447" customFormat="false" ht="15" hidden="false" customHeight="false" outlineLevel="0" collapsed="false">
      <c r="A447" s="2" t="s">
        <v>189</v>
      </c>
      <c r="B447" s="3" t="n">
        <v>34574</v>
      </c>
      <c r="C447" s="2" t="s">
        <v>81</v>
      </c>
      <c r="D447" s="2" t="s">
        <v>356</v>
      </c>
      <c r="E447" s="2" t="s">
        <v>477</v>
      </c>
      <c r="F447" s="2" t="s">
        <v>434</v>
      </c>
    </row>
    <row r="448" customFormat="false" ht="15" hidden="false" customHeight="false" outlineLevel="0" collapsed="false">
      <c r="A448" s="2" t="s">
        <v>189</v>
      </c>
      <c r="B448" s="3" t="n">
        <v>34710</v>
      </c>
      <c r="C448" s="2" t="s">
        <v>81</v>
      </c>
      <c r="D448" s="2" t="s">
        <v>379</v>
      </c>
      <c r="E448" s="2" t="s">
        <v>477</v>
      </c>
      <c r="F448" s="2" t="s">
        <v>348</v>
      </c>
    </row>
    <row r="449" customFormat="false" ht="15" hidden="false" customHeight="false" outlineLevel="0" collapsed="false">
      <c r="A449" s="2" t="s">
        <v>189</v>
      </c>
      <c r="B449" s="3" t="n">
        <v>35056</v>
      </c>
      <c r="C449" s="2" t="s">
        <v>378</v>
      </c>
      <c r="D449" s="2" t="s">
        <v>356</v>
      </c>
      <c r="E449" s="2" t="s">
        <v>477</v>
      </c>
      <c r="F449" s="2" t="s">
        <v>377</v>
      </c>
    </row>
    <row r="450" customFormat="false" ht="15" hidden="false" customHeight="false" outlineLevel="0" collapsed="false">
      <c r="A450" s="2" t="s">
        <v>189</v>
      </c>
      <c r="B450" s="3" t="n">
        <v>35296</v>
      </c>
      <c r="C450" s="2" t="s">
        <v>73</v>
      </c>
      <c r="D450" s="2" t="s">
        <v>356</v>
      </c>
      <c r="E450" s="2" t="s">
        <v>477</v>
      </c>
      <c r="F450" s="2" t="s">
        <v>351</v>
      </c>
    </row>
    <row r="451" customFormat="false" ht="15" hidden="false" customHeight="false" outlineLevel="0" collapsed="false">
      <c r="A451" s="2" t="s">
        <v>189</v>
      </c>
      <c r="B451" s="3" t="n">
        <v>35396</v>
      </c>
      <c r="C451" s="2" t="s">
        <v>73</v>
      </c>
      <c r="D451" s="2" t="s">
        <v>379</v>
      </c>
      <c r="E451" s="2" t="s">
        <v>477</v>
      </c>
      <c r="F451" s="2" t="s">
        <v>479</v>
      </c>
    </row>
    <row r="452" customFormat="false" ht="15" hidden="false" customHeight="false" outlineLevel="0" collapsed="false">
      <c r="A452" s="2" t="s">
        <v>189</v>
      </c>
      <c r="B452" s="3" t="n">
        <v>35921</v>
      </c>
      <c r="C452" s="2" t="s">
        <v>232</v>
      </c>
      <c r="D452" s="2" t="s">
        <v>356</v>
      </c>
      <c r="E452" s="2" t="s">
        <v>477</v>
      </c>
      <c r="F452" s="2" t="s">
        <v>354</v>
      </c>
    </row>
    <row r="453" customFormat="false" ht="15" hidden="false" customHeight="false" outlineLevel="0" collapsed="false">
      <c r="A453" s="2" t="s">
        <v>189</v>
      </c>
      <c r="B453" s="3" t="n">
        <v>36029</v>
      </c>
      <c r="C453" s="2" t="s">
        <v>381</v>
      </c>
      <c r="D453" s="2" t="s">
        <v>356</v>
      </c>
      <c r="E453" s="2" t="s">
        <v>477</v>
      </c>
      <c r="F453" s="2" t="s">
        <v>369</v>
      </c>
    </row>
    <row r="454" customFormat="false" ht="15" hidden="false" customHeight="false" outlineLevel="0" collapsed="false">
      <c r="A454" s="2" t="s">
        <v>189</v>
      </c>
      <c r="B454" s="3" t="n">
        <v>36400</v>
      </c>
      <c r="C454" s="2" t="s">
        <v>19</v>
      </c>
      <c r="D454" s="2" t="s">
        <v>356</v>
      </c>
      <c r="E454" s="2" t="s">
        <v>477</v>
      </c>
      <c r="F454" s="2" t="s">
        <v>351</v>
      </c>
    </row>
    <row r="455" customFormat="false" ht="15" hidden="false" customHeight="false" outlineLevel="0" collapsed="false">
      <c r="A455" s="2" t="s">
        <v>189</v>
      </c>
      <c r="B455" s="3" t="n">
        <v>36883</v>
      </c>
      <c r="C455" s="2" t="s">
        <v>89</v>
      </c>
      <c r="D455" s="2" t="s">
        <v>356</v>
      </c>
      <c r="E455" s="2" t="s">
        <v>477</v>
      </c>
      <c r="F455" s="2" t="s">
        <v>354</v>
      </c>
    </row>
    <row r="456" customFormat="false" ht="15" hidden="false" customHeight="false" outlineLevel="0" collapsed="false">
      <c r="A456" s="2" t="s">
        <v>189</v>
      </c>
      <c r="B456" s="3" t="n">
        <v>37248</v>
      </c>
      <c r="C456" s="2" t="s">
        <v>115</v>
      </c>
      <c r="D456" s="2" t="s">
        <v>356</v>
      </c>
      <c r="E456" s="2" t="s">
        <v>477</v>
      </c>
      <c r="F456" s="2" t="s">
        <v>360</v>
      </c>
    </row>
    <row r="457" customFormat="false" ht="15" hidden="false" customHeight="false" outlineLevel="0" collapsed="false">
      <c r="A457" s="2" t="s">
        <v>189</v>
      </c>
      <c r="B457" s="3" t="n">
        <v>37650</v>
      </c>
      <c r="C457" s="2" t="s">
        <v>135</v>
      </c>
      <c r="D457" s="2" t="s">
        <v>356</v>
      </c>
      <c r="E457" s="2" t="s">
        <v>477</v>
      </c>
      <c r="F457" s="2" t="s">
        <v>380</v>
      </c>
    </row>
    <row r="458" customFormat="false" ht="15" hidden="false" customHeight="false" outlineLevel="0" collapsed="false">
      <c r="A458" s="2" t="s">
        <v>189</v>
      </c>
      <c r="B458" s="3" t="n">
        <v>37898</v>
      </c>
      <c r="C458" s="2" t="s">
        <v>91</v>
      </c>
      <c r="D458" s="2" t="s">
        <v>356</v>
      </c>
      <c r="E458" s="2" t="s">
        <v>477</v>
      </c>
      <c r="F458" s="2" t="s">
        <v>360</v>
      </c>
    </row>
    <row r="459" customFormat="false" ht="15" hidden="false" customHeight="false" outlineLevel="0" collapsed="false">
      <c r="A459" s="2" t="s">
        <v>189</v>
      </c>
      <c r="B459" s="3" t="n">
        <v>38319</v>
      </c>
      <c r="C459" s="2" t="s">
        <v>263</v>
      </c>
      <c r="D459" s="2" t="s">
        <v>356</v>
      </c>
      <c r="E459" s="2" t="s">
        <v>477</v>
      </c>
      <c r="F459" s="2" t="s">
        <v>359</v>
      </c>
    </row>
    <row r="460" customFormat="false" ht="15" hidden="false" customHeight="false" outlineLevel="0" collapsed="false">
      <c r="A460" s="2" t="s">
        <v>189</v>
      </c>
      <c r="B460" s="3" t="n">
        <v>38762</v>
      </c>
      <c r="C460" s="2" t="s">
        <v>123</v>
      </c>
      <c r="D460" s="2" t="s">
        <v>356</v>
      </c>
      <c r="E460" s="2" t="s">
        <v>477</v>
      </c>
      <c r="F460" s="2" t="s">
        <v>348</v>
      </c>
    </row>
    <row r="461" customFormat="false" ht="15" hidden="false" customHeight="false" outlineLevel="0" collapsed="false">
      <c r="A461" s="2" t="s">
        <v>189</v>
      </c>
      <c r="B461" s="3" t="n">
        <v>39088</v>
      </c>
      <c r="C461" s="2" t="s">
        <v>110</v>
      </c>
      <c r="D461" s="2" t="s">
        <v>362</v>
      </c>
      <c r="E461" s="2" t="s">
        <v>477</v>
      </c>
      <c r="F461" s="2" t="s">
        <v>373</v>
      </c>
    </row>
    <row r="462" customFormat="false" ht="15" hidden="false" customHeight="false" outlineLevel="0" collapsed="false">
      <c r="A462" s="2" t="s">
        <v>189</v>
      </c>
      <c r="B462" s="3" t="n">
        <v>39091</v>
      </c>
      <c r="C462" s="2" t="s">
        <v>110</v>
      </c>
      <c r="D462" s="2" t="s">
        <v>379</v>
      </c>
      <c r="E462" s="2" t="s">
        <v>477</v>
      </c>
      <c r="F462" s="2" t="s">
        <v>480</v>
      </c>
    </row>
    <row r="463" customFormat="false" ht="15" hidden="false" customHeight="false" outlineLevel="0" collapsed="false">
      <c r="A463" s="2" t="s">
        <v>189</v>
      </c>
      <c r="B463" s="3" t="n">
        <v>39172</v>
      </c>
      <c r="C463" s="2" t="s">
        <v>110</v>
      </c>
      <c r="D463" s="2" t="s">
        <v>356</v>
      </c>
      <c r="E463" s="2" t="s">
        <v>477</v>
      </c>
      <c r="F463" s="2" t="s">
        <v>397</v>
      </c>
    </row>
    <row r="464" customFormat="false" ht="15" hidden="false" customHeight="false" outlineLevel="0" collapsed="false">
      <c r="A464" s="2" t="s">
        <v>189</v>
      </c>
      <c r="B464" s="3" t="n">
        <v>39383</v>
      </c>
      <c r="C464" s="2" t="s">
        <v>297</v>
      </c>
      <c r="D464" s="2" t="s">
        <v>356</v>
      </c>
      <c r="E464" s="2" t="s">
        <v>477</v>
      </c>
      <c r="F464" s="2" t="s">
        <v>361</v>
      </c>
    </row>
    <row r="465" customFormat="false" ht="15" hidden="false" customHeight="false" outlineLevel="0" collapsed="false">
      <c r="A465" s="2" t="s">
        <v>189</v>
      </c>
      <c r="B465" s="3" t="n">
        <v>39546</v>
      </c>
      <c r="C465" s="2" t="s">
        <v>297</v>
      </c>
      <c r="D465" s="2" t="s">
        <v>352</v>
      </c>
      <c r="E465" s="2" t="s">
        <v>477</v>
      </c>
      <c r="F465" s="2" t="s">
        <v>479</v>
      </c>
    </row>
    <row r="466" customFormat="false" ht="15" hidden="false" customHeight="false" outlineLevel="0" collapsed="false">
      <c r="A466" s="2" t="s">
        <v>189</v>
      </c>
      <c r="B466" s="3" t="n">
        <v>39924</v>
      </c>
      <c r="C466" s="2" t="s">
        <v>312</v>
      </c>
      <c r="D466" s="2" t="s">
        <v>356</v>
      </c>
      <c r="E466" s="2" t="s">
        <v>477</v>
      </c>
      <c r="F466" s="2" t="s">
        <v>481</v>
      </c>
    </row>
    <row r="467" customFormat="false" ht="15" hidden="false" customHeight="false" outlineLevel="0" collapsed="false">
      <c r="A467" s="2" t="s">
        <v>189</v>
      </c>
      <c r="B467" s="3" t="n">
        <v>40160</v>
      </c>
      <c r="C467" s="2" t="s">
        <v>42</v>
      </c>
      <c r="D467" s="2" t="s">
        <v>356</v>
      </c>
      <c r="E467" s="2" t="s">
        <v>477</v>
      </c>
      <c r="F467" s="2" t="s">
        <v>360</v>
      </c>
    </row>
    <row r="468" customFormat="false" ht="15" hidden="false" customHeight="false" outlineLevel="0" collapsed="false">
      <c r="A468" s="2" t="s">
        <v>189</v>
      </c>
      <c r="B468" s="3" t="n">
        <v>40405</v>
      </c>
      <c r="C468" s="2" t="s">
        <v>187</v>
      </c>
      <c r="D468" s="2" t="s">
        <v>356</v>
      </c>
      <c r="E468" s="2" t="s">
        <v>477</v>
      </c>
      <c r="F468" s="2" t="s">
        <v>361</v>
      </c>
    </row>
    <row r="469" customFormat="false" ht="15" hidden="false" customHeight="false" outlineLevel="0" collapsed="false">
      <c r="A469" s="2" t="s">
        <v>189</v>
      </c>
      <c r="B469" s="3" t="n">
        <v>40971</v>
      </c>
      <c r="C469" s="2" t="s">
        <v>314</v>
      </c>
      <c r="D469" s="2" t="s">
        <v>356</v>
      </c>
      <c r="E469" s="2" t="s">
        <v>477</v>
      </c>
      <c r="F469" s="2" t="s">
        <v>360</v>
      </c>
    </row>
    <row r="470" customFormat="false" ht="15" hidden="false" customHeight="false" outlineLevel="0" collapsed="false">
      <c r="A470" s="2" t="s">
        <v>189</v>
      </c>
      <c r="B470" s="3" t="n">
        <v>41154</v>
      </c>
      <c r="C470" s="2" t="s">
        <v>206</v>
      </c>
      <c r="D470" s="2" t="s">
        <v>356</v>
      </c>
      <c r="E470" s="2" t="s">
        <v>477</v>
      </c>
      <c r="F470" s="2" t="s">
        <v>353</v>
      </c>
    </row>
    <row r="471" customFormat="false" ht="15" hidden="false" customHeight="false" outlineLevel="0" collapsed="false">
      <c r="A471" s="2" t="s">
        <v>189</v>
      </c>
      <c r="B471" s="3" t="n">
        <v>41678</v>
      </c>
      <c r="C471" s="2" t="s">
        <v>385</v>
      </c>
      <c r="D471" s="2" t="s">
        <v>356</v>
      </c>
      <c r="E471" s="2" t="s">
        <v>477</v>
      </c>
      <c r="F471" s="2" t="s">
        <v>401</v>
      </c>
    </row>
    <row r="472" customFormat="false" ht="15" hidden="false" customHeight="false" outlineLevel="0" collapsed="false">
      <c r="A472" s="2" t="s">
        <v>189</v>
      </c>
      <c r="B472" s="3" t="n">
        <v>41994</v>
      </c>
      <c r="C472" s="2" t="s">
        <v>23</v>
      </c>
      <c r="D472" s="2" t="s">
        <v>356</v>
      </c>
      <c r="E472" s="2" t="s">
        <v>477</v>
      </c>
      <c r="F472" s="2" t="s">
        <v>380</v>
      </c>
    </row>
    <row r="473" customFormat="false" ht="15" hidden="false" customHeight="false" outlineLevel="0" collapsed="false">
      <c r="A473" s="2" t="s">
        <v>189</v>
      </c>
      <c r="B473" s="3" t="n">
        <v>42382</v>
      </c>
      <c r="C473" s="2" t="s">
        <v>355</v>
      </c>
      <c r="D473" s="2" t="s">
        <v>356</v>
      </c>
      <c r="E473" s="2" t="s">
        <v>477</v>
      </c>
      <c r="F473" s="2" t="s">
        <v>358</v>
      </c>
    </row>
    <row r="474" customFormat="false" ht="15" hidden="false" customHeight="false" outlineLevel="0" collapsed="false">
      <c r="A474" s="2" t="s">
        <v>189</v>
      </c>
      <c r="B474" s="3" t="n">
        <v>42798</v>
      </c>
      <c r="C474" s="2" t="s">
        <v>138</v>
      </c>
      <c r="D474" s="2" t="s">
        <v>356</v>
      </c>
      <c r="E474" s="2" t="s">
        <v>477</v>
      </c>
      <c r="F474" s="2" t="s">
        <v>377</v>
      </c>
    </row>
    <row r="475" customFormat="false" ht="15" hidden="false" customHeight="false" outlineLevel="0" collapsed="false">
      <c r="A475" s="2" t="s">
        <v>189</v>
      </c>
      <c r="B475" s="3" t="n">
        <v>42974</v>
      </c>
      <c r="C475" s="2" t="s">
        <v>11</v>
      </c>
      <c r="D475" s="2" t="s">
        <v>356</v>
      </c>
      <c r="E475" s="2" t="s">
        <v>477</v>
      </c>
      <c r="F475" s="2" t="s">
        <v>354</v>
      </c>
    </row>
    <row r="476" customFormat="false" ht="15" hidden="false" customHeight="false" outlineLevel="0" collapsed="false">
      <c r="A476" s="2" t="s">
        <v>189</v>
      </c>
      <c r="B476" s="3" t="n">
        <v>43463</v>
      </c>
      <c r="C476" s="2" t="s">
        <v>153</v>
      </c>
      <c r="D476" s="2" t="s">
        <v>356</v>
      </c>
      <c r="E476" s="2" t="s">
        <v>477</v>
      </c>
      <c r="F476" s="2" t="s">
        <v>401</v>
      </c>
    </row>
    <row r="477" customFormat="false" ht="15" hidden="false" customHeight="false" outlineLevel="0" collapsed="false">
      <c r="A477" s="2" t="s">
        <v>189</v>
      </c>
      <c r="B477" s="3" t="n">
        <v>43701</v>
      </c>
      <c r="C477" s="2" t="s">
        <v>130</v>
      </c>
      <c r="D477" s="2" t="s">
        <v>356</v>
      </c>
      <c r="E477" s="2" t="s">
        <v>477</v>
      </c>
      <c r="F477" s="2" t="s">
        <v>377</v>
      </c>
    </row>
    <row r="478" customFormat="false" ht="15" hidden="false" customHeight="false" outlineLevel="0" collapsed="false">
      <c r="A478" s="2" t="s">
        <v>189</v>
      </c>
      <c r="B478" s="3" t="n">
        <v>43768</v>
      </c>
      <c r="C478" s="2" t="s">
        <v>130</v>
      </c>
      <c r="D478" s="2" t="s">
        <v>379</v>
      </c>
      <c r="E478" s="2" t="s">
        <v>477</v>
      </c>
      <c r="F478" s="2" t="s">
        <v>482</v>
      </c>
    </row>
    <row r="479" customFormat="false" ht="15" hidden="false" customHeight="false" outlineLevel="0" collapsed="false">
      <c r="A479" s="2" t="s">
        <v>189</v>
      </c>
      <c r="B479" s="3" t="n">
        <v>44102</v>
      </c>
      <c r="C479" s="2" t="s">
        <v>125</v>
      </c>
      <c r="D479" s="2" t="s">
        <v>356</v>
      </c>
      <c r="E479" s="2" t="s">
        <v>477</v>
      </c>
      <c r="F479" s="2" t="s">
        <v>377</v>
      </c>
    </row>
    <row r="480" customFormat="false" ht="15" hidden="false" customHeight="false" outlineLevel="0" collapsed="false">
      <c r="A480" s="2" t="s">
        <v>189</v>
      </c>
      <c r="B480" s="3" t="n">
        <v>44105</v>
      </c>
      <c r="C480" s="2" t="s">
        <v>125</v>
      </c>
      <c r="D480" s="2" t="s">
        <v>379</v>
      </c>
      <c r="E480" s="2" t="s">
        <v>477</v>
      </c>
      <c r="F480" s="2" t="s">
        <v>483</v>
      </c>
    </row>
    <row r="481" customFormat="false" ht="15" hidden="false" customHeight="false" outlineLevel="0" collapsed="false">
      <c r="A481" s="2" t="s">
        <v>189</v>
      </c>
      <c r="B481" s="3" t="n">
        <v>44520</v>
      </c>
      <c r="C481" s="2" t="s">
        <v>386</v>
      </c>
      <c r="D481" s="2" t="s">
        <v>356</v>
      </c>
      <c r="E481" s="2" t="s">
        <v>477</v>
      </c>
      <c r="F481" s="2" t="s">
        <v>354</v>
      </c>
    </row>
    <row r="482" customFormat="false" ht="15" hidden="false" customHeight="false" outlineLevel="0" collapsed="false">
      <c r="A482" s="2" t="s">
        <v>189</v>
      </c>
      <c r="B482" s="3" t="n">
        <v>44574</v>
      </c>
      <c r="C482" s="2" t="s">
        <v>386</v>
      </c>
      <c r="D482" s="2" t="s">
        <v>379</v>
      </c>
      <c r="E482" s="2" t="s">
        <v>477</v>
      </c>
      <c r="F482" s="2" t="s">
        <v>369</v>
      </c>
    </row>
    <row r="483" customFormat="false" ht="15" hidden="false" customHeight="false" outlineLevel="0" collapsed="false">
      <c r="A483" s="2" t="s">
        <v>189</v>
      </c>
      <c r="B483" s="3" t="n">
        <v>45025</v>
      </c>
      <c r="C483" s="2" t="s">
        <v>147</v>
      </c>
      <c r="D483" s="2" t="s">
        <v>356</v>
      </c>
      <c r="E483" s="2" t="s">
        <v>477</v>
      </c>
      <c r="F483" s="2" t="s">
        <v>380</v>
      </c>
    </row>
    <row r="484" customFormat="false" ht="15" hidden="false" customHeight="false" outlineLevel="0" collapsed="false">
      <c r="A484" s="2" t="s">
        <v>189</v>
      </c>
      <c r="B484" s="3" t="n">
        <v>45283</v>
      </c>
      <c r="C484" s="2" t="s">
        <v>364</v>
      </c>
      <c r="D484" s="2" t="s">
        <v>356</v>
      </c>
      <c r="E484" s="2" t="s">
        <v>477</v>
      </c>
      <c r="F484" s="2" t="s">
        <v>361</v>
      </c>
    </row>
    <row r="485" customFormat="false" ht="15" hidden="false" customHeight="false" outlineLevel="0" collapsed="false">
      <c r="A485" s="2" t="s">
        <v>189</v>
      </c>
      <c r="B485" s="3" t="n">
        <v>45788</v>
      </c>
      <c r="C485" s="2" t="s">
        <v>30</v>
      </c>
      <c r="D485" s="2" t="s">
        <v>356</v>
      </c>
      <c r="E485" s="2" t="s">
        <v>477</v>
      </c>
      <c r="F485" s="2" t="s">
        <v>380</v>
      </c>
    </row>
    <row r="486" customFormat="false" ht="15" hidden="false" customHeight="false" outlineLevel="0" collapsed="false">
      <c r="A486" s="2" t="s">
        <v>189</v>
      </c>
      <c r="B486" s="3" t="n">
        <v>45900</v>
      </c>
      <c r="C486" s="2" t="s">
        <v>32</v>
      </c>
      <c r="D486" s="2" t="s">
        <v>356</v>
      </c>
      <c r="E486" s="2" t="s">
        <v>477</v>
      </c>
      <c r="F486" s="2" t="s">
        <v>348</v>
      </c>
    </row>
    <row r="487" customFormat="false" ht="15" hidden="false" customHeight="false" outlineLevel="0" collapsed="false">
      <c r="A487" s="2" t="s">
        <v>190</v>
      </c>
      <c r="B487" s="3" t="n">
        <v>37894</v>
      </c>
      <c r="C487" s="2" t="s">
        <v>91</v>
      </c>
      <c r="D487" s="2" t="s">
        <v>352</v>
      </c>
      <c r="E487" s="2" t="s">
        <v>484</v>
      </c>
      <c r="F487" s="2" t="s">
        <v>369</v>
      </c>
    </row>
    <row r="488" customFormat="false" ht="15" hidden="false" customHeight="false" outlineLevel="0" collapsed="false">
      <c r="A488" s="2" t="s">
        <v>191</v>
      </c>
      <c r="B488" s="3" t="n">
        <v>32441</v>
      </c>
      <c r="C488" s="2" t="s">
        <v>374</v>
      </c>
      <c r="D488" s="2" t="s">
        <v>375</v>
      </c>
      <c r="E488" s="2" t="s">
        <v>485</v>
      </c>
      <c r="F488" s="2" t="s">
        <v>361</v>
      </c>
    </row>
    <row r="489" customFormat="false" ht="15" hidden="false" customHeight="false" outlineLevel="0" collapsed="false">
      <c r="A489" s="2" t="s">
        <v>191</v>
      </c>
      <c r="B489" s="3" t="n">
        <v>32984</v>
      </c>
      <c r="C489" s="2" t="s">
        <v>240</v>
      </c>
      <c r="D489" s="2" t="s">
        <v>375</v>
      </c>
      <c r="E489" s="2" t="s">
        <v>485</v>
      </c>
      <c r="F489" s="2" t="s">
        <v>351</v>
      </c>
    </row>
    <row r="490" customFormat="false" ht="15" hidden="false" customHeight="false" outlineLevel="0" collapsed="false">
      <c r="A490" s="2" t="s">
        <v>191</v>
      </c>
      <c r="B490" s="3" t="n">
        <v>33215</v>
      </c>
      <c r="C490" s="2" t="s">
        <v>99</v>
      </c>
      <c r="D490" s="2" t="s">
        <v>375</v>
      </c>
      <c r="E490" s="2" t="s">
        <v>485</v>
      </c>
      <c r="F490" s="2" t="s">
        <v>361</v>
      </c>
    </row>
    <row r="491" customFormat="false" ht="15" hidden="false" customHeight="false" outlineLevel="0" collapsed="false">
      <c r="A491" s="2" t="s">
        <v>191</v>
      </c>
      <c r="B491" s="3" t="n">
        <v>33598</v>
      </c>
      <c r="C491" s="2" t="s">
        <v>38</v>
      </c>
      <c r="D491" s="2" t="s">
        <v>375</v>
      </c>
      <c r="E491" s="2" t="s">
        <v>485</v>
      </c>
      <c r="F491" s="2" t="s">
        <v>348</v>
      </c>
    </row>
    <row r="492" customFormat="false" ht="15" hidden="false" customHeight="false" outlineLevel="0" collapsed="false">
      <c r="A492" s="2" t="s">
        <v>191</v>
      </c>
      <c r="B492" s="3" t="n">
        <v>45265</v>
      </c>
      <c r="C492" s="2" t="s">
        <v>364</v>
      </c>
      <c r="D492" s="2" t="s">
        <v>356</v>
      </c>
      <c r="E492" s="2" t="s">
        <v>485</v>
      </c>
      <c r="F492" s="2" t="s">
        <v>486</v>
      </c>
    </row>
    <row r="493" customFormat="false" ht="15" hidden="false" customHeight="false" outlineLevel="0" collapsed="false">
      <c r="A493" s="2" t="s">
        <v>193</v>
      </c>
      <c r="B493" s="3" t="n">
        <v>32942</v>
      </c>
      <c r="C493" s="2" t="s">
        <v>240</v>
      </c>
      <c r="D493" s="2" t="s">
        <v>375</v>
      </c>
      <c r="E493" s="2" t="s">
        <v>487</v>
      </c>
      <c r="F493" s="2" t="s">
        <v>361</v>
      </c>
    </row>
    <row r="494" customFormat="false" ht="15" hidden="false" customHeight="false" outlineLevel="0" collapsed="false">
      <c r="A494" s="2" t="s">
        <v>193</v>
      </c>
      <c r="B494" s="3" t="n">
        <v>33176</v>
      </c>
      <c r="C494" s="2" t="s">
        <v>99</v>
      </c>
      <c r="D494" s="2" t="s">
        <v>379</v>
      </c>
      <c r="E494" s="2" t="s">
        <v>487</v>
      </c>
      <c r="F494" s="2" t="s">
        <v>360</v>
      </c>
    </row>
    <row r="495" customFormat="false" ht="15" hidden="false" customHeight="false" outlineLevel="0" collapsed="false">
      <c r="A495" s="2" t="s">
        <v>193</v>
      </c>
      <c r="B495" s="3" t="n">
        <v>33239</v>
      </c>
      <c r="C495" s="2" t="s">
        <v>99</v>
      </c>
      <c r="D495" s="2" t="s">
        <v>375</v>
      </c>
      <c r="E495" s="2" t="s">
        <v>487</v>
      </c>
      <c r="F495" s="2" t="s">
        <v>383</v>
      </c>
    </row>
    <row r="496" customFormat="false" ht="15" hidden="false" customHeight="false" outlineLevel="0" collapsed="false">
      <c r="A496" s="2" t="s">
        <v>193</v>
      </c>
      <c r="B496" s="3" t="n">
        <v>33600</v>
      </c>
      <c r="C496" s="2" t="s">
        <v>38</v>
      </c>
      <c r="D496" s="2" t="s">
        <v>375</v>
      </c>
      <c r="E496" s="2" t="s">
        <v>487</v>
      </c>
      <c r="F496" s="2" t="s">
        <v>348</v>
      </c>
    </row>
    <row r="497" customFormat="false" ht="15" hidden="false" customHeight="false" outlineLevel="0" collapsed="false">
      <c r="A497" s="2" t="s">
        <v>193</v>
      </c>
      <c r="B497" s="3" t="n">
        <v>33985</v>
      </c>
      <c r="C497" s="2" t="s">
        <v>267</v>
      </c>
      <c r="D497" s="2" t="s">
        <v>356</v>
      </c>
      <c r="E497" s="2" t="s">
        <v>487</v>
      </c>
      <c r="F497" s="2" t="s">
        <v>383</v>
      </c>
    </row>
    <row r="498" customFormat="false" ht="15" hidden="false" customHeight="false" outlineLevel="0" collapsed="false">
      <c r="A498" s="2" t="s">
        <v>193</v>
      </c>
      <c r="B498" s="3" t="n">
        <v>34349</v>
      </c>
      <c r="C498" s="2" t="s">
        <v>218</v>
      </c>
      <c r="D498" s="2" t="s">
        <v>356</v>
      </c>
      <c r="E498" s="2" t="s">
        <v>487</v>
      </c>
      <c r="F498" s="2" t="s">
        <v>369</v>
      </c>
    </row>
    <row r="499" customFormat="false" ht="15" hidden="false" customHeight="false" outlineLevel="0" collapsed="false">
      <c r="A499" s="2" t="s">
        <v>193</v>
      </c>
      <c r="B499" s="3" t="n">
        <v>34680</v>
      </c>
      <c r="C499" s="2" t="s">
        <v>81</v>
      </c>
      <c r="D499" s="2" t="s">
        <v>356</v>
      </c>
      <c r="E499" s="2" t="s">
        <v>487</v>
      </c>
      <c r="F499" s="2" t="s">
        <v>360</v>
      </c>
    </row>
    <row r="500" customFormat="false" ht="15" hidden="false" customHeight="false" outlineLevel="0" collapsed="false">
      <c r="A500" s="2" t="s">
        <v>193</v>
      </c>
      <c r="B500" s="3" t="n">
        <v>34952</v>
      </c>
      <c r="C500" s="2" t="s">
        <v>378</v>
      </c>
      <c r="D500" s="2" t="s">
        <v>356</v>
      </c>
      <c r="E500" s="2" t="s">
        <v>487</v>
      </c>
      <c r="F500" s="2" t="s">
        <v>383</v>
      </c>
    </row>
    <row r="501" customFormat="false" ht="15" hidden="false" customHeight="false" outlineLevel="0" collapsed="false">
      <c r="A501" s="2" t="s">
        <v>193</v>
      </c>
      <c r="B501" s="3" t="n">
        <v>36992</v>
      </c>
      <c r="C501" s="2" t="s">
        <v>89</v>
      </c>
      <c r="D501" s="2" t="s">
        <v>356</v>
      </c>
      <c r="E501" s="2" t="s">
        <v>487</v>
      </c>
      <c r="F501" s="2" t="s">
        <v>365</v>
      </c>
    </row>
    <row r="502" customFormat="false" ht="15" hidden="false" customHeight="false" outlineLevel="0" collapsed="false">
      <c r="A502" s="2" t="s">
        <v>193</v>
      </c>
      <c r="B502" s="3" t="n">
        <v>37674</v>
      </c>
      <c r="C502" s="2" t="s">
        <v>135</v>
      </c>
      <c r="D502" s="2" t="s">
        <v>356</v>
      </c>
      <c r="E502" s="2" t="s">
        <v>487</v>
      </c>
      <c r="F502" s="2" t="s">
        <v>435</v>
      </c>
    </row>
    <row r="503" customFormat="false" ht="15" hidden="false" customHeight="false" outlineLevel="0" collapsed="false">
      <c r="A503" s="2" t="s">
        <v>193</v>
      </c>
      <c r="B503" s="3" t="n">
        <v>37864</v>
      </c>
      <c r="C503" s="2" t="s">
        <v>91</v>
      </c>
      <c r="D503" s="2" t="s">
        <v>356</v>
      </c>
      <c r="E503" s="2" t="s">
        <v>487</v>
      </c>
      <c r="F503" s="2" t="s">
        <v>360</v>
      </c>
    </row>
    <row r="504" customFormat="false" ht="15" hidden="false" customHeight="false" outlineLevel="0" collapsed="false">
      <c r="A504" s="2" t="s">
        <v>193</v>
      </c>
      <c r="B504" s="3" t="n">
        <v>38255</v>
      </c>
      <c r="C504" s="2" t="s">
        <v>263</v>
      </c>
      <c r="D504" s="2" t="s">
        <v>356</v>
      </c>
      <c r="E504" s="2" t="s">
        <v>487</v>
      </c>
      <c r="F504" s="2" t="s">
        <v>383</v>
      </c>
    </row>
    <row r="505" customFormat="false" ht="15" hidden="false" customHeight="false" outlineLevel="0" collapsed="false">
      <c r="A505" s="2" t="s">
        <v>193</v>
      </c>
      <c r="B505" s="3" t="n">
        <v>38287</v>
      </c>
      <c r="C505" s="2" t="s">
        <v>263</v>
      </c>
      <c r="D505" s="2" t="s">
        <v>379</v>
      </c>
      <c r="E505" s="2" t="s">
        <v>487</v>
      </c>
      <c r="F505" s="2" t="s">
        <v>360</v>
      </c>
    </row>
    <row r="506" customFormat="false" ht="15" hidden="false" customHeight="false" outlineLevel="0" collapsed="false">
      <c r="A506" s="2" t="s">
        <v>193</v>
      </c>
      <c r="B506" s="3" t="n">
        <v>38841</v>
      </c>
      <c r="C506" s="2" t="s">
        <v>123</v>
      </c>
      <c r="D506" s="2" t="s">
        <v>356</v>
      </c>
      <c r="E506" s="2" t="s">
        <v>487</v>
      </c>
      <c r="F506" s="2" t="s">
        <v>373</v>
      </c>
    </row>
    <row r="507" customFormat="false" ht="15" hidden="false" customHeight="false" outlineLevel="0" collapsed="false">
      <c r="A507" s="2" t="s">
        <v>193</v>
      </c>
      <c r="B507" s="3" t="n">
        <v>38955</v>
      </c>
      <c r="C507" s="2" t="s">
        <v>110</v>
      </c>
      <c r="D507" s="2" t="s">
        <v>356</v>
      </c>
      <c r="E507" s="2" t="s">
        <v>487</v>
      </c>
      <c r="F507" s="2" t="s">
        <v>348</v>
      </c>
    </row>
    <row r="508" customFormat="false" ht="15" hidden="false" customHeight="false" outlineLevel="0" collapsed="false">
      <c r="A508" s="2" t="s">
        <v>193</v>
      </c>
      <c r="B508" s="3" t="n">
        <v>39480</v>
      </c>
      <c r="C508" s="2" t="s">
        <v>297</v>
      </c>
      <c r="D508" s="2" t="s">
        <v>356</v>
      </c>
      <c r="E508" s="2" t="s">
        <v>487</v>
      </c>
      <c r="F508" s="2" t="s">
        <v>373</v>
      </c>
    </row>
    <row r="509" customFormat="false" ht="15" hidden="false" customHeight="false" outlineLevel="0" collapsed="false">
      <c r="A509" s="2" t="s">
        <v>193</v>
      </c>
      <c r="B509" s="3" t="n">
        <v>39774</v>
      </c>
      <c r="C509" s="2" t="s">
        <v>312</v>
      </c>
      <c r="D509" s="2" t="s">
        <v>356</v>
      </c>
      <c r="E509" s="2" t="s">
        <v>487</v>
      </c>
      <c r="F509" s="2" t="s">
        <v>434</v>
      </c>
    </row>
    <row r="510" customFormat="false" ht="15" hidden="false" customHeight="false" outlineLevel="0" collapsed="false">
      <c r="A510" s="2" t="s">
        <v>193</v>
      </c>
      <c r="B510" s="3" t="n">
        <v>40068</v>
      </c>
      <c r="C510" s="2" t="s">
        <v>42</v>
      </c>
      <c r="D510" s="2" t="s">
        <v>356</v>
      </c>
      <c r="E510" s="2" t="s">
        <v>487</v>
      </c>
      <c r="F510" s="2" t="s">
        <v>479</v>
      </c>
    </row>
    <row r="511" customFormat="false" ht="15" hidden="false" customHeight="false" outlineLevel="0" collapsed="false">
      <c r="A511" s="2" t="s">
        <v>193</v>
      </c>
      <c r="B511" s="3" t="n">
        <v>40149</v>
      </c>
      <c r="C511" s="2" t="s">
        <v>42</v>
      </c>
      <c r="D511" s="2" t="s">
        <v>379</v>
      </c>
      <c r="E511" s="2" t="s">
        <v>487</v>
      </c>
      <c r="F511" s="2" t="s">
        <v>434</v>
      </c>
    </row>
    <row r="512" customFormat="false" ht="15" hidden="false" customHeight="false" outlineLevel="0" collapsed="false">
      <c r="A512" s="2" t="s">
        <v>193</v>
      </c>
      <c r="B512" s="3" t="n">
        <v>40475</v>
      </c>
      <c r="C512" s="2" t="s">
        <v>187</v>
      </c>
      <c r="D512" s="2" t="s">
        <v>356</v>
      </c>
      <c r="E512" s="2" t="s">
        <v>487</v>
      </c>
      <c r="F512" s="2" t="s">
        <v>363</v>
      </c>
    </row>
    <row r="513" customFormat="false" ht="15" hidden="false" customHeight="false" outlineLevel="0" collapsed="false">
      <c r="A513" s="2" t="s">
        <v>193</v>
      </c>
      <c r="B513" s="3" t="n">
        <v>40895</v>
      </c>
      <c r="C513" s="2" t="s">
        <v>314</v>
      </c>
      <c r="D513" s="2" t="s">
        <v>356</v>
      </c>
      <c r="E513" s="2" t="s">
        <v>487</v>
      </c>
      <c r="F513" s="2" t="s">
        <v>348</v>
      </c>
    </row>
    <row r="514" customFormat="false" ht="15" hidden="false" customHeight="false" outlineLevel="0" collapsed="false">
      <c r="A514" s="2" t="s">
        <v>193</v>
      </c>
      <c r="B514" s="3" t="n">
        <v>41175</v>
      </c>
      <c r="C514" s="2" t="s">
        <v>206</v>
      </c>
      <c r="D514" s="2" t="s">
        <v>356</v>
      </c>
      <c r="E514" s="2" t="s">
        <v>487</v>
      </c>
      <c r="F514" s="2" t="s">
        <v>361</v>
      </c>
    </row>
    <row r="515" customFormat="false" ht="15" hidden="false" customHeight="false" outlineLevel="0" collapsed="false">
      <c r="A515" s="2" t="s">
        <v>193</v>
      </c>
      <c r="B515" s="3" t="n">
        <v>41622</v>
      </c>
      <c r="C515" s="2" t="s">
        <v>385</v>
      </c>
      <c r="D515" s="2" t="s">
        <v>356</v>
      </c>
      <c r="E515" s="2" t="s">
        <v>487</v>
      </c>
      <c r="F515" s="2" t="s">
        <v>488</v>
      </c>
    </row>
    <row r="516" customFormat="false" ht="15" hidden="false" customHeight="false" outlineLevel="0" collapsed="false">
      <c r="A516" s="2" t="s">
        <v>193</v>
      </c>
      <c r="B516" s="3" t="n">
        <v>42022</v>
      </c>
      <c r="C516" s="2" t="s">
        <v>23</v>
      </c>
      <c r="D516" s="2" t="s">
        <v>356</v>
      </c>
      <c r="E516" s="2" t="s">
        <v>487</v>
      </c>
      <c r="F516" s="2" t="s">
        <v>353</v>
      </c>
    </row>
    <row r="517" customFormat="false" ht="15" hidden="false" customHeight="false" outlineLevel="0" collapsed="false">
      <c r="A517" s="2" t="s">
        <v>193</v>
      </c>
      <c r="B517" s="3" t="n">
        <v>42498</v>
      </c>
      <c r="C517" s="2" t="s">
        <v>355</v>
      </c>
      <c r="D517" s="2" t="s">
        <v>356</v>
      </c>
      <c r="E517" s="2" t="s">
        <v>487</v>
      </c>
      <c r="F517" s="2" t="s">
        <v>380</v>
      </c>
    </row>
    <row r="518" customFormat="false" ht="15" hidden="false" customHeight="false" outlineLevel="0" collapsed="false">
      <c r="A518" s="2" t="s">
        <v>193</v>
      </c>
      <c r="B518" s="3" t="n">
        <v>42722</v>
      </c>
      <c r="C518" s="2" t="s">
        <v>138</v>
      </c>
      <c r="D518" s="2" t="s">
        <v>356</v>
      </c>
      <c r="E518" s="2" t="s">
        <v>487</v>
      </c>
      <c r="F518" s="2" t="s">
        <v>359</v>
      </c>
    </row>
    <row r="519" customFormat="false" ht="15" hidden="false" customHeight="false" outlineLevel="0" collapsed="false">
      <c r="A519" s="2" t="s">
        <v>193</v>
      </c>
      <c r="B519" s="3" t="n">
        <v>43044</v>
      </c>
      <c r="C519" s="2" t="s">
        <v>11</v>
      </c>
      <c r="D519" s="2" t="s">
        <v>356</v>
      </c>
      <c r="E519" s="2" t="s">
        <v>487</v>
      </c>
      <c r="F519" s="2" t="s">
        <v>377</v>
      </c>
    </row>
    <row r="520" customFormat="false" ht="15" hidden="false" customHeight="false" outlineLevel="0" collapsed="false">
      <c r="A520" s="2" t="s">
        <v>193</v>
      </c>
      <c r="B520" s="3" t="n">
        <v>43499</v>
      </c>
      <c r="C520" s="2" t="s">
        <v>153</v>
      </c>
      <c r="D520" s="2" t="s">
        <v>356</v>
      </c>
      <c r="E520" s="2" t="s">
        <v>487</v>
      </c>
      <c r="F520" s="2" t="s">
        <v>377</v>
      </c>
    </row>
    <row r="521" customFormat="false" ht="15" hidden="false" customHeight="false" outlineLevel="0" collapsed="false">
      <c r="A521" s="2" t="s">
        <v>193</v>
      </c>
      <c r="B521" s="3" t="n">
        <v>43999</v>
      </c>
      <c r="C521" s="2" t="s">
        <v>130</v>
      </c>
      <c r="D521" s="2" t="s">
        <v>356</v>
      </c>
      <c r="E521" s="2" t="s">
        <v>487</v>
      </c>
      <c r="F521" s="2" t="s">
        <v>434</v>
      </c>
    </row>
    <row r="522" customFormat="false" ht="15" hidden="false" customHeight="false" outlineLevel="0" collapsed="false">
      <c r="A522" s="2" t="s">
        <v>193</v>
      </c>
      <c r="B522" s="3" t="n">
        <v>44121</v>
      </c>
      <c r="C522" s="2" t="s">
        <v>125</v>
      </c>
      <c r="D522" s="2" t="s">
        <v>356</v>
      </c>
      <c r="E522" s="2" t="s">
        <v>487</v>
      </c>
      <c r="F522" s="2" t="s">
        <v>348</v>
      </c>
    </row>
    <row r="523" customFormat="false" ht="15" hidden="false" customHeight="false" outlineLevel="0" collapsed="false">
      <c r="A523" s="2" t="s">
        <v>193</v>
      </c>
      <c r="B523" s="3" t="n">
        <v>44436</v>
      </c>
      <c r="C523" s="2" t="s">
        <v>386</v>
      </c>
      <c r="D523" s="2" t="s">
        <v>356</v>
      </c>
      <c r="E523" s="2" t="s">
        <v>487</v>
      </c>
      <c r="F523" s="2" t="s">
        <v>489</v>
      </c>
    </row>
    <row r="524" customFormat="false" ht="15" hidden="false" customHeight="false" outlineLevel="0" collapsed="false">
      <c r="A524" s="2" t="s">
        <v>193</v>
      </c>
      <c r="B524" s="3" t="n">
        <v>44953</v>
      </c>
      <c r="C524" s="2" t="s">
        <v>147</v>
      </c>
      <c r="D524" s="2" t="s">
        <v>362</v>
      </c>
      <c r="E524" s="2" t="s">
        <v>487</v>
      </c>
      <c r="F524" s="2" t="s">
        <v>348</v>
      </c>
    </row>
    <row r="525" customFormat="false" ht="15" hidden="false" customHeight="false" outlineLevel="0" collapsed="false">
      <c r="A525" s="2" t="s">
        <v>193</v>
      </c>
      <c r="B525" s="3" t="n">
        <v>45042</v>
      </c>
      <c r="C525" s="2" t="s">
        <v>147</v>
      </c>
      <c r="D525" s="2" t="s">
        <v>356</v>
      </c>
      <c r="E525" s="2" t="s">
        <v>487</v>
      </c>
      <c r="F525" s="2" t="s">
        <v>397</v>
      </c>
    </row>
    <row r="526" customFormat="false" ht="15" hidden="false" customHeight="false" outlineLevel="0" collapsed="false">
      <c r="A526" s="2" t="s">
        <v>193</v>
      </c>
      <c r="B526" s="3" t="n">
        <v>45382</v>
      </c>
      <c r="C526" s="2" t="s">
        <v>364</v>
      </c>
      <c r="D526" s="2" t="s">
        <v>356</v>
      </c>
      <c r="E526" s="2" t="s">
        <v>487</v>
      </c>
      <c r="F526" s="2" t="s">
        <v>369</v>
      </c>
    </row>
    <row r="527" customFormat="false" ht="15" hidden="false" customHeight="false" outlineLevel="0" collapsed="false">
      <c r="A527" s="2" t="s">
        <v>193</v>
      </c>
      <c r="B527" s="3" t="n">
        <v>45557</v>
      </c>
      <c r="C527" s="2" t="s">
        <v>30</v>
      </c>
      <c r="D527" s="2" t="s">
        <v>356</v>
      </c>
      <c r="E527" s="2" t="s">
        <v>487</v>
      </c>
      <c r="F527" s="2" t="s">
        <v>380</v>
      </c>
    </row>
    <row r="528" customFormat="false" ht="15" hidden="false" customHeight="false" outlineLevel="0" collapsed="false">
      <c r="A528" s="2" t="s">
        <v>193</v>
      </c>
      <c r="B528" s="3" t="n">
        <v>46131</v>
      </c>
      <c r="C528" s="2" t="s">
        <v>32</v>
      </c>
      <c r="D528" s="2" t="s">
        <v>356</v>
      </c>
      <c r="E528" s="2" t="s">
        <v>487</v>
      </c>
      <c r="F528" s="2" t="s">
        <v>359</v>
      </c>
    </row>
    <row r="529" customFormat="false" ht="15" hidden="false" customHeight="false" outlineLevel="0" collapsed="false">
      <c r="A529" s="2" t="s">
        <v>196</v>
      </c>
      <c r="B529" s="3" t="n">
        <v>32600</v>
      </c>
      <c r="C529" s="2" t="s">
        <v>374</v>
      </c>
      <c r="D529" s="2" t="s">
        <v>375</v>
      </c>
      <c r="E529" s="2" t="s">
        <v>490</v>
      </c>
      <c r="F529" s="2" t="s">
        <v>361</v>
      </c>
    </row>
    <row r="530" customFormat="false" ht="15" hidden="false" customHeight="false" outlineLevel="0" collapsed="false">
      <c r="A530" s="2" t="s">
        <v>196</v>
      </c>
      <c r="B530" s="3" t="n">
        <v>32739</v>
      </c>
      <c r="C530" s="2" t="s">
        <v>240</v>
      </c>
      <c r="D530" s="2" t="s">
        <v>375</v>
      </c>
      <c r="E530" s="2" t="s">
        <v>490</v>
      </c>
      <c r="F530" s="2" t="s">
        <v>397</v>
      </c>
    </row>
    <row r="531" customFormat="false" ht="15" hidden="false" customHeight="false" outlineLevel="0" collapsed="false">
      <c r="A531" s="2" t="s">
        <v>196</v>
      </c>
      <c r="B531" s="3" t="n">
        <v>33166</v>
      </c>
      <c r="C531" s="2" t="s">
        <v>99</v>
      </c>
      <c r="D531" s="2" t="s">
        <v>375</v>
      </c>
      <c r="E531" s="2" t="s">
        <v>490</v>
      </c>
      <c r="F531" s="2" t="s">
        <v>383</v>
      </c>
    </row>
    <row r="532" customFormat="false" ht="15" hidden="false" customHeight="false" outlineLevel="0" collapsed="false">
      <c r="A532" s="2" t="s">
        <v>196</v>
      </c>
      <c r="B532" s="3" t="n">
        <v>33530</v>
      </c>
      <c r="C532" s="2" t="s">
        <v>38</v>
      </c>
      <c r="D532" s="2" t="s">
        <v>375</v>
      </c>
      <c r="E532" s="2" t="s">
        <v>490</v>
      </c>
      <c r="F532" s="2" t="s">
        <v>361</v>
      </c>
    </row>
    <row r="533" customFormat="false" ht="15" hidden="false" customHeight="false" outlineLevel="0" collapsed="false">
      <c r="A533" s="2" t="s">
        <v>196</v>
      </c>
      <c r="B533" s="3" t="n">
        <v>34052</v>
      </c>
      <c r="C533" s="2" t="s">
        <v>267</v>
      </c>
      <c r="D533" s="2" t="s">
        <v>356</v>
      </c>
      <c r="E533" s="2" t="s">
        <v>490</v>
      </c>
      <c r="F533" s="2" t="s">
        <v>369</v>
      </c>
    </row>
    <row r="534" customFormat="false" ht="15" hidden="false" customHeight="false" outlineLevel="0" collapsed="false">
      <c r="A534" s="2" t="s">
        <v>196</v>
      </c>
      <c r="B534" s="3" t="n">
        <v>34231</v>
      </c>
      <c r="C534" s="2" t="s">
        <v>218</v>
      </c>
      <c r="D534" s="2" t="s">
        <v>356</v>
      </c>
      <c r="E534" s="2" t="s">
        <v>490</v>
      </c>
      <c r="F534" s="2" t="s">
        <v>348</v>
      </c>
    </row>
    <row r="535" customFormat="false" ht="15" hidden="false" customHeight="false" outlineLevel="0" collapsed="false">
      <c r="A535" s="2" t="s">
        <v>196</v>
      </c>
      <c r="B535" s="3" t="n">
        <v>34780</v>
      </c>
      <c r="C535" s="2" t="s">
        <v>81</v>
      </c>
      <c r="D535" s="2" t="s">
        <v>356</v>
      </c>
      <c r="E535" s="2" t="s">
        <v>490</v>
      </c>
      <c r="F535" s="2" t="s">
        <v>434</v>
      </c>
    </row>
    <row r="536" customFormat="false" ht="15" hidden="false" customHeight="false" outlineLevel="0" collapsed="false">
      <c r="A536" s="2" t="s">
        <v>196</v>
      </c>
      <c r="B536" s="3" t="n">
        <v>35144</v>
      </c>
      <c r="C536" s="2" t="s">
        <v>378</v>
      </c>
      <c r="D536" s="2" t="s">
        <v>356</v>
      </c>
      <c r="E536" s="2" t="s">
        <v>490</v>
      </c>
      <c r="F536" s="2" t="s">
        <v>348</v>
      </c>
    </row>
    <row r="537" customFormat="false" ht="15" hidden="false" customHeight="false" outlineLevel="0" collapsed="false">
      <c r="A537" s="2" t="s">
        <v>196</v>
      </c>
      <c r="B537" s="3" t="n">
        <v>35385</v>
      </c>
      <c r="C537" s="2" t="s">
        <v>73</v>
      </c>
      <c r="D537" s="2" t="s">
        <v>356</v>
      </c>
      <c r="E537" s="2" t="s">
        <v>490</v>
      </c>
      <c r="F537" s="2" t="s">
        <v>348</v>
      </c>
    </row>
    <row r="538" customFormat="false" ht="15" hidden="false" customHeight="false" outlineLevel="0" collapsed="false">
      <c r="A538" s="2" t="s">
        <v>196</v>
      </c>
      <c r="B538" s="3" t="n">
        <v>35868</v>
      </c>
      <c r="C538" s="2" t="s">
        <v>232</v>
      </c>
      <c r="D538" s="2" t="s">
        <v>356</v>
      </c>
      <c r="E538" s="2" t="s">
        <v>490</v>
      </c>
      <c r="F538" s="2" t="s">
        <v>383</v>
      </c>
    </row>
    <row r="539" customFormat="false" ht="15" hidden="false" customHeight="false" outlineLevel="0" collapsed="false">
      <c r="A539" s="2" t="s">
        <v>196</v>
      </c>
      <c r="B539" s="3" t="n">
        <v>36208</v>
      </c>
      <c r="C539" s="2" t="s">
        <v>381</v>
      </c>
      <c r="D539" s="2" t="s">
        <v>356</v>
      </c>
      <c r="E539" s="2" t="s">
        <v>490</v>
      </c>
      <c r="F539" s="2" t="s">
        <v>361</v>
      </c>
    </row>
    <row r="540" customFormat="false" ht="15" hidden="false" customHeight="false" outlineLevel="0" collapsed="false">
      <c r="A540" s="2" t="s">
        <v>196</v>
      </c>
      <c r="B540" s="3" t="n">
        <v>36549</v>
      </c>
      <c r="C540" s="2" t="s">
        <v>19</v>
      </c>
      <c r="D540" s="2" t="s">
        <v>356</v>
      </c>
      <c r="E540" s="2" t="s">
        <v>490</v>
      </c>
      <c r="F540" s="2" t="s">
        <v>361</v>
      </c>
    </row>
    <row r="541" customFormat="false" ht="15" hidden="false" customHeight="false" outlineLevel="0" collapsed="false">
      <c r="A541" s="2" t="s">
        <v>196</v>
      </c>
      <c r="B541" s="3" t="n">
        <v>36947</v>
      </c>
      <c r="C541" s="2" t="s">
        <v>89</v>
      </c>
      <c r="D541" s="2" t="s">
        <v>356</v>
      </c>
      <c r="E541" s="2" t="s">
        <v>490</v>
      </c>
      <c r="F541" s="2" t="s">
        <v>491</v>
      </c>
    </row>
    <row r="542" customFormat="false" ht="15" hidden="false" customHeight="false" outlineLevel="0" collapsed="false">
      <c r="A542" s="2" t="s">
        <v>196</v>
      </c>
      <c r="B542" s="3" t="n">
        <v>37384</v>
      </c>
      <c r="C542" s="2" t="s">
        <v>115</v>
      </c>
      <c r="D542" s="2" t="s">
        <v>356</v>
      </c>
      <c r="E542" s="2" t="s">
        <v>490</v>
      </c>
      <c r="F542" s="2" t="s">
        <v>383</v>
      </c>
    </row>
    <row r="543" customFormat="false" ht="15" hidden="false" customHeight="false" outlineLevel="0" collapsed="false">
      <c r="A543" s="2" t="s">
        <v>196</v>
      </c>
      <c r="B543" s="3" t="n">
        <v>37597</v>
      </c>
      <c r="C543" s="2" t="s">
        <v>135</v>
      </c>
      <c r="D543" s="2" t="s">
        <v>356</v>
      </c>
      <c r="E543" s="2" t="s">
        <v>490</v>
      </c>
      <c r="F543" s="2" t="s">
        <v>351</v>
      </c>
    </row>
    <row r="544" customFormat="false" ht="15" hidden="false" customHeight="false" outlineLevel="0" collapsed="false">
      <c r="A544" s="2" t="s">
        <v>196</v>
      </c>
      <c r="B544" s="3" t="n">
        <v>37667</v>
      </c>
      <c r="C544" s="2" t="s">
        <v>135</v>
      </c>
      <c r="D544" s="2" t="s">
        <v>362</v>
      </c>
      <c r="E544" s="2" t="s">
        <v>490</v>
      </c>
      <c r="F544" s="2" t="s">
        <v>353</v>
      </c>
    </row>
    <row r="545" customFormat="false" ht="15" hidden="false" customHeight="false" outlineLevel="0" collapsed="false">
      <c r="A545" s="2" t="s">
        <v>196</v>
      </c>
      <c r="B545" s="3" t="n">
        <v>37885</v>
      </c>
      <c r="C545" s="2" t="s">
        <v>91</v>
      </c>
      <c r="D545" s="2" t="s">
        <v>356</v>
      </c>
      <c r="E545" s="2" t="s">
        <v>490</v>
      </c>
      <c r="F545" s="2" t="s">
        <v>369</v>
      </c>
    </row>
    <row r="546" customFormat="false" ht="15" hidden="false" customHeight="false" outlineLevel="0" collapsed="false">
      <c r="A546" s="2" t="s">
        <v>196</v>
      </c>
      <c r="B546" s="3" t="n">
        <v>38284</v>
      </c>
      <c r="C546" s="2" t="s">
        <v>263</v>
      </c>
      <c r="D546" s="2" t="s">
        <v>356</v>
      </c>
      <c r="E546" s="2" t="s">
        <v>490</v>
      </c>
      <c r="F546" s="2" t="s">
        <v>351</v>
      </c>
    </row>
    <row r="547" customFormat="false" ht="15" hidden="false" customHeight="false" outlineLevel="0" collapsed="false">
      <c r="A547" s="2" t="s">
        <v>196</v>
      </c>
      <c r="B547" s="3" t="n">
        <v>38322</v>
      </c>
      <c r="C547" s="2" t="s">
        <v>263</v>
      </c>
      <c r="D547" s="2" t="s">
        <v>379</v>
      </c>
      <c r="E547" s="2" t="s">
        <v>490</v>
      </c>
      <c r="F547" s="2" t="s">
        <v>348</v>
      </c>
    </row>
    <row r="548" customFormat="false" ht="15" hidden="false" customHeight="false" outlineLevel="0" collapsed="false">
      <c r="A548" s="2" t="s">
        <v>196</v>
      </c>
      <c r="B548" s="3" t="n">
        <v>38816</v>
      </c>
      <c r="C548" s="2" t="s">
        <v>123</v>
      </c>
      <c r="D548" s="2" t="s">
        <v>356</v>
      </c>
      <c r="E548" s="2" t="s">
        <v>490</v>
      </c>
      <c r="F548" s="2" t="s">
        <v>351</v>
      </c>
    </row>
    <row r="549" customFormat="false" ht="15" hidden="false" customHeight="false" outlineLevel="0" collapsed="false">
      <c r="A549" s="2" t="s">
        <v>196</v>
      </c>
      <c r="B549" s="3" t="n">
        <v>38977</v>
      </c>
      <c r="C549" s="2" t="s">
        <v>110</v>
      </c>
      <c r="D549" s="2" t="s">
        <v>356</v>
      </c>
      <c r="E549" s="2" t="s">
        <v>490</v>
      </c>
      <c r="F549" s="2" t="s">
        <v>383</v>
      </c>
    </row>
    <row r="550" customFormat="false" ht="15" hidden="false" customHeight="false" outlineLevel="0" collapsed="false">
      <c r="A550" s="2" t="s">
        <v>196</v>
      </c>
      <c r="B550" s="3" t="n">
        <v>39494</v>
      </c>
      <c r="C550" s="2" t="s">
        <v>297</v>
      </c>
      <c r="D550" s="2" t="s">
        <v>362</v>
      </c>
      <c r="E550" s="2" t="s">
        <v>490</v>
      </c>
      <c r="F550" s="2" t="s">
        <v>354</v>
      </c>
    </row>
    <row r="551" customFormat="false" ht="15" hidden="false" customHeight="false" outlineLevel="0" collapsed="false">
      <c r="A551" s="2" t="s">
        <v>196</v>
      </c>
      <c r="B551" s="3" t="n">
        <v>39551</v>
      </c>
      <c r="C551" s="2" t="s">
        <v>297</v>
      </c>
      <c r="D551" s="2" t="s">
        <v>356</v>
      </c>
      <c r="E551" s="2" t="s">
        <v>490</v>
      </c>
      <c r="F551" s="2" t="s">
        <v>359</v>
      </c>
    </row>
    <row r="552" customFormat="false" ht="15" hidden="false" customHeight="false" outlineLevel="0" collapsed="false">
      <c r="A552" s="2" t="s">
        <v>196</v>
      </c>
      <c r="B552" s="3" t="n">
        <v>39932</v>
      </c>
      <c r="C552" s="2" t="s">
        <v>312</v>
      </c>
      <c r="D552" s="2" t="s">
        <v>352</v>
      </c>
      <c r="E552" s="2" t="s">
        <v>490</v>
      </c>
      <c r="F552" s="2" t="s">
        <v>348</v>
      </c>
    </row>
    <row r="553" customFormat="false" ht="15" hidden="false" customHeight="false" outlineLevel="0" collapsed="false">
      <c r="A553" s="2" t="s">
        <v>196</v>
      </c>
      <c r="B553" s="3" t="n">
        <v>39949</v>
      </c>
      <c r="C553" s="2" t="s">
        <v>312</v>
      </c>
      <c r="D553" s="2" t="s">
        <v>356</v>
      </c>
      <c r="E553" s="2" t="s">
        <v>490</v>
      </c>
      <c r="F553" s="2" t="s">
        <v>369</v>
      </c>
    </row>
    <row r="554" customFormat="false" ht="15" hidden="false" customHeight="false" outlineLevel="0" collapsed="false">
      <c r="A554" s="2" t="s">
        <v>196</v>
      </c>
      <c r="B554" s="3" t="n">
        <v>40054</v>
      </c>
      <c r="C554" s="2" t="s">
        <v>42</v>
      </c>
      <c r="D554" s="2" t="s">
        <v>356</v>
      </c>
      <c r="E554" s="2" t="s">
        <v>490</v>
      </c>
      <c r="F554" s="2" t="s">
        <v>359</v>
      </c>
    </row>
    <row r="555" customFormat="false" ht="15" hidden="false" customHeight="false" outlineLevel="0" collapsed="false">
      <c r="A555" s="2" t="s">
        <v>196</v>
      </c>
      <c r="B555" s="3" t="n">
        <v>40525</v>
      </c>
      <c r="C555" s="2" t="s">
        <v>187</v>
      </c>
      <c r="D555" s="2" t="s">
        <v>356</v>
      </c>
      <c r="E555" s="2" t="s">
        <v>490</v>
      </c>
      <c r="F555" s="2" t="s">
        <v>348</v>
      </c>
    </row>
    <row r="556" customFormat="false" ht="15" hidden="false" customHeight="false" outlineLevel="0" collapsed="false">
      <c r="A556" s="2" t="s">
        <v>196</v>
      </c>
      <c r="B556" s="3" t="n">
        <v>40614</v>
      </c>
      <c r="C556" s="2" t="s">
        <v>187</v>
      </c>
      <c r="D556" s="2" t="s">
        <v>362</v>
      </c>
      <c r="E556" s="2" t="s">
        <v>490</v>
      </c>
      <c r="F556" s="2" t="s">
        <v>351</v>
      </c>
    </row>
    <row r="557" customFormat="false" ht="15" hidden="false" customHeight="false" outlineLevel="0" collapsed="false">
      <c r="A557" s="2" t="s">
        <v>196</v>
      </c>
      <c r="B557" s="3" t="n">
        <v>40783</v>
      </c>
      <c r="C557" s="2" t="s">
        <v>314</v>
      </c>
      <c r="D557" s="2" t="s">
        <v>356</v>
      </c>
      <c r="E557" s="2" t="s">
        <v>490</v>
      </c>
      <c r="F557" s="2" t="s">
        <v>492</v>
      </c>
    </row>
    <row r="558" customFormat="false" ht="15" hidden="false" customHeight="false" outlineLevel="0" collapsed="false">
      <c r="A558" s="2" t="s">
        <v>196</v>
      </c>
      <c r="B558" s="3" t="n">
        <v>41216</v>
      </c>
      <c r="C558" s="2" t="s">
        <v>206</v>
      </c>
      <c r="D558" s="2" t="s">
        <v>356</v>
      </c>
      <c r="E558" s="2" t="s">
        <v>490</v>
      </c>
      <c r="F558" s="2" t="s">
        <v>359</v>
      </c>
    </row>
    <row r="559" customFormat="false" ht="15" hidden="false" customHeight="false" outlineLevel="0" collapsed="false">
      <c r="A559" s="2" t="s">
        <v>196</v>
      </c>
      <c r="B559" s="3" t="n">
        <v>41588</v>
      </c>
      <c r="C559" s="2" t="s">
        <v>385</v>
      </c>
      <c r="D559" s="2" t="s">
        <v>356</v>
      </c>
      <c r="E559" s="2" t="s">
        <v>490</v>
      </c>
      <c r="F559" s="2" t="s">
        <v>348</v>
      </c>
    </row>
    <row r="560" customFormat="false" ht="15" hidden="false" customHeight="false" outlineLevel="0" collapsed="false">
      <c r="A560" s="2" t="s">
        <v>196</v>
      </c>
      <c r="B560" s="3" t="n">
        <v>42072</v>
      </c>
      <c r="C560" s="2" t="s">
        <v>23</v>
      </c>
      <c r="D560" s="2" t="s">
        <v>362</v>
      </c>
      <c r="E560" s="2" t="s">
        <v>490</v>
      </c>
      <c r="F560" s="2" t="s">
        <v>360</v>
      </c>
    </row>
    <row r="561" customFormat="false" ht="15" hidden="false" customHeight="false" outlineLevel="0" collapsed="false">
      <c r="A561" s="2" t="s">
        <v>196</v>
      </c>
      <c r="B561" s="3" t="n">
        <v>42141</v>
      </c>
      <c r="C561" s="2" t="s">
        <v>23</v>
      </c>
      <c r="D561" s="2" t="s">
        <v>356</v>
      </c>
      <c r="E561" s="2" t="s">
        <v>490</v>
      </c>
      <c r="F561" s="2" t="s">
        <v>361</v>
      </c>
    </row>
    <row r="562" customFormat="false" ht="15" hidden="false" customHeight="false" outlineLevel="0" collapsed="false">
      <c r="A562" s="2" t="s">
        <v>196</v>
      </c>
      <c r="B562" s="3" t="n">
        <v>42428</v>
      </c>
      <c r="C562" s="2" t="s">
        <v>355</v>
      </c>
      <c r="D562" s="2" t="s">
        <v>356</v>
      </c>
      <c r="E562" s="2" t="s">
        <v>490</v>
      </c>
      <c r="F562" s="2" t="s">
        <v>382</v>
      </c>
    </row>
    <row r="563" customFormat="false" ht="15" hidden="false" customHeight="false" outlineLevel="0" collapsed="false">
      <c r="A563" s="2" t="s">
        <v>196</v>
      </c>
      <c r="B563" s="3" t="n">
        <v>42693</v>
      </c>
      <c r="C563" s="2" t="s">
        <v>138</v>
      </c>
      <c r="D563" s="2" t="s">
        <v>356</v>
      </c>
      <c r="E563" s="2" t="s">
        <v>490</v>
      </c>
      <c r="F563" s="2" t="s">
        <v>361</v>
      </c>
    </row>
    <row r="564" customFormat="false" ht="15" hidden="false" customHeight="false" outlineLevel="0" collapsed="false">
      <c r="A564" s="2" t="s">
        <v>196</v>
      </c>
      <c r="B564" s="3" t="n">
        <v>43219</v>
      </c>
      <c r="C564" s="2" t="s">
        <v>11</v>
      </c>
      <c r="D564" s="2" t="s">
        <v>356</v>
      </c>
      <c r="E564" s="2" t="s">
        <v>490</v>
      </c>
      <c r="F564" s="2" t="s">
        <v>359</v>
      </c>
    </row>
    <row r="565" customFormat="false" ht="15" hidden="false" customHeight="false" outlineLevel="0" collapsed="false">
      <c r="A565" s="2" t="s">
        <v>196</v>
      </c>
      <c r="B565" s="3" t="n">
        <v>43439</v>
      </c>
      <c r="C565" s="2" t="s">
        <v>153</v>
      </c>
      <c r="D565" s="2" t="s">
        <v>356</v>
      </c>
      <c r="E565" s="2" t="s">
        <v>490</v>
      </c>
      <c r="F565" s="2" t="s">
        <v>380</v>
      </c>
    </row>
    <row r="566" customFormat="false" ht="15" hidden="false" customHeight="false" outlineLevel="0" collapsed="false">
      <c r="A566" s="2" t="s">
        <v>196</v>
      </c>
      <c r="B566" s="3" t="n">
        <v>43738</v>
      </c>
      <c r="C566" s="2" t="s">
        <v>130</v>
      </c>
      <c r="D566" s="2" t="s">
        <v>356</v>
      </c>
      <c r="E566" s="2" t="s">
        <v>490</v>
      </c>
      <c r="F566" s="2" t="s">
        <v>361</v>
      </c>
    </row>
    <row r="567" customFormat="false" ht="15" hidden="false" customHeight="false" outlineLevel="0" collapsed="false">
      <c r="A567" s="2" t="s">
        <v>196</v>
      </c>
      <c r="B567" s="3" t="n">
        <v>44136</v>
      </c>
      <c r="C567" s="2" t="s">
        <v>125</v>
      </c>
      <c r="D567" s="2" t="s">
        <v>356</v>
      </c>
      <c r="E567" s="2" t="s">
        <v>490</v>
      </c>
      <c r="F567" s="2" t="s">
        <v>383</v>
      </c>
    </row>
    <row r="568" customFormat="false" ht="15" hidden="false" customHeight="false" outlineLevel="0" collapsed="false">
      <c r="A568" s="2" t="s">
        <v>196</v>
      </c>
      <c r="B568" s="3" t="n">
        <v>44532</v>
      </c>
      <c r="C568" s="2" t="s">
        <v>386</v>
      </c>
      <c r="D568" s="2" t="s">
        <v>356</v>
      </c>
      <c r="E568" s="2" t="s">
        <v>490</v>
      </c>
      <c r="F568" s="2" t="s">
        <v>382</v>
      </c>
    </row>
    <row r="569" customFormat="false" ht="15" hidden="false" customHeight="false" outlineLevel="0" collapsed="false">
      <c r="A569" s="2" t="s">
        <v>196</v>
      </c>
      <c r="B569" s="3" t="n">
        <v>44808</v>
      </c>
      <c r="C569" s="2" t="s">
        <v>147</v>
      </c>
      <c r="D569" s="2" t="s">
        <v>356</v>
      </c>
      <c r="E569" s="2" t="s">
        <v>490</v>
      </c>
      <c r="F569" s="2" t="s">
        <v>377</v>
      </c>
    </row>
    <row r="570" customFormat="false" ht="15" hidden="false" customHeight="false" outlineLevel="0" collapsed="false">
      <c r="A570" s="2" t="s">
        <v>196</v>
      </c>
      <c r="B570" s="3" t="n">
        <v>45424</v>
      </c>
      <c r="C570" s="2" t="s">
        <v>364</v>
      </c>
      <c r="D570" s="2" t="s">
        <v>356</v>
      </c>
      <c r="E570" s="2" t="s">
        <v>490</v>
      </c>
      <c r="F570" s="2" t="s">
        <v>383</v>
      </c>
    </row>
    <row r="571" customFormat="false" ht="15" hidden="false" customHeight="false" outlineLevel="0" collapsed="false">
      <c r="A571" s="2" t="s">
        <v>196</v>
      </c>
      <c r="B571" s="3" t="n">
        <v>45725</v>
      </c>
      <c r="C571" s="2" t="s">
        <v>30</v>
      </c>
      <c r="D571" s="2" t="s">
        <v>356</v>
      </c>
      <c r="E571" s="2" t="s">
        <v>490</v>
      </c>
      <c r="F571" s="2" t="s">
        <v>361</v>
      </c>
    </row>
    <row r="572" customFormat="false" ht="15" hidden="false" customHeight="false" outlineLevel="0" collapsed="false">
      <c r="A572" s="2" t="s">
        <v>196</v>
      </c>
      <c r="B572" s="3" t="n">
        <v>45886</v>
      </c>
      <c r="C572" s="2" t="s">
        <v>32</v>
      </c>
      <c r="D572" s="2" t="s">
        <v>356</v>
      </c>
      <c r="E572" s="2" t="s">
        <v>490</v>
      </c>
      <c r="F572" s="2" t="s">
        <v>383</v>
      </c>
    </row>
    <row r="573" customFormat="false" ht="15" hidden="false" customHeight="false" outlineLevel="0" collapsed="false">
      <c r="A573" s="2" t="s">
        <v>197</v>
      </c>
      <c r="B573" s="3" t="n">
        <v>46088</v>
      </c>
      <c r="C573" s="2" t="s">
        <v>32</v>
      </c>
      <c r="D573" s="2" t="s">
        <v>362</v>
      </c>
      <c r="E573" s="2" t="s">
        <v>493</v>
      </c>
      <c r="F573" s="2" t="s">
        <v>360</v>
      </c>
    </row>
    <row r="574" customFormat="false" ht="15" hidden="false" customHeight="false" outlineLevel="0" collapsed="false">
      <c r="A574" s="2" t="s">
        <v>198</v>
      </c>
      <c r="B574" s="3" t="n">
        <v>32634</v>
      </c>
      <c r="C574" s="2" t="s">
        <v>374</v>
      </c>
      <c r="D574" s="2" t="s">
        <v>375</v>
      </c>
      <c r="E574" s="2" t="s">
        <v>494</v>
      </c>
      <c r="F574" s="2" t="s">
        <v>383</v>
      </c>
    </row>
    <row r="575" customFormat="false" ht="15" hidden="false" customHeight="false" outlineLevel="0" collapsed="false">
      <c r="A575" s="2" t="s">
        <v>198</v>
      </c>
      <c r="B575" s="3" t="n">
        <v>34065</v>
      </c>
      <c r="C575" s="2" t="s">
        <v>267</v>
      </c>
      <c r="D575" s="2" t="s">
        <v>356</v>
      </c>
      <c r="E575" s="2" t="s">
        <v>494</v>
      </c>
      <c r="F575" s="2" t="s">
        <v>348</v>
      </c>
    </row>
    <row r="576" customFormat="false" ht="15" hidden="false" customHeight="false" outlineLevel="0" collapsed="false">
      <c r="A576" s="2" t="s">
        <v>198</v>
      </c>
      <c r="B576" s="3" t="n">
        <v>35077</v>
      </c>
      <c r="C576" s="2" t="s">
        <v>378</v>
      </c>
      <c r="D576" s="2" t="s">
        <v>356</v>
      </c>
      <c r="E576" s="2" t="s">
        <v>494</v>
      </c>
      <c r="F576" s="2" t="s">
        <v>366</v>
      </c>
    </row>
    <row r="577" customFormat="false" ht="15" hidden="false" customHeight="false" outlineLevel="0" collapsed="false">
      <c r="A577" s="2" t="s">
        <v>198</v>
      </c>
      <c r="B577" s="3" t="n">
        <v>35329</v>
      </c>
      <c r="C577" s="2" t="s">
        <v>73</v>
      </c>
      <c r="D577" s="2" t="s">
        <v>356</v>
      </c>
      <c r="E577" s="2" t="s">
        <v>494</v>
      </c>
      <c r="F577" s="2" t="s">
        <v>353</v>
      </c>
    </row>
    <row r="578" customFormat="false" ht="15" hidden="false" customHeight="false" outlineLevel="0" collapsed="false">
      <c r="A578" s="2" t="s">
        <v>198</v>
      </c>
      <c r="B578" s="3" t="n">
        <v>35819</v>
      </c>
      <c r="C578" s="2" t="s">
        <v>232</v>
      </c>
      <c r="D578" s="2" t="s">
        <v>362</v>
      </c>
      <c r="E578" s="2" t="s">
        <v>494</v>
      </c>
      <c r="F578" s="2" t="s">
        <v>360</v>
      </c>
    </row>
    <row r="579" customFormat="false" ht="15" hidden="false" customHeight="false" outlineLevel="0" collapsed="false">
      <c r="A579" s="2" t="s">
        <v>198</v>
      </c>
      <c r="B579" s="3" t="n">
        <v>36274</v>
      </c>
      <c r="C579" s="2" t="s">
        <v>381</v>
      </c>
      <c r="D579" s="2" t="s">
        <v>356</v>
      </c>
      <c r="E579" s="2" t="s">
        <v>494</v>
      </c>
      <c r="F579" s="2" t="s">
        <v>449</v>
      </c>
    </row>
    <row r="580" customFormat="false" ht="15" hidden="false" customHeight="false" outlineLevel="0" collapsed="false">
      <c r="A580" s="2" t="s">
        <v>198</v>
      </c>
      <c r="B580" s="3" t="n">
        <v>36494</v>
      </c>
      <c r="C580" s="2" t="s">
        <v>19</v>
      </c>
      <c r="D580" s="2" t="s">
        <v>379</v>
      </c>
      <c r="E580" s="2" t="s">
        <v>494</v>
      </c>
      <c r="F580" s="2" t="s">
        <v>495</v>
      </c>
    </row>
    <row r="581" customFormat="false" ht="15" hidden="false" customHeight="false" outlineLevel="0" collapsed="false">
      <c r="A581" s="2" t="s">
        <v>198</v>
      </c>
      <c r="B581" s="3" t="n">
        <v>36597</v>
      </c>
      <c r="C581" s="2" t="s">
        <v>19</v>
      </c>
      <c r="D581" s="2" t="s">
        <v>356</v>
      </c>
      <c r="E581" s="2" t="s">
        <v>494</v>
      </c>
      <c r="F581" s="2" t="s">
        <v>359</v>
      </c>
    </row>
    <row r="582" customFormat="false" ht="15" hidden="false" customHeight="false" outlineLevel="0" collapsed="false">
      <c r="A582" s="2" t="s">
        <v>198</v>
      </c>
      <c r="B582" s="3" t="n">
        <v>36834</v>
      </c>
      <c r="C582" s="2" t="s">
        <v>89</v>
      </c>
      <c r="D582" s="2" t="s">
        <v>356</v>
      </c>
      <c r="E582" s="2" t="s">
        <v>494</v>
      </c>
      <c r="F582" s="2" t="s">
        <v>383</v>
      </c>
    </row>
    <row r="583" customFormat="false" ht="15" hidden="false" customHeight="false" outlineLevel="0" collapsed="false">
      <c r="A583" s="2" t="s">
        <v>198</v>
      </c>
      <c r="B583" s="3" t="n">
        <v>37121</v>
      </c>
      <c r="C583" s="2" t="s">
        <v>115</v>
      </c>
      <c r="D583" s="2" t="s">
        <v>356</v>
      </c>
      <c r="E583" s="2" t="s">
        <v>494</v>
      </c>
      <c r="F583" s="2" t="s">
        <v>365</v>
      </c>
    </row>
    <row r="584" customFormat="false" ht="15" hidden="false" customHeight="false" outlineLevel="0" collapsed="false">
      <c r="A584" s="2" t="s">
        <v>198</v>
      </c>
      <c r="B584" s="3" t="n">
        <v>37730</v>
      </c>
      <c r="C584" s="2" t="s">
        <v>135</v>
      </c>
      <c r="D584" s="2" t="s">
        <v>356</v>
      </c>
      <c r="E584" s="2" t="s">
        <v>494</v>
      </c>
      <c r="F584" s="2" t="s">
        <v>353</v>
      </c>
    </row>
    <row r="585" customFormat="false" ht="15" hidden="false" customHeight="false" outlineLevel="0" collapsed="false">
      <c r="A585" s="2" t="s">
        <v>198</v>
      </c>
      <c r="B585" s="3" t="n">
        <v>37857</v>
      </c>
      <c r="C585" s="2" t="s">
        <v>91</v>
      </c>
      <c r="D585" s="2" t="s">
        <v>356</v>
      </c>
      <c r="E585" s="2" t="s">
        <v>494</v>
      </c>
      <c r="F585" s="2" t="s">
        <v>365</v>
      </c>
    </row>
    <row r="586" customFormat="false" ht="15" hidden="false" customHeight="false" outlineLevel="0" collapsed="false">
      <c r="A586" s="2" t="s">
        <v>198</v>
      </c>
      <c r="B586" s="3" t="n">
        <v>38020</v>
      </c>
      <c r="C586" s="2" t="s">
        <v>91</v>
      </c>
      <c r="D586" s="2" t="s">
        <v>379</v>
      </c>
      <c r="E586" s="2" t="s">
        <v>494</v>
      </c>
      <c r="F586" s="2" t="s">
        <v>359</v>
      </c>
    </row>
    <row r="587" customFormat="false" ht="15" hidden="false" customHeight="false" outlineLevel="0" collapsed="false">
      <c r="A587" s="2" t="s">
        <v>198</v>
      </c>
      <c r="B587" s="3" t="n">
        <v>38451</v>
      </c>
      <c r="C587" s="2" t="s">
        <v>263</v>
      </c>
      <c r="D587" s="2" t="s">
        <v>356</v>
      </c>
      <c r="E587" s="2" t="s">
        <v>494</v>
      </c>
      <c r="F587" s="2" t="s">
        <v>383</v>
      </c>
    </row>
    <row r="588" customFormat="false" ht="15" hidden="false" customHeight="false" outlineLevel="0" collapsed="false">
      <c r="A588" s="2" t="s">
        <v>198</v>
      </c>
      <c r="B588" s="3" t="n">
        <v>38605</v>
      </c>
      <c r="C588" s="2" t="s">
        <v>123</v>
      </c>
      <c r="D588" s="2" t="s">
        <v>356</v>
      </c>
      <c r="E588" s="2" t="s">
        <v>494</v>
      </c>
      <c r="F588" s="2" t="s">
        <v>359</v>
      </c>
    </row>
    <row r="589" customFormat="false" ht="15" hidden="false" customHeight="false" outlineLevel="0" collapsed="false">
      <c r="A589" s="2" t="s">
        <v>198</v>
      </c>
      <c r="B589" s="3" t="n">
        <v>39116</v>
      </c>
      <c r="C589" s="2" t="s">
        <v>110</v>
      </c>
      <c r="D589" s="2" t="s">
        <v>356</v>
      </c>
      <c r="E589" s="2" t="s">
        <v>494</v>
      </c>
      <c r="F589" s="2" t="s">
        <v>361</v>
      </c>
    </row>
    <row r="590" customFormat="false" ht="15" hidden="false" customHeight="false" outlineLevel="0" collapsed="false">
      <c r="A590" s="2" t="s">
        <v>198</v>
      </c>
      <c r="B590" s="3" t="n">
        <v>39425</v>
      </c>
      <c r="C590" s="2" t="s">
        <v>297</v>
      </c>
      <c r="D590" s="2" t="s">
        <v>356</v>
      </c>
      <c r="E590" s="2" t="s">
        <v>494</v>
      </c>
      <c r="F590" s="2" t="s">
        <v>359</v>
      </c>
    </row>
    <row r="591" customFormat="false" ht="15" hidden="false" customHeight="false" outlineLevel="0" collapsed="false">
      <c r="A591" s="2" t="s">
        <v>198</v>
      </c>
      <c r="B591" s="3" t="n">
        <v>39795</v>
      </c>
      <c r="C591" s="2" t="s">
        <v>312</v>
      </c>
      <c r="D591" s="2" t="s">
        <v>356</v>
      </c>
      <c r="E591" s="2" t="s">
        <v>494</v>
      </c>
      <c r="F591" s="2" t="s">
        <v>361</v>
      </c>
    </row>
    <row r="592" customFormat="false" ht="15" hidden="false" customHeight="false" outlineLevel="0" collapsed="false">
      <c r="A592" s="2" t="s">
        <v>198</v>
      </c>
      <c r="B592" s="3" t="n">
        <v>42842</v>
      </c>
      <c r="C592" s="2" t="s">
        <v>138</v>
      </c>
      <c r="D592" s="2" t="s">
        <v>356</v>
      </c>
      <c r="E592" s="2" t="s">
        <v>494</v>
      </c>
      <c r="F592" s="2" t="s">
        <v>360</v>
      </c>
    </row>
    <row r="593" customFormat="false" ht="15" hidden="false" customHeight="false" outlineLevel="0" collapsed="false">
      <c r="A593" s="2" t="s">
        <v>201</v>
      </c>
      <c r="B593" s="3" t="n">
        <v>32550</v>
      </c>
      <c r="C593" s="2" t="s">
        <v>374</v>
      </c>
      <c r="D593" s="2" t="s">
        <v>375</v>
      </c>
      <c r="E593" s="2" t="s">
        <v>496</v>
      </c>
      <c r="F593" s="2" t="s">
        <v>360</v>
      </c>
    </row>
    <row r="594" customFormat="false" ht="15" hidden="false" customHeight="false" outlineLevel="0" collapsed="false">
      <c r="A594" s="2" t="s">
        <v>201</v>
      </c>
      <c r="B594" s="3" t="n">
        <v>32823</v>
      </c>
      <c r="C594" s="2" t="s">
        <v>240</v>
      </c>
      <c r="D594" s="2" t="s">
        <v>375</v>
      </c>
      <c r="E594" s="2" t="s">
        <v>496</v>
      </c>
      <c r="F594" s="2" t="s">
        <v>360</v>
      </c>
    </row>
    <row r="595" customFormat="false" ht="15" hidden="false" customHeight="false" outlineLevel="0" collapsed="false">
      <c r="A595" s="2" t="s">
        <v>201</v>
      </c>
      <c r="B595" s="3" t="n">
        <v>33884</v>
      </c>
      <c r="C595" s="2" t="s">
        <v>267</v>
      </c>
      <c r="D595" s="2" t="s">
        <v>379</v>
      </c>
      <c r="E595" s="2" t="s">
        <v>496</v>
      </c>
      <c r="F595" s="2" t="s">
        <v>361</v>
      </c>
    </row>
    <row r="596" customFormat="false" ht="15" hidden="false" customHeight="false" outlineLevel="0" collapsed="false">
      <c r="A596" s="2" t="s">
        <v>201</v>
      </c>
      <c r="B596" s="3" t="n">
        <v>34344</v>
      </c>
      <c r="C596" s="2" t="s">
        <v>218</v>
      </c>
      <c r="D596" s="2" t="s">
        <v>362</v>
      </c>
      <c r="E596" s="2" t="s">
        <v>496</v>
      </c>
      <c r="F596" s="2" t="s">
        <v>383</v>
      </c>
    </row>
    <row r="597" customFormat="false" ht="15" hidden="false" customHeight="false" outlineLevel="0" collapsed="false">
      <c r="A597" s="2" t="s">
        <v>201</v>
      </c>
      <c r="B597" s="3" t="n">
        <v>34706</v>
      </c>
      <c r="C597" s="2" t="s">
        <v>81</v>
      </c>
      <c r="D597" s="2" t="s">
        <v>362</v>
      </c>
      <c r="E597" s="2" t="s">
        <v>496</v>
      </c>
      <c r="F597" s="2" t="s">
        <v>369</v>
      </c>
    </row>
    <row r="598" customFormat="false" ht="15" hidden="false" customHeight="false" outlineLevel="0" collapsed="false">
      <c r="A598" s="2" t="s">
        <v>204</v>
      </c>
      <c r="B598" s="3" t="n">
        <v>44161</v>
      </c>
      <c r="C598" s="2" t="s">
        <v>125</v>
      </c>
      <c r="D598" s="2" t="s">
        <v>346</v>
      </c>
      <c r="E598" s="2" t="s">
        <v>497</v>
      </c>
      <c r="F598" s="2" t="s">
        <v>363</v>
      </c>
    </row>
    <row r="599" customFormat="false" ht="15" hidden="false" customHeight="false" outlineLevel="0" collapsed="false">
      <c r="A599" s="2" t="s">
        <v>205</v>
      </c>
      <c r="B599" s="3" t="n">
        <v>41170</v>
      </c>
      <c r="C599" s="2" t="s">
        <v>206</v>
      </c>
      <c r="D599" s="2" t="s">
        <v>352</v>
      </c>
      <c r="E599" s="2" t="s">
        <v>498</v>
      </c>
      <c r="F599" s="2" t="s">
        <v>360</v>
      </c>
    </row>
    <row r="600" customFormat="false" ht="15" hidden="false" customHeight="false" outlineLevel="0" collapsed="false">
      <c r="A600" s="2" t="s">
        <v>207</v>
      </c>
      <c r="B600" s="3" t="n">
        <v>36503</v>
      </c>
      <c r="C600" s="2" t="s">
        <v>19</v>
      </c>
      <c r="D600" s="2" t="s">
        <v>412</v>
      </c>
      <c r="E600" s="2" t="s">
        <v>499</v>
      </c>
      <c r="F600" s="2" t="s">
        <v>358</v>
      </c>
    </row>
    <row r="601" customFormat="false" ht="15" hidden="false" customHeight="false" outlineLevel="0" collapsed="false">
      <c r="A601" s="2" t="s">
        <v>208</v>
      </c>
      <c r="B601" s="3" t="n">
        <v>41619</v>
      </c>
      <c r="C601" s="2" t="s">
        <v>385</v>
      </c>
      <c r="D601" s="2" t="s">
        <v>352</v>
      </c>
      <c r="E601" s="2" t="s">
        <v>500</v>
      </c>
      <c r="F601" s="2" t="s">
        <v>351</v>
      </c>
    </row>
    <row r="602" customFormat="false" ht="15" hidden="false" customHeight="false" outlineLevel="0" collapsed="false">
      <c r="A602" s="2" t="s">
        <v>208</v>
      </c>
      <c r="B602" s="3" t="n">
        <v>43573</v>
      </c>
      <c r="C602" s="2" t="s">
        <v>153</v>
      </c>
      <c r="D602" s="2" t="s">
        <v>346</v>
      </c>
      <c r="E602" s="2" t="s">
        <v>500</v>
      </c>
      <c r="F602" s="2" t="s">
        <v>383</v>
      </c>
    </row>
    <row r="603" customFormat="false" ht="15" hidden="false" customHeight="false" outlineLevel="0" collapsed="false">
      <c r="A603" s="2" t="s">
        <v>210</v>
      </c>
      <c r="B603" s="3" t="n">
        <v>32459</v>
      </c>
      <c r="C603" s="2" t="s">
        <v>374</v>
      </c>
      <c r="D603" s="2" t="s">
        <v>375</v>
      </c>
      <c r="E603" s="2" t="s">
        <v>501</v>
      </c>
      <c r="F603" s="2" t="s">
        <v>383</v>
      </c>
    </row>
    <row r="604" customFormat="false" ht="15" hidden="false" customHeight="false" outlineLevel="0" collapsed="false">
      <c r="A604" s="2" t="s">
        <v>210</v>
      </c>
      <c r="B604" s="3" t="n">
        <v>34461</v>
      </c>
      <c r="C604" s="2" t="s">
        <v>218</v>
      </c>
      <c r="D604" s="2" t="s">
        <v>356</v>
      </c>
      <c r="E604" s="2" t="s">
        <v>501</v>
      </c>
      <c r="F604" s="2" t="s">
        <v>351</v>
      </c>
    </row>
    <row r="605" customFormat="false" ht="15" hidden="false" customHeight="false" outlineLevel="0" collapsed="false">
      <c r="A605" s="2" t="s">
        <v>210</v>
      </c>
      <c r="B605" s="3" t="n">
        <v>34777</v>
      </c>
      <c r="C605" s="2" t="s">
        <v>81</v>
      </c>
      <c r="D605" s="2" t="s">
        <v>356</v>
      </c>
      <c r="E605" s="2" t="s">
        <v>501</v>
      </c>
      <c r="F605" s="2" t="s">
        <v>348</v>
      </c>
    </row>
    <row r="606" customFormat="false" ht="15" hidden="false" customHeight="false" outlineLevel="0" collapsed="false">
      <c r="A606" s="2" t="s">
        <v>210</v>
      </c>
      <c r="B606" s="3" t="n">
        <v>35066</v>
      </c>
      <c r="C606" s="2" t="s">
        <v>378</v>
      </c>
      <c r="D606" s="2" t="s">
        <v>356</v>
      </c>
      <c r="E606" s="2" t="s">
        <v>501</v>
      </c>
      <c r="F606" s="2" t="s">
        <v>351</v>
      </c>
    </row>
    <row r="607" customFormat="false" ht="15" hidden="false" customHeight="false" outlineLevel="0" collapsed="false">
      <c r="A607" s="2" t="s">
        <v>210</v>
      </c>
      <c r="B607" s="3" t="n">
        <v>35399</v>
      </c>
      <c r="C607" s="2" t="s">
        <v>73</v>
      </c>
      <c r="D607" s="2" t="s">
        <v>356</v>
      </c>
      <c r="E607" s="2" t="s">
        <v>501</v>
      </c>
      <c r="F607" s="2" t="s">
        <v>360</v>
      </c>
    </row>
    <row r="608" customFormat="false" ht="15" hidden="false" customHeight="false" outlineLevel="0" collapsed="false">
      <c r="A608" s="2" t="s">
        <v>210</v>
      </c>
      <c r="B608" s="3" t="n">
        <v>35770</v>
      </c>
      <c r="C608" s="2" t="s">
        <v>232</v>
      </c>
      <c r="D608" s="2" t="s">
        <v>356</v>
      </c>
      <c r="E608" s="2" t="s">
        <v>501</v>
      </c>
      <c r="F608" s="2" t="s">
        <v>383</v>
      </c>
    </row>
    <row r="609" customFormat="false" ht="15" hidden="false" customHeight="false" outlineLevel="0" collapsed="false">
      <c r="A609" s="2" t="s">
        <v>210</v>
      </c>
      <c r="B609" s="3" t="n">
        <v>36219</v>
      </c>
      <c r="C609" s="2" t="s">
        <v>381</v>
      </c>
      <c r="D609" s="2" t="s">
        <v>356</v>
      </c>
      <c r="E609" s="2" t="s">
        <v>501</v>
      </c>
      <c r="F609" s="2" t="s">
        <v>361</v>
      </c>
    </row>
    <row r="610" customFormat="false" ht="15" hidden="false" customHeight="false" outlineLevel="0" collapsed="false">
      <c r="A610" s="2" t="s">
        <v>210</v>
      </c>
      <c r="B610" s="3" t="n">
        <v>36660</v>
      </c>
      <c r="C610" s="2" t="s">
        <v>19</v>
      </c>
      <c r="D610" s="2" t="s">
        <v>356</v>
      </c>
      <c r="E610" s="2" t="s">
        <v>501</v>
      </c>
      <c r="F610" s="2" t="s">
        <v>479</v>
      </c>
    </row>
    <row r="611" customFormat="false" ht="15" hidden="false" customHeight="false" outlineLevel="0" collapsed="false">
      <c r="A611" s="2" t="s">
        <v>210</v>
      </c>
      <c r="B611" s="3" t="n">
        <v>37026</v>
      </c>
      <c r="C611" s="2" t="s">
        <v>89</v>
      </c>
      <c r="D611" s="2" t="s">
        <v>356</v>
      </c>
      <c r="E611" s="2" t="s">
        <v>501</v>
      </c>
      <c r="F611" s="2" t="s">
        <v>369</v>
      </c>
    </row>
    <row r="612" customFormat="false" ht="15" hidden="false" customHeight="false" outlineLevel="0" collapsed="false">
      <c r="A612" s="2" t="s">
        <v>210</v>
      </c>
      <c r="B612" s="3" t="n">
        <v>37317</v>
      </c>
      <c r="C612" s="2" t="s">
        <v>115</v>
      </c>
      <c r="D612" s="2" t="s">
        <v>356</v>
      </c>
      <c r="E612" s="2" t="s">
        <v>501</v>
      </c>
      <c r="F612" s="2" t="s">
        <v>353</v>
      </c>
    </row>
    <row r="613" customFormat="false" ht="15" hidden="false" customHeight="false" outlineLevel="0" collapsed="false">
      <c r="A613" s="2" t="s">
        <v>210</v>
      </c>
      <c r="B613" s="3" t="n">
        <v>37324</v>
      </c>
      <c r="C613" s="2" t="s">
        <v>115</v>
      </c>
      <c r="D613" s="2" t="s">
        <v>362</v>
      </c>
      <c r="E613" s="2" t="s">
        <v>501</v>
      </c>
      <c r="F613" s="2" t="s">
        <v>361</v>
      </c>
    </row>
    <row r="614" customFormat="false" ht="15" hidden="false" customHeight="false" outlineLevel="0" collapsed="false">
      <c r="A614" s="2" t="s">
        <v>210</v>
      </c>
      <c r="B614" s="3" t="n">
        <v>37661</v>
      </c>
      <c r="C614" s="2" t="s">
        <v>135</v>
      </c>
      <c r="D614" s="2" t="s">
        <v>356</v>
      </c>
      <c r="E614" s="2" t="s">
        <v>501</v>
      </c>
      <c r="F614" s="2" t="s">
        <v>361</v>
      </c>
    </row>
    <row r="615" customFormat="false" ht="15" hidden="false" customHeight="false" outlineLevel="0" collapsed="false">
      <c r="A615" s="2" t="s">
        <v>210</v>
      </c>
      <c r="B615" s="3" t="n">
        <v>38088</v>
      </c>
      <c r="C615" s="2" t="s">
        <v>91</v>
      </c>
      <c r="D615" s="2" t="s">
        <v>356</v>
      </c>
      <c r="E615" s="2" t="s">
        <v>501</v>
      </c>
      <c r="F615" s="2" t="s">
        <v>369</v>
      </c>
    </row>
    <row r="616" customFormat="false" ht="15" hidden="false" customHeight="false" outlineLevel="0" collapsed="false">
      <c r="A616" s="2" t="s">
        <v>210</v>
      </c>
      <c r="B616" s="3" t="n">
        <v>38350</v>
      </c>
      <c r="C616" s="2" t="s">
        <v>263</v>
      </c>
      <c r="D616" s="2" t="s">
        <v>356</v>
      </c>
      <c r="E616" s="2" t="s">
        <v>501</v>
      </c>
      <c r="F616" s="2" t="s">
        <v>383</v>
      </c>
    </row>
    <row r="617" customFormat="false" ht="15" hidden="false" customHeight="false" outlineLevel="0" collapsed="false">
      <c r="A617" s="2" t="s">
        <v>210</v>
      </c>
      <c r="B617" s="3" t="n">
        <v>38696</v>
      </c>
      <c r="C617" s="2" t="s">
        <v>123</v>
      </c>
      <c r="D617" s="2" t="s">
        <v>356</v>
      </c>
      <c r="E617" s="2" t="s">
        <v>501</v>
      </c>
      <c r="F617" s="2" t="s">
        <v>348</v>
      </c>
    </row>
    <row r="618" customFormat="false" ht="15" hidden="false" customHeight="false" outlineLevel="0" collapsed="false">
      <c r="A618" s="2" t="s">
        <v>210</v>
      </c>
      <c r="B618" s="3" t="n">
        <v>39181</v>
      </c>
      <c r="C618" s="2" t="s">
        <v>110</v>
      </c>
      <c r="D618" s="2" t="s">
        <v>356</v>
      </c>
      <c r="E618" s="2" t="s">
        <v>501</v>
      </c>
      <c r="F618" s="2" t="s">
        <v>369</v>
      </c>
    </row>
    <row r="619" customFormat="false" ht="15" hidden="false" customHeight="false" outlineLevel="0" collapsed="false">
      <c r="A619" s="2" t="s">
        <v>210</v>
      </c>
      <c r="B619" s="3" t="n">
        <v>39421</v>
      </c>
      <c r="C619" s="2" t="s">
        <v>297</v>
      </c>
      <c r="D619" s="2" t="s">
        <v>356</v>
      </c>
      <c r="E619" s="2" t="s">
        <v>501</v>
      </c>
      <c r="F619" s="2" t="s">
        <v>361</v>
      </c>
    </row>
    <row r="620" customFormat="false" ht="15" hidden="false" customHeight="false" outlineLevel="0" collapsed="false">
      <c r="A620" s="2" t="s">
        <v>210</v>
      </c>
      <c r="B620" s="3" t="n">
        <v>39893</v>
      </c>
      <c r="C620" s="2" t="s">
        <v>312</v>
      </c>
      <c r="D620" s="2" t="s">
        <v>356</v>
      </c>
      <c r="E620" s="2" t="s">
        <v>501</v>
      </c>
      <c r="F620" s="2" t="s">
        <v>373</v>
      </c>
    </row>
    <row r="621" customFormat="false" ht="15" hidden="false" customHeight="false" outlineLevel="0" collapsed="false">
      <c r="A621" s="2" t="s">
        <v>210</v>
      </c>
      <c r="B621" s="3" t="n">
        <v>40478</v>
      </c>
      <c r="C621" s="2" t="s">
        <v>187</v>
      </c>
      <c r="D621" s="2" t="s">
        <v>379</v>
      </c>
      <c r="E621" s="2" t="s">
        <v>501</v>
      </c>
      <c r="F621" s="2" t="s">
        <v>365</v>
      </c>
    </row>
    <row r="622" customFormat="false" ht="15" hidden="false" customHeight="false" outlineLevel="0" collapsed="false">
      <c r="A622" s="2" t="s">
        <v>210</v>
      </c>
      <c r="B622" s="3" t="n">
        <v>40579</v>
      </c>
      <c r="C622" s="2" t="s">
        <v>187</v>
      </c>
      <c r="D622" s="2" t="s">
        <v>356</v>
      </c>
      <c r="E622" s="2" t="s">
        <v>501</v>
      </c>
      <c r="F622" s="2" t="s">
        <v>481</v>
      </c>
    </row>
    <row r="623" customFormat="false" ht="15" hidden="false" customHeight="false" outlineLevel="0" collapsed="false">
      <c r="A623" s="2" t="s">
        <v>210</v>
      </c>
      <c r="B623" s="3" t="n">
        <v>40768</v>
      </c>
      <c r="C623" s="2" t="s">
        <v>314</v>
      </c>
      <c r="D623" s="2" t="s">
        <v>356</v>
      </c>
      <c r="E623" s="2" t="s">
        <v>501</v>
      </c>
      <c r="F623" s="2" t="s">
        <v>369</v>
      </c>
    </row>
    <row r="624" customFormat="false" ht="15" hidden="false" customHeight="false" outlineLevel="0" collapsed="false">
      <c r="A624" s="2" t="s">
        <v>210</v>
      </c>
      <c r="B624" s="3" t="n">
        <v>41413</v>
      </c>
      <c r="C624" s="2" t="s">
        <v>206</v>
      </c>
      <c r="D624" s="2" t="s">
        <v>356</v>
      </c>
      <c r="E624" s="2" t="s">
        <v>501</v>
      </c>
      <c r="F624" s="2" t="s">
        <v>383</v>
      </c>
    </row>
    <row r="625" customFormat="false" ht="15" hidden="false" customHeight="false" outlineLevel="0" collapsed="false">
      <c r="A625" s="2" t="s">
        <v>210</v>
      </c>
      <c r="B625" s="3" t="n">
        <v>41637</v>
      </c>
      <c r="C625" s="2" t="s">
        <v>385</v>
      </c>
      <c r="D625" s="2" t="s">
        <v>356</v>
      </c>
      <c r="E625" s="2" t="s">
        <v>501</v>
      </c>
      <c r="F625" s="2" t="s">
        <v>383</v>
      </c>
    </row>
    <row r="626" customFormat="false" ht="15" hidden="false" customHeight="false" outlineLevel="0" collapsed="false">
      <c r="A626" s="2" t="s">
        <v>210</v>
      </c>
      <c r="B626" s="3" t="n">
        <v>42084</v>
      </c>
      <c r="C626" s="2" t="s">
        <v>23</v>
      </c>
      <c r="D626" s="2" t="s">
        <v>356</v>
      </c>
      <c r="E626" s="2" t="s">
        <v>501</v>
      </c>
      <c r="F626" s="2" t="s">
        <v>360</v>
      </c>
    </row>
    <row r="627" customFormat="false" ht="15" hidden="false" customHeight="false" outlineLevel="0" collapsed="false">
      <c r="A627" s="2" t="s">
        <v>210</v>
      </c>
      <c r="B627" s="3" t="n">
        <v>42245</v>
      </c>
      <c r="C627" s="2" t="s">
        <v>355</v>
      </c>
      <c r="D627" s="2" t="s">
        <v>356</v>
      </c>
      <c r="E627" s="2" t="s">
        <v>501</v>
      </c>
      <c r="F627" s="2" t="s">
        <v>383</v>
      </c>
    </row>
    <row r="628" customFormat="false" ht="15" hidden="false" customHeight="false" outlineLevel="0" collapsed="false">
      <c r="A628" s="2" t="s">
        <v>210</v>
      </c>
      <c r="B628" s="3" t="n">
        <v>43205</v>
      </c>
      <c r="C628" s="2" t="s">
        <v>11</v>
      </c>
      <c r="D628" s="2" t="s">
        <v>356</v>
      </c>
      <c r="E628" s="2" t="s">
        <v>501</v>
      </c>
      <c r="F628" s="2" t="s">
        <v>359</v>
      </c>
    </row>
    <row r="629" customFormat="false" ht="15" hidden="false" customHeight="false" outlineLevel="0" collapsed="false">
      <c r="A629" s="2" t="s">
        <v>210</v>
      </c>
      <c r="B629" s="3" t="n">
        <v>43358</v>
      </c>
      <c r="C629" s="2" t="s">
        <v>153</v>
      </c>
      <c r="D629" s="2" t="s">
        <v>356</v>
      </c>
      <c r="E629" s="2" t="s">
        <v>501</v>
      </c>
      <c r="F629" s="2" t="s">
        <v>360</v>
      </c>
    </row>
    <row r="630" customFormat="false" ht="15" hidden="false" customHeight="false" outlineLevel="0" collapsed="false">
      <c r="A630" s="2" t="s">
        <v>210</v>
      </c>
      <c r="B630" s="3" t="n">
        <v>43688</v>
      </c>
      <c r="C630" s="2" t="s">
        <v>130</v>
      </c>
      <c r="D630" s="2" t="s">
        <v>356</v>
      </c>
      <c r="E630" s="2" t="s">
        <v>501</v>
      </c>
      <c r="F630" s="2" t="s">
        <v>383</v>
      </c>
    </row>
    <row r="631" customFormat="false" ht="15" hidden="false" customHeight="false" outlineLevel="0" collapsed="false">
      <c r="A631" s="2" t="s">
        <v>210</v>
      </c>
      <c r="B631" s="3" t="n">
        <v>44318</v>
      </c>
      <c r="C631" s="2" t="s">
        <v>125</v>
      </c>
      <c r="D631" s="2" t="s">
        <v>356</v>
      </c>
      <c r="E631" s="2" t="s">
        <v>501</v>
      </c>
      <c r="F631" s="2" t="s">
        <v>353</v>
      </c>
    </row>
    <row r="632" customFormat="false" ht="15" hidden="false" customHeight="false" outlineLevel="0" collapsed="false">
      <c r="A632" s="2" t="s">
        <v>210</v>
      </c>
      <c r="B632" s="3" t="n">
        <v>44697</v>
      </c>
      <c r="C632" s="2" t="s">
        <v>386</v>
      </c>
      <c r="D632" s="2" t="s">
        <v>356</v>
      </c>
      <c r="E632" s="2" t="s">
        <v>501</v>
      </c>
      <c r="F632" s="2" t="s">
        <v>351</v>
      </c>
    </row>
    <row r="633" customFormat="false" ht="15" hidden="false" customHeight="false" outlineLevel="0" collapsed="false">
      <c r="A633" s="2" t="s">
        <v>210</v>
      </c>
      <c r="B633" s="3" t="n">
        <v>45053</v>
      </c>
      <c r="C633" s="2" t="s">
        <v>147</v>
      </c>
      <c r="D633" s="2" t="s">
        <v>356</v>
      </c>
      <c r="E633" s="2" t="s">
        <v>501</v>
      </c>
      <c r="F633" s="2" t="s">
        <v>353</v>
      </c>
    </row>
    <row r="634" customFormat="false" ht="15" hidden="false" customHeight="false" outlineLevel="0" collapsed="false">
      <c r="A634" s="2" t="s">
        <v>210</v>
      </c>
      <c r="B634" s="3" t="n">
        <v>45234</v>
      </c>
      <c r="C634" s="2" t="s">
        <v>364</v>
      </c>
      <c r="D634" s="2" t="s">
        <v>356</v>
      </c>
      <c r="E634" s="2" t="s">
        <v>501</v>
      </c>
      <c r="F634" s="2" t="s">
        <v>348</v>
      </c>
    </row>
    <row r="635" customFormat="false" ht="15" hidden="false" customHeight="false" outlineLevel="0" collapsed="false">
      <c r="A635" s="2" t="s">
        <v>210</v>
      </c>
      <c r="B635" s="3" t="n">
        <v>45598</v>
      </c>
      <c r="C635" s="2" t="s">
        <v>30</v>
      </c>
      <c r="D635" s="2" t="s">
        <v>356</v>
      </c>
      <c r="E635" s="2" t="s">
        <v>501</v>
      </c>
      <c r="F635" s="2" t="s">
        <v>348</v>
      </c>
    </row>
    <row r="636" customFormat="false" ht="15" hidden="false" customHeight="false" outlineLevel="0" collapsed="false">
      <c r="A636" s="2" t="s">
        <v>210</v>
      </c>
      <c r="B636" s="3" t="n">
        <v>45693</v>
      </c>
      <c r="C636" s="2" t="s">
        <v>30</v>
      </c>
      <c r="D636" s="2" t="s">
        <v>379</v>
      </c>
      <c r="E636" s="2" t="s">
        <v>501</v>
      </c>
      <c r="F636" s="2" t="s">
        <v>351</v>
      </c>
    </row>
    <row r="637" customFormat="false" ht="15" hidden="false" customHeight="false" outlineLevel="0" collapsed="false">
      <c r="A637" s="2" t="s">
        <v>210</v>
      </c>
      <c r="B637" s="3" t="n">
        <v>45928</v>
      </c>
      <c r="C637" s="2" t="s">
        <v>32</v>
      </c>
      <c r="D637" s="2" t="s">
        <v>356</v>
      </c>
      <c r="E637" s="2" t="s">
        <v>501</v>
      </c>
      <c r="F637" s="2" t="s">
        <v>360</v>
      </c>
    </row>
    <row r="638" customFormat="false" ht="15" hidden="false" customHeight="false" outlineLevel="0" collapsed="false">
      <c r="A638" s="2" t="s">
        <v>212</v>
      </c>
      <c r="B638" s="3" t="n">
        <v>32487</v>
      </c>
      <c r="C638" s="2" t="s">
        <v>374</v>
      </c>
      <c r="D638" s="2" t="s">
        <v>375</v>
      </c>
      <c r="E638" s="2" t="s">
        <v>502</v>
      </c>
      <c r="F638" s="2" t="s">
        <v>369</v>
      </c>
    </row>
    <row r="639" customFormat="false" ht="15" hidden="false" customHeight="false" outlineLevel="0" collapsed="false">
      <c r="A639" s="2" t="s">
        <v>212</v>
      </c>
      <c r="B639" s="3" t="n">
        <v>32998</v>
      </c>
      <c r="C639" s="2" t="s">
        <v>240</v>
      </c>
      <c r="D639" s="2" t="s">
        <v>375</v>
      </c>
      <c r="E639" s="2" t="s">
        <v>502</v>
      </c>
      <c r="F639" s="2" t="s">
        <v>380</v>
      </c>
    </row>
    <row r="640" customFormat="false" ht="15" hidden="false" customHeight="false" outlineLevel="0" collapsed="false">
      <c r="A640" s="2" t="s">
        <v>212</v>
      </c>
      <c r="B640" s="3" t="n">
        <v>33320</v>
      </c>
      <c r="C640" s="2" t="s">
        <v>99</v>
      </c>
      <c r="D640" s="2" t="s">
        <v>375</v>
      </c>
      <c r="E640" s="2" t="s">
        <v>502</v>
      </c>
      <c r="F640" s="2" t="s">
        <v>369</v>
      </c>
    </row>
    <row r="641" customFormat="false" ht="15" hidden="false" customHeight="false" outlineLevel="0" collapsed="false">
      <c r="A641" s="2" t="s">
        <v>212</v>
      </c>
      <c r="B641" s="3" t="n">
        <v>33702</v>
      </c>
      <c r="C641" s="2" t="s">
        <v>38</v>
      </c>
      <c r="D641" s="2" t="s">
        <v>375</v>
      </c>
      <c r="E641" s="2" t="s">
        <v>502</v>
      </c>
      <c r="F641" s="2" t="s">
        <v>373</v>
      </c>
    </row>
    <row r="642" customFormat="false" ht="15" hidden="false" customHeight="false" outlineLevel="0" collapsed="false">
      <c r="A642" s="2" t="s">
        <v>212</v>
      </c>
      <c r="B642" s="3" t="n">
        <v>34031</v>
      </c>
      <c r="C642" s="2" t="s">
        <v>267</v>
      </c>
      <c r="D642" s="2" t="s">
        <v>356</v>
      </c>
      <c r="E642" s="2" t="s">
        <v>502</v>
      </c>
      <c r="F642" s="2" t="s">
        <v>361</v>
      </c>
    </row>
    <row r="643" customFormat="false" ht="15" hidden="false" customHeight="false" outlineLevel="0" collapsed="false">
      <c r="A643" s="2" t="s">
        <v>212</v>
      </c>
      <c r="B643" s="3" t="n">
        <v>34283</v>
      </c>
      <c r="C643" s="2" t="s">
        <v>218</v>
      </c>
      <c r="D643" s="2" t="s">
        <v>379</v>
      </c>
      <c r="E643" s="2" t="s">
        <v>502</v>
      </c>
      <c r="F643" s="2" t="s">
        <v>363</v>
      </c>
    </row>
    <row r="644" customFormat="false" ht="15" hidden="false" customHeight="false" outlineLevel="0" collapsed="false">
      <c r="A644" s="2" t="s">
        <v>212</v>
      </c>
      <c r="B644" s="3" t="n">
        <v>34378</v>
      </c>
      <c r="C644" s="2" t="s">
        <v>218</v>
      </c>
      <c r="D644" s="2" t="s">
        <v>356</v>
      </c>
      <c r="E644" s="2" t="s">
        <v>502</v>
      </c>
      <c r="F644" s="2" t="s">
        <v>361</v>
      </c>
    </row>
    <row r="645" customFormat="false" ht="15" hidden="false" customHeight="false" outlineLevel="0" collapsed="false">
      <c r="A645" s="2" t="s">
        <v>212</v>
      </c>
      <c r="B645" s="3" t="n">
        <v>34587</v>
      </c>
      <c r="C645" s="2" t="s">
        <v>81</v>
      </c>
      <c r="D645" s="2" t="s">
        <v>356</v>
      </c>
      <c r="E645" s="2" t="s">
        <v>502</v>
      </c>
      <c r="F645" s="2" t="s">
        <v>369</v>
      </c>
    </row>
    <row r="646" customFormat="false" ht="15" hidden="false" customHeight="false" outlineLevel="0" collapsed="false">
      <c r="A646" s="2" t="s">
        <v>212</v>
      </c>
      <c r="B646" s="3" t="n">
        <v>38227</v>
      </c>
      <c r="C646" s="2" t="s">
        <v>263</v>
      </c>
      <c r="D646" s="2" t="s">
        <v>356</v>
      </c>
      <c r="E646" s="2" t="s">
        <v>502</v>
      </c>
      <c r="F646" s="2" t="s">
        <v>407</v>
      </c>
    </row>
    <row r="647" customFormat="false" ht="15" hidden="false" customHeight="false" outlineLevel="0" collapsed="false">
      <c r="A647" s="2" t="s">
        <v>212</v>
      </c>
      <c r="B647" s="3" t="n">
        <v>40866</v>
      </c>
      <c r="C647" s="2" t="s">
        <v>314</v>
      </c>
      <c r="D647" s="2" t="s">
        <v>356</v>
      </c>
      <c r="E647" s="2" t="s">
        <v>502</v>
      </c>
      <c r="F647" s="2" t="s">
        <v>360</v>
      </c>
    </row>
    <row r="648" customFormat="false" ht="15" hidden="false" customHeight="false" outlineLevel="0" collapsed="false">
      <c r="A648" s="2" t="s">
        <v>212</v>
      </c>
      <c r="B648" s="3" t="n">
        <v>41202</v>
      </c>
      <c r="C648" s="2" t="s">
        <v>206</v>
      </c>
      <c r="D648" s="2" t="s">
        <v>356</v>
      </c>
      <c r="E648" s="2" t="s">
        <v>502</v>
      </c>
      <c r="F648" s="2" t="s">
        <v>348</v>
      </c>
    </row>
    <row r="649" customFormat="false" ht="15" hidden="false" customHeight="false" outlineLevel="0" collapsed="false">
      <c r="A649" s="2" t="s">
        <v>212</v>
      </c>
      <c r="B649" s="3" t="n">
        <v>41770</v>
      </c>
      <c r="C649" s="2" t="s">
        <v>385</v>
      </c>
      <c r="D649" s="2" t="s">
        <v>356</v>
      </c>
      <c r="E649" s="2" t="s">
        <v>502</v>
      </c>
      <c r="F649" s="2" t="s">
        <v>353</v>
      </c>
    </row>
    <row r="650" customFormat="false" ht="15" hidden="false" customHeight="false" outlineLevel="0" collapsed="false">
      <c r="A650" s="2" t="s">
        <v>212</v>
      </c>
      <c r="B650" s="3" t="n">
        <v>42337</v>
      </c>
      <c r="C650" s="2" t="s">
        <v>355</v>
      </c>
      <c r="D650" s="2" t="s">
        <v>356</v>
      </c>
      <c r="E650" s="2" t="s">
        <v>502</v>
      </c>
      <c r="F650" s="2" t="s">
        <v>361</v>
      </c>
    </row>
    <row r="651" customFormat="false" ht="15" hidden="false" customHeight="false" outlineLevel="0" collapsed="false">
      <c r="A651" s="2" t="s">
        <v>212</v>
      </c>
      <c r="B651" s="3" t="n">
        <v>43800</v>
      </c>
      <c r="C651" s="2" t="s">
        <v>130</v>
      </c>
      <c r="D651" s="2" t="s">
        <v>356</v>
      </c>
      <c r="E651" s="2" t="s">
        <v>502</v>
      </c>
      <c r="F651" s="2" t="s">
        <v>380</v>
      </c>
    </row>
    <row r="652" customFormat="false" ht="15" hidden="false" customHeight="false" outlineLevel="0" collapsed="false">
      <c r="A652" s="2" t="s">
        <v>212</v>
      </c>
      <c r="B652" s="3" t="n">
        <v>44556</v>
      </c>
      <c r="C652" s="2" t="s">
        <v>386</v>
      </c>
      <c r="D652" s="2" t="s">
        <v>356</v>
      </c>
      <c r="E652" s="2" t="s">
        <v>502</v>
      </c>
      <c r="F652" s="2" t="s">
        <v>420</v>
      </c>
    </row>
    <row r="653" customFormat="false" ht="15" hidden="false" customHeight="false" outlineLevel="0" collapsed="false">
      <c r="A653" s="2" t="s">
        <v>214</v>
      </c>
      <c r="B653" s="3" t="n">
        <v>32453</v>
      </c>
      <c r="C653" s="2" t="s">
        <v>374</v>
      </c>
      <c r="D653" s="2" t="s">
        <v>375</v>
      </c>
      <c r="E653" s="2" t="s">
        <v>503</v>
      </c>
      <c r="F653" s="2" t="s">
        <v>407</v>
      </c>
    </row>
    <row r="654" customFormat="false" ht="15" hidden="false" customHeight="false" outlineLevel="0" collapsed="false">
      <c r="A654" s="2" t="s">
        <v>214</v>
      </c>
      <c r="B654" s="3" t="n">
        <v>32767</v>
      </c>
      <c r="C654" s="2" t="s">
        <v>240</v>
      </c>
      <c r="D654" s="2" t="s">
        <v>375</v>
      </c>
      <c r="E654" s="2" t="s">
        <v>503</v>
      </c>
      <c r="F654" s="2" t="s">
        <v>360</v>
      </c>
    </row>
    <row r="655" customFormat="false" ht="15" hidden="false" customHeight="false" outlineLevel="0" collapsed="false">
      <c r="A655" s="2" t="s">
        <v>214</v>
      </c>
      <c r="B655" s="3" t="n">
        <v>33138</v>
      </c>
      <c r="C655" s="2" t="s">
        <v>99</v>
      </c>
      <c r="D655" s="2" t="s">
        <v>375</v>
      </c>
      <c r="E655" s="2" t="s">
        <v>503</v>
      </c>
      <c r="F655" s="2" t="s">
        <v>353</v>
      </c>
    </row>
    <row r="656" customFormat="false" ht="15" hidden="false" customHeight="false" outlineLevel="0" collapsed="false">
      <c r="A656" s="2" t="s">
        <v>214</v>
      </c>
      <c r="B656" s="3" t="n">
        <v>33580</v>
      </c>
      <c r="C656" s="2" t="s">
        <v>38</v>
      </c>
      <c r="D656" s="2" t="s">
        <v>375</v>
      </c>
      <c r="E656" s="2" t="s">
        <v>503</v>
      </c>
      <c r="F656" s="2" t="s">
        <v>382</v>
      </c>
    </row>
    <row r="657" customFormat="false" ht="15" hidden="false" customHeight="false" outlineLevel="0" collapsed="false">
      <c r="A657" s="2" t="s">
        <v>214</v>
      </c>
      <c r="B657" s="3" t="n">
        <v>33894</v>
      </c>
      <c r="C657" s="2" t="s">
        <v>267</v>
      </c>
      <c r="D657" s="2" t="s">
        <v>356</v>
      </c>
      <c r="E657" s="2" t="s">
        <v>503</v>
      </c>
      <c r="F657" s="2" t="s">
        <v>383</v>
      </c>
    </row>
    <row r="658" customFormat="false" ht="15" hidden="false" customHeight="false" outlineLevel="0" collapsed="false">
      <c r="A658" s="2" t="s">
        <v>214</v>
      </c>
      <c r="B658" s="3" t="n">
        <v>34671</v>
      </c>
      <c r="C658" s="2" t="s">
        <v>81</v>
      </c>
      <c r="D658" s="2" t="s">
        <v>356</v>
      </c>
      <c r="E658" s="2" t="s">
        <v>503</v>
      </c>
      <c r="F658" s="2" t="s">
        <v>380</v>
      </c>
    </row>
    <row r="659" customFormat="false" ht="15" hidden="false" customHeight="false" outlineLevel="0" collapsed="false">
      <c r="A659" s="2" t="s">
        <v>214</v>
      </c>
      <c r="B659" s="3" t="n">
        <v>35105</v>
      </c>
      <c r="C659" s="2" t="s">
        <v>378</v>
      </c>
      <c r="D659" s="2" t="s">
        <v>356</v>
      </c>
      <c r="E659" s="2" t="s">
        <v>503</v>
      </c>
      <c r="F659" s="2" t="s">
        <v>383</v>
      </c>
    </row>
    <row r="660" customFormat="false" ht="15" hidden="false" customHeight="false" outlineLevel="0" collapsed="false">
      <c r="A660" s="2" t="s">
        <v>214</v>
      </c>
      <c r="B660" s="3" t="n">
        <v>35420</v>
      </c>
      <c r="C660" s="2" t="s">
        <v>73</v>
      </c>
      <c r="D660" s="2" t="s">
        <v>356</v>
      </c>
      <c r="E660" s="2" t="s">
        <v>503</v>
      </c>
      <c r="F660" s="2" t="s">
        <v>359</v>
      </c>
    </row>
    <row r="661" customFormat="false" ht="15" hidden="false" customHeight="false" outlineLevel="0" collapsed="false">
      <c r="A661" s="2" t="s">
        <v>214</v>
      </c>
      <c r="B661" s="3" t="n">
        <v>36176</v>
      </c>
      <c r="C661" s="2" t="s">
        <v>381</v>
      </c>
      <c r="D661" s="2" t="s">
        <v>356</v>
      </c>
      <c r="E661" s="2" t="s">
        <v>503</v>
      </c>
      <c r="F661" s="2" t="s">
        <v>383</v>
      </c>
    </row>
    <row r="662" customFormat="false" ht="15" hidden="false" customHeight="false" outlineLevel="0" collapsed="false">
      <c r="A662" s="2" t="s">
        <v>214</v>
      </c>
      <c r="B662" s="3" t="n">
        <v>42633</v>
      </c>
      <c r="C662" s="2" t="s">
        <v>138</v>
      </c>
      <c r="D662" s="2" t="s">
        <v>379</v>
      </c>
      <c r="E662" s="2" t="s">
        <v>503</v>
      </c>
      <c r="F662" s="2" t="s">
        <v>365</v>
      </c>
    </row>
    <row r="663" customFormat="false" ht="15" hidden="false" customHeight="false" outlineLevel="0" collapsed="false">
      <c r="A663" s="2" t="s">
        <v>214</v>
      </c>
      <c r="B663" s="3" t="n">
        <v>43107</v>
      </c>
      <c r="C663" s="2" t="s">
        <v>11</v>
      </c>
      <c r="D663" s="2" t="s">
        <v>362</v>
      </c>
      <c r="E663" s="2" t="s">
        <v>503</v>
      </c>
      <c r="F663" s="2" t="s">
        <v>479</v>
      </c>
    </row>
    <row r="664" customFormat="false" ht="15" hidden="false" customHeight="false" outlineLevel="0" collapsed="false">
      <c r="A664" s="2" t="s">
        <v>214</v>
      </c>
      <c r="B664" s="3" t="n">
        <v>44570</v>
      </c>
      <c r="C664" s="2" t="s">
        <v>386</v>
      </c>
      <c r="D664" s="2" t="s">
        <v>362</v>
      </c>
      <c r="E664" s="2" t="s">
        <v>503</v>
      </c>
      <c r="F664" s="2" t="s">
        <v>348</v>
      </c>
    </row>
    <row r="665" customFormat="false" ht="15" hidden="false" customHeight="false" outlineLevel="0" collapsed="false">
      <c r="A665" s="2" t="s">
        <v>214</v>
      </c>
      <c r="B665" s="3" t="n">
        <v>45066</v>
      </c>
      <c r="C665" s="2" t="s">
        <v>147</v>
      </c>
      <c r="D665" s="2" t="s">
        <v>356</v>
      </c>
      <c r="E665" s="2" t="s">
        <v>503</v>
      </c>
      <c r="F665" s="2" t="s">
        <v>348</v>
      </c>
    </row>
    <row r="666" customFormat="false" ht="15" hidden="false" customHeight="false" outlineLevel="0" collapsed="false">
      <c r="A666" s="2" t="s">
        <v>214</v>
      </c>
      <c r="B666" s="3" t="n">
        <v>45321</v>
      </c>
      <c r="C666" s="2" t="s">
        <v>364</v>
      </c>
      <c r="D666" s="2" t="s">
        <v>356</v>
      </c>
      <c r="E666" s="2" t="s">
        <v>503</v>
      </c>
      <c r="F666" s="2" t="s">
        <v>360</v>
      </c>
    </row>
    <row r="667" customFormat="false" ht="15" hidden="false" customHeight="false" outlineLevel="0" collapsed="false">
      <c r="A667" s="2" t="s">
        <v>214</v>
      </c>
      <c r="B667" s="3" t="n">
        <v>45714</v>
      </c>
      <c r="C667" s="2" t="s">
        <v>30</v>
      </c>
      <c r="D667" s="2" t="s">
        <v>356</v>
      </c>
      <c r="E667" s="2" t="s">
        <v>503</v>
      </c>
      <c r="F667" s="2" t="s">
        <v>369</v>
      </c>
    </row>
    <row r="668" customFormat="false" ht="15" hidden="false" customHeight="false" outlineLevel="0" collapsed="false">
      <c r="A668" s="2" t="s">
        <v>214</v>
      </c>
      <c r="B668" s="3" t="n">
        <v>46039</v>
      </c>
      <c r="C668" s="2" t="s">
        <v>32</v>
      </c>
      <c r="D668" s="2" t="s">
        <v>356</v>
      </c>
      <c r="E668" s="2" t="s">
        <v>503</v>
      </c>
      <c r="F668" s="2" t="s">
        <v>369</v>
      </c>
    </row>
    <row r="669" customFormat="false" ht="15" hidden="false" customHeight="false" outlineLevel="0" collapsed="false">
      <c r="A669" s="2" t="s">
        <v>216</v>
      </c>
      <c r="B669" s="3" t="n">
        <v>33642</v>
      </c>
      <c r="C669" s="2" t="s">
        <v>38</v>
      </c>
      <c r="D669" s="2" t="s">
        <v>375</v>
      </c>
      <c r="E669" s="2" t="s">
        <v>504</v>
      </c>
      <c r="F669" s="2" t="s">
        <v>383</v>
      </c>
    </row>
    <row r="670" customFormat="false" ht="15" hidden="false" customHeight="false" outlineLevel="0" collapsed="false">
      <c r="A670" s="2" t="s">
        <v>217</v>
      </c>
      <c r="B670" s="3" t="n">
        <v>34227</v>
      </c>
      <c r="C670" s="2" t="s">
        <v>218</v>
      </c>
      <c r="D670" s="2" t="s">
        <v>393</v>
      </c>
      <c r="E670" s="2" t="s">
        <v>505</v>
      </c>
      <c r="F670" s="2" t="s">
        <v>360</v>
      </c>
    </row>
    <row r="671" customFormat="false" ht="15" hidden="false" customHeight="false" outlineLevel="0" collapsed="false">
      <c r="A671" s="2" t="s">
        <v>219</v>
      </c>
      <c r="B671" s="3" t="n">
        <v>32834</v>
      </c>
      <c r="C671" s="2" t="s">
        <v>240</v>
      </c>
      <c r="D671" s="2" t="s">
        <v>379</v>
      </c>
      <c r="E671" s="2" t="s">
        <v>506</v>
      </c>
      <c r="F671" s="2" t="s">
        <v>377</v>
      </c>
    </row>
    <row r="672" customFormat="false" ht="15" hidden="false" customHeight="false" outlineLevel="0" collapsed="false">
      <c r="A672" s="2" t="s">
        <v>219</v>
      </c>
      <c r="B672" s="3" t="n">
        <v>33558</v>
      </c>
      <c r="C672" s="2" t="s">
        <v>38</v>
      </c>
      <c r="D672" s="2" t="s">
        <v>375</v>
      </c>
      <c r="E672" s="2" t="s">
        <v>506</v>
      </c>
      <c r="F672" s="2" t="s">
        <v>361</v>
      </c>
    </row>
    <row r="673" customFormat="false" ht="15" hidden="false" customHeight="false" outlineLevel="0" collapsed="false">
      <c r="A673" s="2" t="s">
        <v>219</v>
      </c>
      <c r="B673" s="3" t="n">
        <v>34020</v>
      </c>
      <c r="C673" s="2" t="s">
        <v>267</v>
      </c>
      <c r="D673" s="2" t="s">
        <v>356</v>
      </c>
      <c r="E673" s="2" t="s">
        <v>506</v>
      </c>
      <c r="F673" s="2" t="s">
        <v>383</v>
      </c>
    </row>
    <row r="674" customFormat="false" ht="15" hidden="false" customHeight="false" outlineLevel="0" collapsed="false">
      <c r="A674" s="2" t="s">
        <v>219</v>
      </c>
      <c r="B674" s="3" t="n">
        <v>34265</v>
      </c>
      <c r="C674" s="2" t="s">
        <v>218</v>
      </c>
      <c r="D674" s="2" t="s">
        <v>356</v>
      </c>
      <c r="E674" s="2" t="s">
        <v>506</v>
      </c>
      <c r="F674" s="2" t="s">
        <v>369</v>
      </c>
    </row>
    <row r="675" customFormat="false" ht="15" hidden="false" customHeight="false" outlineLevel="0" collapsed="false">
      <c r="A675" s="2" t="s">
        <v>219</v>
      </c>
      <c r="B675" s="3" t="n">
        <v>34633</v>
      </c>
      <c r="C675" s="2" t="s">
        <v>81</v>
      </c>
      <c r="D675" s="2" t="s">
        <v>379</v>
      </c>
      <c r="E675" s="2" t="s">
        <v>506</v>
      </c>
      <c r="F675" s="2" t="s">
        <v>369</v>
      </c>
    </row>
    <row r="676" customFormat="false" ht="15" hidden="false" customHeight="false" outlineLevel="0" collapsed="false">
      <c r="A676" s="2" t="s">
        <v>221</v>
      </c>
      <c r="B676" s="3" t="n">
        <v>40156</v>
      </c>
      <c r="C676" s="2" t="s">
        <v>42</v>
      </c>
      <c r="D676" s="2" t="s">
        <v>352</v>
      </c>
      <c r="E676" s="2" t="s">
        <v>507</v>
      </c>
      <c r="F676" s="2" t="s">
        <v>348</v>
      </c>
    </row>
    <row r="677" customFormat="false" ht="15" hidden="false" customHeight="false" outlineLevel="0" collapsed="false">
      <c r="A677" s="2" t="s">
        <v>221</v>
      </c>
      <c r="B677" s="3" t="n">
        <v>40883</v>
      </c>
      <c r="C677" s="2" t="s">
        <v>314</v>
      </c>
      <c r="D677" s="2" t="s">
        <v>352</v>
      </c>
      <c r="E677" s="2" t="s">
        <v>507</v>
      </c>
      <c r="F677" s="2" t="s">
        <v>377</v>
      </c>
    </row>
    <row r="678" customFormat="false" ht="15" hidden="false" customHeight="false" outlineLevel="0" collapsed="false">
      <c r="A678" s="2" t="s">
        <v>221</v>
      </c>
      <c r="B678" s="3" t="n">
        <v>41247</v>
      </c>
      <c r="C678" s="2" t="s">
        <v>206</v>
      </c>
      <c r="D678" s="2" t="s">
        <v>352</v>
      </c>
      <c r="E678" s="2" t="s">
        <v>507</v>
      </c>
      <c r="F678" s="2" t="s">
        <v>359</v>
      </c>
    </row>
    <row r="679" customFormat="false" ht="15" hidden="false" customHeight="false" outlineLevel="0" collapsed="false">
      <c r="A679" s="2" t="s">
        <v>221</v>
      </c>
      <c r="B679" s="3" t="n">
        <v>42347</v>
      </c>
      <c r="C679" s="2" t="s">
        <v>355</v>
      </c>
      <c r="D679" s="2" t="s">
        <v>352</v>
      </c>
      <c r="E679" s="2" t="s">
        <v>507</v>
      </c>
      <c r="F679" s="2" t="s">
        <v>363</v>
      </c>
    </row>
    <row r="680" customFormat="false" ht="15" hidden="false" customHeight="false" outlineLevel="0" collapsed="false">
      <c r="A680" s="2" t="s">
        <v>221</v>
      </c>
      <c r="B680" s="3" t="n">
        <v>43881</v>
      </c>
      <c r="C680" s="2" t="s">
        <v>130</v>
      </c>
      <c r="D680" s="2" t="s">
        <v>346</v>
      </c>
      <c r="E680" s="2" t="s">
        <v>507</v>
      </c>
      <c r="F680" s="2" t="s">
        <v>383</v>
      </c>
    </row>
    <row r="681" customFormat="false" ht="15" hidden="false" customHeight="false" outlineLevel="0" collapsed="false">
      <c r="A681" s="2" t="s">
        <v>221</v>
      </c>
      <c r="B681" s="3" t="n">
        <v>44266</v>
      </c>
      <c r="C681" s="2" t="s">
        <v>125</v>
      </c>
      <c r="D681" s="2" t="s">
        <v>346</v>
      </c>
      <c r="E681" s="2" t="s">
        <v>507</v>
      </c>
      <c r="F681" s="2" t="s">
        <v>373</v>
      </c>
    </row>
    <row r="682" customFormat="false" ht="15" hidden="false" customHeight="false" outlineLevel="0" collapsed="false">
      <c r="A682" s="2" t="s">
        <v>223</v>
      </c>
      <c r="B682" s="3" t="n">
        <v>36935</v>
      </c>
      <c r="C682" s="2" t="s">
        <v>89</v>
      </c>
      <c r="D682" s="2" t="s">
        <v>352</v>
      </c>
      <c r="E682" s="2" t="s">
        <v>508</v>
      </c>
      <c r="F682" s="2" t="s">
        <v>383</v>
      </c>
    </row>
    <row r="683" customFormat="false" ht="15" hidden="false" customHeight="false" outlineLevel="0" collapsed="false">
      <c r="A683" s="2" t="s">
        <v>224</v>
      </c>
      <c r="B683" s="3" t="n">
        <v>40835</v>
      </c>
      <c r="C683" s="2" t="s">
        <v>314</v>
      </c>
      <c r="D683" s="2" t="s">
        <v>352</v>
      </c>
      <c r="E683" s="2" t="s">
        <v>509</v>
      </c>
      <c r="F683" s="2" t="s">
        <v>383</v>
      </c>
    </row>
    <row r="684" customFormat="false" ht="15" hidden="false" customHeight="false" outlineLevel="0" collapsed="false">
      <c r="A684" s="2" t="s">
        <v>224</v>
      </c>
      <c r="B684" s="3" t="n">
        <v>41535</v>
      </c>
      <c r="C684" s="2" t="s">
        <v>385</v>
      </c>
      <c r="D684" s="2" t="s">
        <v>352</v>
      </c>
      <c r="E684" s="2" t="s">
        <v>509</v>
      </c>
      <c r="F684" s="2" t="s">
        <v>360</v>
      </c>
    </row>
    <row r="685" customFormat="false" ht="15" hidden="false" customHeight="false" outlineLevel="0" collapsed="false">
      <c r="A685" s="2" t="s">
        <v>226</v>
      </c>
      <c r="B685" s="3" t="n">
        <v>34592</v>
      </c>
      <c r="C685" s="2" t="s">
        <v>81</v>
      </c>
      <c r="D685" s="2" t="s">
        <v>393</v>
      </c>
      <c r="E685" s="2" t="s">
        <v>510</v>
      </c>
      <c r="F685" s="2" t="s">
        <v>373</v>
      </c>
    </row>
    <row r="686" customFormat="false" ht="15" hidden="false" customHeight="false" outlineLevel="0" collapsed="false">
      <c r="A686" s="2" t="s">
        <v>227</v>
      </c>
      <c r="B686" s="3" t="n">
        <v>44935</v>
      </c>
      <c r="C686" s="2" t="s">
        <v>147</v>
      </c>
      <c r="D686" s="2" t="s">
        <v>362</v>
      </c>
      <c r="E686" s="2" t="s">
        <v>511</v>
      </c>
      <c r="F686" s="2" t="s">
        <v>363</v>
      </c>
    </row>
    <row r="687" customFormat="false" ht="15" hidden="false" customHeight="false" outlineLevel="0" collapsed="false">
      <c r="A687" s="2" t="s">
        <v>228</v>
      </c>
      <c r="B687" s="3" t="n">
        <v>36138</v>
      </c>
      <c r="C687" s="2" t="s">
        <v>381</v>
      </c>
      <c r="D687" s="2" t="s">
        <v>352</v>
      </c>
      <c r="E687" s="2" t="s">
        <v>512</v>
      </c>
      <c r="F687" s="2" t="s">
        <v>373</v>
      </c>
    </row>
    <row r="688" customFormat="false" ht="15" hidden="false" customHeight="false" outlineLevel="0" collapsed="false">
      <c r="A688" s="2" t="s">
        <v>228</v>
      </c>
      <c r="B688" s="3" t="n">
        <v>37160</v>
      </c>
      <c r="C688" s="2" t="s">
        <v>115</v>
      </c>
      <c r="D688" s="2" t="s">
        <v>352</v>
      </c>
      <c r="E688" s="2" t="s">
        <v>512</v>
      </c>
      <c r="F688" s="2" t="s">
        <v>348</v>
      </c>
    </row>
    <row r="689" customFormat="false" ht="15" hidden="false" customHeight="false" outlineLevel="0" collapsed="false">
      <c r="A689" s="2" t="s">
        <v>228</v>
      </c>
      <c r="B689" s="3" t="n">
        <v>38280</v>
      </c>
      <c r="C689" s="2" t="s">
        <v>263</v>
      </c>
      <c r="D689" s="2" t="s">
        <v>352</v>
      </c>
      <c r="E689" s="2" t="s">
        <v>512</v>
      </c>
      <c r="F689" s="2" t="s">
        <v>380</v>
      </c>
    </row>
    <row r="690" customFormat="false" ht="15" hidden="false" customHeight="false" outlineLevel="0" collapsed="false">
      <c r="A690" s="2" t="s">
        <v>231</v>
      </c>
      <c r="B690" s="3" t="n">
        <v>35689</v>
      </c>
      <c r="C690" s="2" t="s">
        <v>232</v>
      </c>
      <c r="D690" s="2" t="s">
        <v>412</v>
      </c>
      <c r="E690" s="2" t="s">
        <v>513</v>
      </c>
      <c r="F690" s="2" t="s">
        <v>348</v>
      </c>
    </row>
    <row r="691" customFormat="false" ht="15" hidden="false" customHeight="false" outlineLevel="0" collapsed="false">
      <c r="A691" s="2" t="s">
        <v>233</v>
      </c>
      <c r="B691" s="3" t="n">
        <v>34422</v>
      </c>
      <c r="C691" s="2" t="s">
        <v>218</v>
      </c>
      <c r="D691" s="2" t="s">
        <v>393</v>
      </c>
      <c r="E691" s="2" t="s">
        <v>514</v>
      </c>
      <c r="F691" s="2" t="s">
        <v>361</v>
      </c>
    </row>
    <row r="692" customFormat="false" ht="15" hidden="false" customHeight="false" outlineLevel="0" collapsed="false">
      <c r="A692" s="2" t="s">
        <v>233</v>
      </c>
      <c r="B692" s="3" t="n">
        <v>42626</v>
      </c>
      <c r="C692" s="2" t="s">
        <v>138</v>
      </c>
      <c r="D692" s="2" t="s">
        <v>352</v>
      </c>
      <c r="E692" s="2" t="s">
        <v>514</v>
      </c>
      <c r="F692" s="2" t="s">
        <v>361</v>
      </c>
    </row>
    <row r="693" customFormat="false" ht="15" hidden="false" customHeight="false" outlineLevel="0" collapsed="false">
      <c r="A693" s="2" t="s">
        <v>233</v>
      </c>
      <c r="B693" s="3" t="n">
        <v>45784</v>
      </c>
      <c r="C693" s="2" t="s">
        <v>30</v>
      </c>
      <c r="D693" s="2" t="s">
        <v>352</v>
      </c>
      <c r="E693" s="2" t="s">
        <v>514</v>
      </c>
      <c r="F693" s="2" t="s">
        <v>359</v>
      </c>
    </row>
    <row r="694" customFormat="false" ht="15" hidden="false" customHeight="false" outlineLevel="0" collapsed="false">
      <c r="A694" s="2" t="s">
        <v>236</v>
      </c>
      <c r="B694" s="3" t="n">
        <v>40449</v>
      </c>
      <c r="C694" s="2" t="s">
        <v>187</v>
      </c>
      <c r="D694" s="2" t="s">
        <v>352</v>
      </c>
      <c r="E694" s="2" t="s">
        <v>515</v>
      </c>
      <c r="F694" s="2" t="s">
        <v>373</v>
      </c>
    </row>
    <row r="695" customFormat="false" ht="15" hidden="false" customHeight="false" outlineLevel="0" collapsed="false">
      <c r="A695" s="2" t="s">
        <v>237</v>
      </c>
      <c r="B695" s="3" t="n">
        <v>42675</v>
      </c>
      <c r="C695" s="2" t="s">
        <v>138</v>
      </c>
      <c r="D695" s="2" t="s">
        <v>352</v>
      </c>
      <c r="E695" s="2" t="s">
        <v>516</v>
      </c>
      <c r="F695" s="2" t="s">
        <v>366</v>
      </c>
    </row>
    <row r="696" customFormat="false" ht="15" hidden="false" customHeight="false" outlineLevel="0" collapsed="false">
      <c r="A696" s="2" t="s">
        <v>239</v>
      </c>
      <c r="B696" s="3" t="n">
        <v>32784</v>
      </c>
      <c r="C696" s="2" t="s">
        <v>240</v>
      </c>
      <c r="D696" s="2" t="s">
        <v>379</v>
      </c>
      <c r="E696" s="2" t="s">
        <v>517</v>
      </c>
      <c r="F696" s="2" t="s">
        <v>449</v>
      </c>
    </row>
    <row r="697" customFormat="false" ht="15" hidden="false" customHeight="false" outlineLevel="0" collapsed="false">
      <c r="A697" s="2" t="s">
        <v>241</v>
      </c>
      <c r="B697" s="3" t="n">
        <v>35809</v>
      </c>
      <c r="C697" s="2" t="s">
        <v>232</v>
      </c>
      <c r="D697" s="2" t="s">
        <v>362</v>
      </c>
      <c r="E697" s="2" t="s">
        <v>518</v>
      </c>
      <c r="F697" s="2" t="s">
        <v>519</v>
      </c>
    </row>
    <row r="698" customFormat="false" ht="15" hidden="false" customHeight="false" outlineLevel="0" collapsed="false">
      <c r="A698" s="2" t="s">
        <v>241</v>
      </c>
      <c r="B698" s="3" t="n">
        <v>45924</v>
      </c>
      <c r="C698" s="2" t="s">
        <v>32</v>
      </c>
      <c r="D698" s="2" t="s">
        <v>379</v>
      </c>
      <c r="E698" s="2" t="s">
        <v>518</v>
      </c>
      <c r="F698" s="2" t="s">
        <v>353</v>
      </c>
    </row>
    <row r="699" customFormat="false" ht="15" hidden="false" customHeight="false" outlineLevel="0" collapsed="false">
      <c r="A699" s="2" t="s">
        <v>243</v>
      </c>
      <c r="B699" s="3" t="n">
        <v>38052</v>
      </c>
      <c r="C699" s="2" t="s">
        <v>91</v>
      </c>
      <c r="D699" s="2" t="s">
        <v>362</v>
      </c>
      <c r="E699" s="2" t="s">
        <v>520</v>
      </c>
      <c r="F699" s="2" t="s">
        <v>435</v>
      </c>
    </row>
    <row r="700" customFormat="false" ht="15" hidden="false" customHeight="false" outlineLevel="0" collapsed="false">
      <c r="A700" s="2" t="s">
        <v>243</v>
      </c>
      <c r="B700" s="3" t="n">
        <v>38111</v>
      </c>
      <c r="C700" s="2" t="s">
        <v>91</v>
      </c>
      <c r="D700" s="2" t="s">
        <v>356</v>
      </c>
      <c r="E700" s="2" t="s">
        <v>520</v>
      </c>
      <c r="F700" s="2" t="s">
        <v>361</v>
      </c>
    </row>
    <row r="701" customFormat="false" ht="15" hidden="false" customHeight="false" outlineLevel="0" collapsed="false">
      <c r="A701" s="2" t="s">
        <v>243</v>
      </c>
      <c r="B701" s="3" t="n">
        <v>38340</v>
      </c>
      <c r="C701" s="2" t="s">
        <v>263</v>
      </c>
      <c r="D701" s="2" t="s">
        <v>356</v>
      </c>
      <c r="E701" s="2" t="s">
        <v>520</v>
      </c>
      <c r="F701" s="2" t="s">
        <v>383</v>
      </c>
    </row>
    <row r="702" customFormat="false" ht="15" hidden="false" customHeight="false" outlineLevel="0" collapsed="false">
      <c r="A702" s="2" t="s">
        <v>243</v>
      </c>
      <c r="B702" s="3" t="n">
        <v>38819</v>
      </c>
      <c r="C702" s="2" t="s">
        <v>123</v>
      </c>
      <c r="D702" s="2" t="s">
        <v>356</v>
      </c>
      <c r="E702" s="2" t="s">
        <v>520</v>
      </c>
      <c r="F702" s="2" t="s">
        <v>361</v>
      </c>
    </row>
    <row r="703" customFormat="false" ht="15" hidden="false" customHeight="false" outlineLevel="0" collapsed="false">
      <c r="A703" s="2" t="s">
        <v>243</v>
      </c>
      <c r="B703" s="3" t="n">
        <v>39215</v>
      </c>
      <c r="C703" s="2" t="s">
        <v>110</v>
      </c>
      <c r="D703" s="2" t="s">
        <v>356</v>
      </c>
      <c r="E703" s="2" t="s">
        <v>520</v>
      </c>
      <c r="F703" s="2" t="s">
        <v>369</v>
      </c>
    </row>
    <row r="704" customFormat="false" ht="15" hidden="false" customHeight="false" outlineLevel="0" collapsed="false">
      <c r="A704" s="2" t="s">
        <v>243</v>
      </c>
      <c r="B704" s="3" t="n">
        <v>39442</v>
      </c>
      <c r="C704" s="2" t="s">
        <v>297</v>
      </c>
      <c r="D704" s="2" t="s">
        <v>356</v>
      </c>
      <c r="E704" s="2" t="s">
        <v>520</v>
      </c>
      <c r="F704" s="2" t="s">
        <v>369</v>
      </c>
    </row>
    <row r="705" customFormat="false" ht="15" hidden="false" customHeight="false" outlineLevel="0" collapsed="false">
      <c r="A705" s="2" t="s">
        <v>243</v>
      </c>
      <c r="B705" s="3" t="n">
        <v>39935</v>
      </c>
      <c r="C705" s="2" t="s">
        <v>312</v>
      </c>
      <c r="D705" s="2" t="s">
        <v>356</v>
      </c>
      <c r="E705" s="2" t="s">
        <v>520</v>
      </c>
      <c r="F705" s="2" t="s">
        <v>363</v>
      </c>
    </row>
    <row r="706" customFormat="false" ht="15" hidden="false" customHeight="false" outlineLevel="0" collapsed="false">
      <c r="A706" s="2" t="s">
        <v>243</v>
      </c>
      <c r="B706" s="3" t="n">
        <v>40177</v>
      </c>
      <c r="C706" s="2" t="s">
        <v>42</v>
      </c>
      <c r="D706" s="2" t="s">
        <v>356</v>
      </c>
      <c r="E706" s="2" t="s">
        <v>520</v>
      </c>
      <c r="F706" s="2" t="s">
        <v>407</v>
      </c>
    </row>
    <row r="707" customFormat="false" ht="15" hidden="false" customHeight="false" outlineLevel="0" collapsed="false">
      <c r="A707" s="2" t="s">
        <v>243</v>
      </c>
      <c r="B707" s="3" t="n">
        <v>43892</v>
      </c>
      <c r="C707" s="2" t="s">
        <v>130</v>
      </c>
      <c r="D707" s="2" t="s">
        <v>362</v>
      </c>
      <c r="E707" s="2" t="s">
        <v>520</v>
      </c>
      <c r="F707" s="2" t="s">
        <v>353</v>
      </c>
    </row>
    <row r="708" customFormat="false" ht="15" hidden="false" customHeight="false" outlineLevel="0" collapsed="false">
      <c r="A708" s="2" t="s">
        <v>243</v>
      </c>
      <c r="B708" s="3" t="n">
        <v>46033</v>
      </c>
      <c r="C708" s="2" t="s">
        <v>32</v>
      </c>
      <c r="D708" s="2" t="s">
        <v>362</v>
      </c>
      <c r="E708" s="2" t="s">
        <v>520</v>
      </c>
      <c r="F708" s="2" t="s">
        <v>407</v>
      </c>
    </row>
    <row r="709" customFormat="false" ht="15" hidden="false" customHeight="false" outlineLevel="0" collapsed="false">
      <c r="A709" s="2" t="s">
        <v>245</v>
      </c>
      <c r="B709" s="3" t="n">
        <v>36164</v>
      </c>
      <c r="C709" s="2" t="s">
        <v>381</v>
      </c>
      <c r="D709" s="2" t="s">
        <v>362</v>
      </c>
      <c r="E709" s="2" t="s">
        <v>521</v>
      </c>
      <c r="F709" s="2" t="s">
        <v>384</v>
      </c>
    </row>
    <row r="710" customFormat="false" ht="15" hidden="false" customHeight="false" outlineLevel="0" collapsed="false">
      <c r="A710" s="2" t="s">
        <v>245</v>
      </c>
      <c r="B710" s="3" t="n">
        <v>42742</v>
      </c>
      <c r="C710" s="2" t="s">
        <v>138</v>
      </c>
      <c r="D710" s="2" t="s">
        <v>362</v>
      </c>
      <c r="E710" s="2" t="s">
        <v>521</v>
      </c>
      <c r="F710" s="2" t="s">
        <v>360</v>
      </c>
    </row>
    <row r="711" customFormat="false" ht="15" hidden="false" customHeight="false" outlineLevel="0" collapsed="false">
      <c r="A711" s="2" t="s">
        <v>245</v>
      </c>
      <c r="B711" s="3" t="n">
        <v>45595</v>
      </c>
      <c r="C711" s="2" t="s">
        <v>30</v>
      </c>
      <c r="D711" s="2" t="s">
        <v>379</v>
      </c>
      <c r="E711" s="2" t="s">
        <v>521</v>
      </c>
      <c r="F711" s="2" t="s">
        <v>363</v>
      </c>
    </row>
    <row r="712" customFormat="false" ht="15" hidden="false" customHeight="false" outlineLevel="0" collapsed="false">
      <c r="A712" s="2" t="s">
        <v>247</v>
      </c>
      <c r="B712" s="3" t="n">
        <v>37524</v>
      </c>
      <c r="C712" s="2" t="s">
        <v>135</v>
      </c>
      <c r="D712" s="2" t="s">
        <v>352</v>
      </c>
      <c r="E712" s="2" t="s">
        <v>522</v>
      </c>
      <c r="F712" s="2" t="s">
        <v>365</v>
      </c>
    </row>
    <row r="713" customFormat="false" ht="15" hidden="false" customHeight="false" outlineLevel="0" collapsed="false">
      <c r="A713" s="2" t="s">
        <v>247</v>
      </c>
      <c r="B713" s="3" t="n">
        <v>38315</v>
      </c>
      <c r="C713" s="2" t="s">
        <v>263</v>
      </c>
      <c r="D713" s="2" t="s">
        <v>352</v>
      </c>
      <c r="E713" s="2" t="s">
        <v>522</v>
      </c>
      <c r="F713" s="2" t="s">
        <v>361</v>
      </c>
    </row>
    <row r="714" customFormat="false" ht="15" hidden="false" customHeight="false" outlineLevel="0" collapsed="false">
      <c r="A714" s="2" t="s">
        <v>247</v>
      </c>
      <c r="B714" s="3" t="n">
        <v>39133</v>
      </c>
      <c r="C714" s="2" t="s">
        <v>110</v>
      </c>
      <c r="D714" s="2" t="s">
        <v>352</v>
      </c>
      <c r="E714" s="2" t="s">
        <v>522</v>
      </c>
      <c r="F714" s="2" t="s">
        <v>348</v>
      </c>
    </row>
    <row r="715" customFormat="false" ht="15" hidden="false" customHeight="false" outlineLevel="0" collapsed="false">
      <c r="A715" s="2" t="s">
        <v>247</v>
      </c>
      <c r="B715" s="3" t="n">
        <v>44861</v>
      </c>
      <c r="C715" s="2" t="s">
        <v>147</v>
      </c>
      <c r="D715" s="2" t="s">
        <v>346</v>
      </c>
      <c r="E715" s="2" t="s">
        <v>522</v>
      </c>
      <c r="F715" s="2" t="s">
        <v>351</v>
      </c>
    </row>
    <row r="716" customFormat="false" ht="15" hidden="false" customHeight="false" outlineLevel="0" collapsed="false">
      <c r="A716" s="2" t="s">
        <v>247</v>
      </c>
      <c r="B716" s="3" t="n">
        <v>45272</v>
      </c>
      <c r="C716" s="2" t="s">
        <v>364</v>
      </c>
      <c r="D716" s="2" t="s">
        <v>352</v>
      </c>
      <c r="E716" s="2" t="s">
        <v>522</v>
      </c>
      <c r="F716" s="2" t="s">
        <v>361</v>
      </c>
    </row>
    <row r="717" customFormat="false" ht="15" hidden="false" customHeight="false" outlineLevel="0" collapsed="false">
      <c r="A717" s="2" t="s">
        <v>247</v>
      </c>
      <c r="B717" s="3" t="n">
        <v>45720</v>
      </c>
      <c r="C717" s="2" t="s">
        <v>30</v>
      </c>
      <c r="D717" s="2" t="s">
        <v>352</v>
      </c>
      <c r="E717" s="2" t="s">
        <v>522</v>
      </c>
      <c r="F717" s="2" t="s">
        <v>523</v>
      </c>
    </row>
    <row r="718" customFormat="false" ht="15" hidden="false" customHeight="false" outlineLevel="0" collapsed="false">
      <c r="A718" s="2" t="s">
        <v>249</v>
      </c>
      <c r="B718" s="3" t="n">
        <v>32557</v>
      </c>
      <c r="C718" s="2" t="s">
        <v>374</v>
      </c>
      <c r="D718" s="2" t="s">
        <v>375</v>
      </c>
      <c r="E718" s="2" t="s">
        <v>524</v>
      </c>
      <c r="F718" s="2" t="s">
        <v>369</v>
      </c>
    </row>
    <row r="719" customFormat="false" ht="15" hidden="false" customHeight="false" outlineLevel="0" collapsed="false">
      <c r="A719" s="2" t="s">
        <v>249</v>
      </c>
      <c r="B719" s="3" t="n">
        <v>32904</v>
      </c>
      <c r="C719" s="2" t="s">
        <v>240</v>
      </c>
      <c r="D719" s="2" t="s">
        <v>362</v>
      </c>
      <c r="E719" s="2" t="s">
        <v>524</v>
      </c>
      <c r="F719" s="2" t="s">
        <v>351</v>
      </c>
    </row>
    <row r="720" customFormat="false" ht="15" hidden="false" customHeight="false" outlineLevel="0" collapsed="false">
      <c r="A720" s="2" t="s">
        <v>249</v>
      </c>
      <c r="B720" s="3" t="n">
        <v>32935</v>
      </c>
      <c r="C720" s="2" t="s">
        <v>240</v>
      </c>
      <c r="D720" s="2" t="s">
        <v>375</v>
      </c>
      <c r="E720" s="2" t="s">
        <v>524</v>
      </c>
      <c r="F720" s="2" t="s">
        <v>351</v>
      </c>
    </row>
    <row r="721" customFormat="false" ht="15" hidden="false" customHeight="false" outlineLevel="0" collapsed="false">
      <c r="A721" s="2" t="s">
        <v>249</v>
      </c>
      <c r="B721" s="3" t="n">
        <v>33201</v>
      </c>
      <c r="C721" s="2" t="s">
        <v>99</v>
      </c>
      <c r="D721" s="2" t="s">
        <v>375</v>
      </c>
      <c r="E721" s="2" t="s">
        <v>524</v>
      </c>
      <c r="F721" s="2" t="s">
        <v>373</v>
      </c>
    </row>
    <row r="722" customFormat="false" ht="15" hidden="false" customHeight="false" outlineLevel="0" collapsed="false">
      <c r="A722" s="2" t="s">
        <v>249</v>
      </c>
      <c r="B722" s="3" t="n">
        <v>33621</v>
      </c>
      <c r="C722" s="2" t="s">
        <v>38</v>
      </c>
      <c r="D722" s="2" t="s">
        <v>375</v>
      </c>
      <c r="E722" s="2" t="s">
        <v>524</v>
      </c>
      <c r="F722" s="2" t="s">
        <v>369</v>
      </c>
    </row>
    <row r="723" customFormat="false" ht="15" hidden="false" customHeight="false" outlineLevel="0" collapsed="false">
      <c r="A723" s="2" t="s">
        <v>249</v>
      </c>
      <c r="B723" s="3" t="n">
        <v>33849</v>
      </c>
      <c r="C723" s="2" t="s">
        <v>267</v>
      </c>
      <c r="D723" s="2" t="s">
        <v>356</v>
      </c>
      <c r="E723" s="2" t="s">
        <v>524</v>
      </c>
      <c r="F723" s="2" t="s">
        <v>369</v>
      </c>
    </row>
    <row r="724" customFormat="false" ht="15" hidden="false" customHeight="false" outlineLevel="0" collapsed="false">
      <c r="A724" s="2" t="s">
        <v>249</v>
      </c>
      <c r="B724" s="3" t="n">
        <v>34451</v>
      </c>
      <c r="C724" s="2" t="s">
        <v>218</v>
      </c>
      <c r="D724" s="2" t="s">
        <v>356</v>
      </c>
      <c r="E724" s="2" t="s">
        <v>524</v>
      </c>
      <c r="F724" s="2" t="s">
        <v>361</v>
      </c>
    </row>
    <row r="725" customFormat="false" ht="15" hidden="false" customHeight="false" outlineLevel="0" collapsed="false">
      <c r="A725" s="2" t="s">
        <v>249</v>
      </c>
      <c r="B725" s="3" t="n">
        <v>34797</v>
      </c>
      <c r="C725" s="2" t="s">
        <v>81</v>
      </c>
      <c r="D725" s="2" t="s">
        <v>356</v>
      </c>
      <c r="E725" s="2" t="s">
        <v>524</v>
      </c>
      <c r="F725" s="2" t="s">
        <v>377</v>
      </c>
    </row>
    <row r="726" customFormat="false" ht="15" hidden="false" customHeight="false" outlineLevel="0" collapsed="false">
      <c r="A726" s="2" t="s">
        <v>249</v>
      </c>
      <c r="B726" s="3" t="n">
        <v>35126</v>
      </c>
      <c r="C726" s="2" t="s">
        <v>378</v>
      </c>
      <c r="D726" s="2" t="s">
        <v>356</v>
      </c>
      <c r="E726" s="2" t="s">
        <v>524</v>
      </c>
      <c r="F726" s="2" t="s">
        <v>361</v>
      </c>
    </row>
    <row r="727" customFormat="false" ht="15" hidden="false" customHeight="false" outlineLevel="0" collapsed="false">
      <c r="A727" s="2" t="s">
        <v>249</v>
      </c>
      <c r="B727" s="3" t="n">
        <v>36918</v>
      </c>
      <c r="C727" s="2" t="s">
        <v>89</v>
      </c>
      <c r="D727" s="2" t="s">
        <v>362</v>
      </c>
      <c r="E727" s="2" t="s">
        <v>524</v>
      </c>
      <c r="F727" s="2" t="s">
        <v>525</v>
      </c>
    </row>
    <row r="728" customFormat="false" ht="15" hidden="false" customHeight="false" outlineLevel="0" collapsed="false">
      <c r="A728" s="2" t="s">
        <v>249</v>
      </c>
      <c r="B728" s="3" t="n">
        <v>40999</v>
      </c>
      <c r="C728" s="2" t="s">
        <v>314</v>
      </c>
      <c r="D728" s="2" t="s">
        <v>356</v>
      </c>
      <c r="E728" s="2" t="s">
        <v>524</v>
      </c>
      <c r="F728" s="2" t="s">
        <v>359</v>
      </c>
    </row>
    <row r="729" customFormat="false" ht="15" hidden="false" customHeight="false" outlineLevel="0" collapsed="false">
      <c r="A729" s="2" t="s">
        <v>249</v>
      </c>
      <c r="B729" s="3" t="n">
        <v>41398</v>
      </c>
      <c r="C729" s="2" t="s">
        <v>206</v>
      </c>
      <c r="D729" s="2" t="s">
        <v>356</v>
      </c>
      <c r="E729" s="2" t="s">
        <v>524</v>
      </c>
      <c r="F729" s="2" t="s">
        <v>383</v>
      </c>
    </row>
    <row r="730" customFormat="false" ht="15" hidden="false" customHeight="false" outlineLevel="0" collapsed="false">
      <c r="A730" s="2" t="s">
        <v>249</v>
      </c>
      <c r="B730" s="3" t="n">
        <v>42067</v>
      </c>
      <c r="C730" s="2" t="s">
        <v>23</v>
      </c>
      <c r="D730" s="2" t="s">
        <v>356</v>
      </c>
      <c r="E730" s="2" t="s">
        <v>524</v>
      </c>
      <c r="F730" s="2" t="s">
        <v>360</v>
      </c>
    </row>
    <row r="731" customFormat="false" ht="15" hidden="false" customHeight="false" outlineLevel="0" collapsed="false">
      <c r="A731" s="2" t="s">
        <v>251</v>
      </c>
      <c r="B731" s="3" t="n">
        <v>32861</v>
      </c>
      <c r="C731" s="2" t="s">
        <v>240</v>
      </c>
      <c r="D731" s="2" t="s">
        <v>526</v>
      </c>
      <c r="E731" s="2" t="s">
        <v>527</v>
      </c>
      <c r="F731" s="2" t="s">
        <v>360</v>
      </c>
    </row>
    <row r="732" customFormat="false" ht="15" hidden="false" customHeight="false" outlineLevel="0" collapsed="false">
      <c r="A732" s="2" t="s">
        <v>252</v>
      </c>
      <c r="B732" s="3" t="n">
        <v>44126</v>
      </c>
      <c r="C732" s="2" t="s">
        <v>125</v>
      </c>
      <c r="D732" s="2" t="s">
        <v>346</v>
      </c>
      <c r="E732" s="2" t="s">
        <v>528</v>
      </c>
      <c r="F732" s="2" t="s">
        <v>360</v>
      </c>
    </row>
    <row r="733" customFormat="false" ht="15" hidden="false" customHeight="false" outlineLevel="0" collapsed="false">
      <c r="A733" s="2" t="s">
        <v>253</v>
      </c>
      <c r="B733" s="3" t="n">
        <v>36054</v>
      </c>
      <c r="C733" s="2" t="s">
        <v>381</v>
      </c>
      <c r="D733" s="2" t="s">
        <v>352</v>
      </c>
      <c r="E733" s="2" t="s">
        <v>529</v>
      </c>
      <c r="F733" s="2" t="s">
        <v>361</v>
      </c>
    </row>
    <row r="734" customFormat="false" ht="15" hidden="false" customHeight="false" outlineLevel="0" collapsed="false">
      <c r="A734" s="2" t="s">
        <v>253</v>
      </c>
      <c r="B734" s="3" t="n">
        <v>36636</v>
      </c>
      <c r="C734" s="2" t="s">
        <v>19</v>
      </c>
      <c r="D734" s="2" t="s">
        <v>412</v>
      </c>
      <c r="E734" s="2" t="s">
        <v>529</v>
      </c>
      <c r="F734" s="2" t="s">
        <v>360</v>
      </c>
    </row>
    <row r="735" customFormat="false" ht="15" hidden="false" customHeight="false" outlineLevel="0" collapsed="false">
      <c r="A735" s="2" t="s">
        <v>253</v>
      </c>
      <c r="B735" s="3" t="n">
        <v>45202</v>
      </c>
      <c r="C735" s="2" t="s">
        <v>364</v>
      </c>
      <c r="D735" s="2" t="s">
        <v>352</v>
      </c>
      <c r="E735" s="2" t="s">
        <v>529</v>
      </c>
      <c r="F735" s="2" t="s">
        <v>359</v>
      </c>
    </row>
    <row r="736" customFormat="false" ht="15" hidden="false" customHeight="false" outlineLevel="0" collapsed="false">
      <c r="A736" s="2" t="s">
        <v>255</v>
      </c>
      <c r="B736" s="3" t="n">
        <v>39012</v>
      </c>
      <c r="C736" s="2" t="s">
        <v>110</v>
      </c>
      <c r="D736" s="2" t="s">
        <v>356</v>
      </c>
      <c r="E736" s="2" t="s">
        <v>530</v>
      </c>
      <c r="F736" s="2" t="s">
        <v>365</v>
      </c>
    </row>
    <row r="737" customFormat="false" ht="15" hidden="false" customHeight="false" outlineLevel="0" collapsed="false">
      <c r="A737" s="2" t="s">
        <v>255</v>
      </c>
      <c r="B737" s="3" t="n">
        <v>39398</v>
      </c>
      <c r="C737" s="2" t="s">
        <v>297</v>
      </c>
      <c r="D737" s="2" t="s">
        <v>356</v>
      </c>
      <c r="E737" s="2" t="s">
        <v>530</v>
      </c>
      <c r="F737" s="2" t="s">
        <v>373</v>
      </c>
    </row>
    <row r="738" customFormat="false" ht="15" hidden="false" customHeight="false" outlineLevel="0" collapsed="false">
      <c r="A738" s="2" t="s">
        <v>255</v>
      </c>
      <c r="B738" s="3" t="n">
        <v>41212</v>
      </c>
      <c r="C738" s="2" t="s">
        <v>206</v>
      </c>
      <c r="D738" s="2" t="s">
        <v>379</v>
      </c>
      <c r="E738" s="2" t="s">
        <v>530</v>
      </c>
      <c r="F738" s="2" t="s">
        <v>531</v>
      </c>
    </row>
    <row r="739" customFormat="false" ht="15" hidden="false" customHeight="false" outlineLevel="0" collapsed="false">
      <c r="A739" s="2" t="s">
        <v>255</v>
      </c>
      <c r="B739" s="3" t="n">
        <v>41260</v>
      </c>
      <c r="C739" s="2" t="s">
        <v>206</v>
      </c>
      <c r="D739" s="2" t="s">
        <v>356</v>
      </c>
      <c r="E739" s="2" t="s">
        <v>530</v>
      </c>
      <c r="F739" s="2" t="s">
        <v>450</v>
      </c>
    </row>
    <row r="740" customFormat="false" ht="15" hidden="false" customHeight="false" outlineLevel="0" collapsed="false">
      <c r="A740" s="2" t="s">
        <v>257</v>
      </c>
      <c r="B740" s="3" t="n">
        <v>38769</v>
      </c>
      <c r="C740" s="2" t="s">
        <v>123</v>
      </c>
      <c r="D740" s="2" t="s">
        <v>352</v>
      </c>
      <c r="E740" s="2" t="s">
        <v>532</v>
      </c>
      <c r="F740" s="2" t="s">
        <v>383</v>
      </c>
    </row>
    <row r="741" customFormat="false" ht="15" hidden="false" customHeight="false" outlineLevel="0" collapsed="false">
      <c r="A741" s="2" t="s">
        <v>257</v>
      </c>
      <c r="B741" s="3" t="n">
        <v>45763</v>
      </c>
      <c r="C741" s="2" t="s">
        <v>30</v>
      </c>
      <c r="D741" s="2" t="s">
        <v>352</v>
      </c>
      <c r="E741" s="2" t="s">
        <v>532</v>
      </c>
      <c r="F741" s="2" t="s">
        <v>360</v>
      </c>
    </row>
    <row r="742" customFormat="false" ht="15" hidden="false" customHeight="false" outlineLevel="0" collapsed="false">
      <c r="A742" s="2" t="s">
        <v>259</v>
      </c>
      <c r="B742" s="3" t="n">
        <v>37145</v>
      </c>
      <c r="C742" s="2" t="s">
        <v>115</v>
      </c>
      <c r="D742" s="2" t="s">
        <v>352</v>
      </c>
      <c r="E742" s="2" t="s">
        <v>533</v>
      </c>
      <c r="F742" s="2" t="s">
        <v>348</v>
      </c>
    </row>
    <row r="743" customFormat="false" ht="15" hidden="false" customHeight="false" outlineLevel="0" collapsed="false">
      <c r="A743" s="2" t="s">
        <v>261</v>
      </c>
      <c r="B743" s="3" t="n">
        <v>43531</v>
      </c>
      <c r="C743" s="2" t="s">
        <v>153</v>
      </c>
      <c r="D743" s="2" t="s">
        <v>346</v>
      </c>
      <c r="E743" s="2" t="s">
        <v>534</v>
      </c>
      <c r="F743" s="2" t="s">
        <v>377</v>
      </c>
    </row>
    <row r="744" customFormat="false" ht="15" hidden="false" customHeight="false" outlineLevel="0" collapsed="false">
      <c r="A744" s="2" t="s">
        <v>262</v>
      </c>
      <c r="B744" s="3" t="n">
        <v>38259</v>
      </c>
      <c r="C744" s="2" t="s">
        <v>263</v>
      </c>
      <c r="D744" s="2" t="s">
        <v>352</v>
      </c>
      <c r="E744" s="2" t="s">
        <v>535</v>
      </c>
      <c r="F744" s="2" t="s">
        <v>361</v>
      </c>
    </row>
    <row r="745" customFormat="false" ht="15" hidden="false" customHeight="false" outlineLevel="0" collapsed="false">
      <c r="A745" s="2" t="s">
        <v>265</v>
      </c>
      <c r="B745" s="3" t="n">
        <v>34809</v>
      </c>
      <c r="C745" s="2" t="s">
        <v>81</v>
      </c>
      <c r="D745" s="2" t="s">
        <v>393</v>
      </c>
      <c r="E745" s="2" t="s">
        <v>536</v>
      </c>
      <c r="F745" s="2" t="s">
        <v>382</v>
      </c>
    </row>
    <row r="746" customFormat="false" ht="15" hidden="false" customHeight="false" outlineLevel="0" collapsed="false">
      <c r="A746" s="2" t="s">
        <v>266</v>
      </c>
      <c r="B746" s="3" t="n">
        <v>33975</v>
      </c>
      <c r="C746" s="2" t="s">
        <v>267</v>
      </c>
      <c r="D746" s="2" t="s">
        <v>379</v>
      </c>
      <c r="E746" s="2" t="s">
        <v>537</v>
      </c>
      <c r="F746" s="2" t="s">
        <v>383</v>
      </c>
    </row>
    <row r="747" customFormat="false" ht="15" hidden="false" customHeight="false" outlineLevel="0" collapsed="false">
      <c r="A747" s="2" t="s">
        <v>268</v>
      </c>
      <c r="B747" s="3" t="n">
        <v>37194</v>
      </c>
      <c r="C747" s="2" t="s">
        <v>115</v>
      </c>
      <c r="D747" s="2" t="s">
        <v>352</v>
      </c>
      <c r="E747" s="2" t="s">
        <v>538</v>
      </c>
      <c r="F747" s="2" t="s">
        <v>377</v>
      </c>
    </row>
    <row r="748" customFormat="false" ht="15" hidden="false" customHeight="false" outlineLevel="0" collapsed="false">
      <c r="A748" s="2" t="s">
        <v>268</v>
      </c>
      <c r="B748" s="3" t="n">
        <v>41219</v>
      </c>
      <c r="C748" s="2" t="s">
        <v>206</v>
      </c>
      <c r="D748" s="2" t="s">
        <v>352</v>
      </c>
      <c r="E748" s="2" t="s">
        <v>538</v>
      </c>
      <c r="F748" s="2" t="s">
        <v>380</v>
      </c>
    </row>
    <row r="749" customFormat="false" ht="15" hidden="false" customHeight="false" outlineLevel="0" collapsed="false">
      <c r="A749" s="2" t="s">
        <v>270</v>
      </c>
      <c r="B749" s="3" t="n">
        <v>39413</v>
      </c>
      <c r="C749" s="2" t="s">
        <v>297</v>
      </c>
      <c r="D749" s="2" t="s">
        <v>352</v>
      </c>
      <c r="E749" s="2" t="s">
        <v>539</v>
      </c>
      <c r="F749" s="2" t="s">
        <v>377</v>
      </c>
    </row>
    <row r="750" customFormat="false" ht="15" hidden="false" customHeight="false" outlineLevel="0" collapsed="false">
      <c r="A750" s="2" t="s">
        <v>270</v>
      </c>
      <c r="B750" s="3" t="n">
        <v>45223</v>
      </c>
      <c r="C750" s="2" t="s">
        <v>364</v>
      </c>
      <c r="D750" s="2" t="s">
        <v>352</v>
      </c>
      <c r="E750" s="2" t="s">
        <v>539</v>
      </c>
      <c r="F750" s="2" t="s">
        <v>360</v>
      </c>
    </row>
    <row r="751" customFormat="false" ht="15" hidden="false" customHeight="false" outlineLevel="0" collapsed="false">
      <c r="A751" s="2" t="s">
        <v>272</v>
      </c>
      <c r="B751" s="3" t="n">
        <v>36837</v>
      </c>
      <c r="C751" s="2" t="s">
        <v>89</v>
      </c>
      <c r="D751" s="2" t="s">
        <v>352</v>
      </c>
      <c r="E751" s="2" t="s">
        <v>540</v>
      </c>
      <c r="F751" s="2" t="s">
        <v>434</v>
      </c>
    </row>
    <row r="752" customFormat="false" ht="15" hidden="false" customHeight="false" outlineLevel="0" collapsed="false">
      <c r="A752" s="2" t="s">
        <v>272</v>
      </c>
      <c r="B752" s="3" t="n">
        <v>40485</v>
      </c>
      <c r="C752" s="2" t="s">
        <v>187</v>
      </c>
      <c r="D752" s="2" t="s">
        <v>352</v>
      </c>
      <c r="E752" s="2" t="s">
        <v>540</v>
      </c>
      <c r="F752" s="2" t="s">
        <v>359</v>
      </c>
    </row>
    <row r="753" customFormat="false" ht="15" hidden="false" customHeight="false" outlineLevel="0" collapsed="false">
      <c r="A753" s="2" t="s">
        <v>275</v>
      </c>
      <c r="B753" s="3" t="n">
        <v>33334</v>
      </c>
      <c r="C753" s="2" t="s">
        <v>99</v>
      </c>
      <c r="D753" s="2" t="s">
        <v>375</v>
      </c>
      <c r="E753" s="2" t="s">
        <v>541</v>
      </c>
      <c r="F753" s="2" t="s">
        <v>353</v>
      </c>
    </row>
    <row r="754" customFormat="false" ht="15" hidden="false" customHeight="false" outlineLevel="0" collapsed="false">
      <c r="A754" s="2" t="s">
        <v>275</v>
      </c>
      <c r="B754" s="3" t="n">
        <v>33712</v>
      </c>
      <c r="C754" s="2" t="s">
        <v>38</v>
      </c>
      <c r="D754" s="2" t="s">
        <v>375</v>
      </c>
      <c r="E754" s="2" t="s">
        <v>541</v>
      </c>
      <c r="F754" s="2" t="s">
        <v>361</v>
      </c>
    </row>
    <row r="755" customFormat="false" ht="15" hidden="false" customHeight="false" outlineLevel="0" collapsed="false">
      <c r="A755" s="2" t="s">
        <v>275</v>
      </c>
      <c r="B755" s="3" t="n">
        <v>33866</v>
      </c>
      <c r="C755" s="2" t="s">
        <v>267</v>
      </c>
      <c r="D755" s="2" t="s">
        <v>356</v>
      </c>
      <c r="E755" s="2" t="s">
        <v>541</v>
      </c>
      <c r="F755" s="2" t="s">
        <v>361</v>
      </c>
    </row>
    <row r="756" customFormat="false" ht="15" hidden="false" customHeight="false" outlineLevel="0" collapsed="false">
      <c r="A756" s="2" t="s">
        <v>275</v>
      </c>
      <c r="B756" s="3" t="n">
        <v>34428</v>
      </c>
      <c r="C756" s="2" t="s">
        <v>218</v>
      </c>
      <c r="D756" s="2" t="s">
        <v>356</v>
      </c>
      <c r="E756" s="2" t="s">
        <v>541</v>
      </c>
      <c r="F756" s="2" t="s">
        <v>361</v>
      </c>
    </row>
    <row r="757" customFormat="false" ht="15" hidden="false" customHeight="false" outlineLevel="0" collapsed="false">
      <c r="A757" s="2" t="s">
        <v>275</v>
      </c>
      <c r="B757" s="3" t="n">
        <v>35081</v>
      </c>
      <c r="C757" s="2" t="s">
        <v>378</v>
      </c>
      <c r="D757" s="2" t="s">
        <v>362</v>
      </c>
      <c r="E757" s="2" t="s">
        <v>541</v>
      </c>
      <c r="F757" s="2" t="s">
        <v>348</v>
      </c>
    </row>
    <row r="758" customFormat="false" ht="15" hidden="false" customHeight="false" outlineLevel="0" collapsed="false">
      <c r="A758" s="2" t="s">
        <v>275</v>
      </c>
      <c r="B758" s="3" t="n">
        <v>38412</v>
      </c>
      <c r="C758" s="2" t="s">
        <v>263</v>
      </c>
      <c r="D758" s="2" t="s">
        <v>362</v>
      </c>
      <c r="E758" s="2" t="s">
        <v>541</v>
      </c>
      <c r="F758" s="2" t="s">
        <v>542</v>
      </c>
    </row>
    <row r="759" customFormat="false" ht="15" hidden="false" customHeight="false" outlineLevel="0" collapsed="false">
      <c r="A759" s="2" t="s">
        <v>275</v>
      </c>
      <c r="B759" s="3" t="n">
        <v>39081</v>
      </c>
      <c r="C759" s="2" t="s">
        <v>110</v>
      </c>
      <c r="D759" s="2" t="s">
        <v>356</v>
      </c>
      <c r="E759" s="2" t="s">
        <v>541</v>
      </c>
      <c r="F759" s="2" t="s">
        <v>348</v>
      </c>
    </row>
    <row r="760" customFormat="false" ht="15" hidden="false" customHeight="false" outlineLevel="0" collapsed="false">
      <c r="A760" s="2" t="s">
        <v>275</v>
      </c>
      <c r="B760" s="3" t="n">
        <v>39386</v>
      </c>
      <c r="C760" s="2" t="s">
        <v>297</v>
      </c>
      <c r="D760" s="2" t="s">
        <v>379</v>
      </c>
      <c r="E760" s="2" t="s">
        <v>541</v>
      </c>
      <c r="F760" s="2" t="s">
        <v>363</v>
      </c>
    </row>
    <row r="761" customFormat="false" ht="15" hidden="false" customHeight="false" outlineLevel="0" collapsed="false">
      <c r="A761" s="2" t="s">
        <v>275</v>
      </c>
      <c r="B761" s="3" t="n">
        <v>43759</v>
      </c>
      <c r="C761" s="2" t="s">
        <v>130</v>
      </c>
      <c r="D761" s="2" t="s">
        <v>356</v>
      </c>
      <c r="E761" s="2" t="s">
        <v>541</v>
      </c>
      <c r="F761" s="2" t="s">
        <v>348</v>
      </c>
    </row>
    <row r="762" customFormat="false" ht="15" hidden="false" customHeight="false" outlineLevel="0" collapsed="false">
      <c r="A762" s="2" t="s">
        <v>275</v>
      </c>
      <c r="B762" s="3" t="n">
        <v>44010</v>
      </c>
      <c r="C762" s="2" t="s">
        <v>130</v>
      </c>
      <c r="D762" s="2" t="s">
        <v>362</v>
      </c>
      <c r="E762" s="2" t="s">
        <v>541</v>
      </c>
      <c r="F762" s="2" t="s">
        <v>360</v>
      </c>
    </row>
    <row r="763" customFormat="false" ht="15" hidden="false" customHeight="false" outlineLevel="0" collapsed="false">
      <c r="A763" s="2" t="s">
        <v>275</v>
      </c>
      <c r="B763" s="3" t="n">
        <v>44297</v>
      </c>
      <c r="C763" s="2" t="s">
        <v>125</v>
      </c>
      <c r="D763" s="2" t="s">
        <v>356</v>
      </c>
      <c r="E763" s="2" t="s">
        <v>541</v>
      </c>
      <c r="F763" s="2" t="s">
        <v>363</v>
      </c>
    </row>
    <row r="764" customFormat="false" ht="15" hidden="false" customHeight="false" outlineLevel="0" collapsed="false">
      <c r="A764" s="2" t="s">
        <v>275</v>
      </c>
      <c r="B764" s="3" t="n">
        <v>45355</v>
      </c>
      <c r="C764" s="2" t="s">
        <v>364</v>
      </c>
      <c r="D764" s="2" t="s">
        <v>356</v>
      </c>
      <c r="E764" s="2" t="s">
        <v>541</v>
      </c>
      <c r="F764" s="2" t="s">
        <v>525</v>
      </c>
    </row>
    <row r="765" customFormat="false" ht="15" hidden="false" customHeight="false" outlineLevel="0" collapsed="false">
      <c r="A765" s="2" t="s">
        <v>277</v>
      </c>
      <c r="B765" s="3" t="n">
        <v>32410</v>
      </c>
      <c r="C765" s="2" t="s">
        <v>374</v>
      </c>
      <c r="D765" s="2" t="s">
        <v>375</v>
      </c>
      <c r="E765" s="2" t="s">
        <v>543</v>
      </c>
      <c r="F765" s="2" t="s">
        <v>359</v>
      </c>
    </row>
    <row r="766" customFormat="false" ht="15" hidden="false" customHeight="false" outlineLevel="0" collapsed="false">
      <c r="A766" s="2" t="s">
        <v>277</v>
      </c>
      <c r="B766" s="3" t="n">
        <v>32921</v>
      </c>
      <c r="C766" s="2" t="s">
        <v>240</v>
      </c>
      <c r="D766" s="2" t="s">
        <v>375</v>
      </c>
      <c r="E766" s="2" t="s">
        <v>543</v>
      </c>
      <c r="F766" s="2" t="s">
        <v>348</v>
      </c>
    </row>
    <row r="767" customFormat="false" ht="15" hidden="false" customHeight="false" outlineLevel="0" collapsed="false">
      <c r="A767" s="2" t="s">
        <v>277</v>
      </c>
      <c r="B767" s="3" t="n">
        <v>33565</v>
      </c>
      <c r="C767" s="2" t="s">
        <v>38</v>
      </c>
      <c r="D767" s="2" t="s">
        <v>375</v>
      </c>
      <c r="E767" s="2" t="s">
        <v>543</v>
      </c>
      <c r="F767" s="2" t="s">
        <v>361</v>
      </c>
    </row>
    <row r="768" customFormat="false" ht="15" hidden="false" customHeight="false" outlineLevel="0" collapsed="false">
      <c r="A768" s="2" t="s">
        <v>277</v>
      </c>
      <c r="B768" s="3" t="n">
        <v>34095</v>
      </c>
      <c r="C768" s="2" t="s">
        <v>267</v>
      </c>
      <c r="D768" s="2" t="s">
        <v>356</v>
      </c>
      <c r="E768" s="2" t="s">
        <v>543</v>
      </c>
      <c r="F768" s="2" t="s">
        <v>348</v>
      </c>
    </row>
    <row r="769" customFormat="false" ht="15" hidden="false" customHeight="false" outlineLevel="0" collapsed="false">
      <c r="A769" s="2" t="s">
        <v>277</v>
      </c>
      <c r="B769" s="3" t="n">
        <v>34202</v>
      </c>
      <c r="C769" s="2" t="s">
        <v>218</v>
      </c>
      <c r="D769" s="2" t="s">
        <v>356</v>
      </c>
      <c r="E769" s="2" t="s">
        <v>543</v>
      </c>
      <c r="F769" s="2" t="s">
        <v>383</v>
      </c>
    </row>
    <row r="770" customFormat="false" ht="15" hidden="false" customHeight="false" outlineLevel="0" collapsed="false">
      <c r="A770" s="2" t="s">
        <v>277</v>
      </c>
      <c r="B770" s="3" t="n">
        <v>34734</v>
      </c>
      <c r="C770" s="2" t="s">
        <v>81</v>
      </c>
      <c r="D770" s="2" t="s">
        <v>356</v>
      </c>
      <c r="E770" s="2" t="s">
        <v>543</v>
      </c>
      <c r="F770" s="2" t="s">
        <v>377</v>
      </c>
    </row>
    <row r="771" customFormat="false" ht="15" hidden="false" customHeight="false" outlineLevel="0" collapsed="false">
      <c r="A771" s="2" t="s">
        <v>277</v>
      </c>
      <c r="B771" s="3" t="n">
        <v>35163</v>
      </c>
      <c r="C771" s="2" t="s">
        <v>378</v>
      </c>
      <c r="D771" s="2" t="s">
        <v>356</v>
      </c>
      <c r="E771" s="2" t="s">
        <v>543</v>
      </c>
      <c r="F771" s="2" t="s">
        <v>348</v>
      </c>
    </row>
    <row r="772" customFormat="false" ht="15" hidden="false" customHeight="false" outlineLevel="0" collapsed="false">
      <c r="A772" s="2" t="s">
        <v>277</v>
      </c>
      <c r="B772" s="3" t="n">
        <v>35425</v>
      </c>
      <c r="C772" s="2" t="s">
        <v>73</v>
      </c>
      <c r="D772" s="2" t="s">
        <v>356</v>
      </c>
      <c r="E772" s="2" t="s">
        <v>543</v>
      </c>
      <c r="F772" s="2" t="s">
        <v>369</v>
      </c>
    </row>
    <row r="773" customFormat="false" ht="15" hidden="false" customHeight="false" outlineLevel="0" collapsed="false">
      <c r="A773" s="2" t="s">
        <v>277</v>
      </c>
      <c r="B773" s="3" t="n">
        <v>35756</v>
      </c>
      <c r="C773" s="2" t="s">
        <v>232</v>
      </c>
      <c r="D773" s="2" t="s">
        <v>356</v>
      </c>
      <c r="E773" s="2" t="s">
        <v>543</v>
      </c>
      <c r="F773" s="2" t="s">
        <v>351</v>
      </c>
    </row>
    <row r="774" customFormat="false" ht="15" hidden="false" customHeight="false" outlineLevel="0" collapsed="false">
      <c r="A774" s="2" t="s">
        <v>277</v>
      </c>
      <c r="B774" s="3" t="n">
        <v>36064</v>
      </c>
      <c r="C774" s="2" t="s">
        <v>381</v>
      </c>
      <c r="D774" s="2" t="s">
        <v>356</v>
      </c>
      <c r="E774" s="2" t="s">
        <v>543</v>
      </c>
      <c r="F774" s="2" t="s">
        <v>348</v>
      </c>
    </row>
    <row r="775" customFormat="false" ht="15" hidden="false" customHeight="false" outlineLevel="0" collapsed="false">
      <c r="A775" s="2" t="s">
        <v>277</v>
      </c>
      <c r="B775" s="3" t="n">
        <v>36528</v>
      </c>
      <c r="C775" s="2" t="s">
        <v>19</v>
      </c>
      <c r="D775" s="2" t="s">
        <v>356</v>
      </c>
      <c r="E775" s="2" t="s">
        <v>543</v>
      </c>
      <c r="F775" s="2" t="s">
        <v>361</v>
      </c>
    </row>
    <row r="776" customFormat="false" ht="15" hidden="false" customHeight="false" outlineLevel="0" collapsed="false">
      <c r="A776" s="2" t="s">
        <v>277</v>
      </c>
      <c r="B776" s="3" t="n">
        <v>42304</v>
      </c>
      <c r="C776" s="2" t="s">
        <v>355</v>
      </c>
      <c r="D776" s="2" t="s">
        <v>379</v>
      </c>
      <c r="E776" s="2" t="s">
        <v>543</v>
      </c>
      <c r="F776" s="2" t="s">
        <v>434</v>
      </c>
    </row>
    <row r="777" customFormat="false" ht="15" hidden="false" customHeight="false" outlineLevel="0" collapsed="false">
      <c r="A777" s="2" t="s">
        <v>279</v>
      </c>
      <c r="B777" s="3" t="n">
        <v>33296</v>
      </c>
      <c r="C777" s="2" t="s">
        <v>99</v>
      </c>
      <c r="D777" s="2" t="s">
        <v>362</v>
      </c>
      <c r="E777" s="2" t="s">
        <v>544</v>
      </c>
      <c r="F777" s="2" t="s">
        <v>383</v>
      </c>
    </row>
    <row r="778" customFormat="false" ht="15" hidden="false" customHeight="false" outlineLevel="0" collapsed="false">
      <c r="A778" s="2" t="s">
        <v>280</v>
      </c>
      <c r="B778" s="3" t="n">
        <v>39393</v>
      </c>
      <c r="C778" s="2" t="s">
        <v>297</v>
      </c>
      <c r="D778" s="2" t="s">
        <v>352</v>
      </c>
      <c r="E778" s="2" t="s">
        <v>545</v>
      </c>
      <c r="F778" s="2" t="s">
        <v>369</v>
      </c>
    </row>
    <row r="779" customFormat="false" ht="15" hidden="false" customHeight="false" outlineLevel="0" collapsed="false">
      <c r="A779" s="2" t="s">
        <v>280</v>
      </c>
      <c r="B779" s="3" t="n">
        <v>44301</v>
      </c>
      <c r="C779" s="2" t="s">
        <v>125</v>
      </c>
      <c r="D779" s="2" t="s">
        <v>346</v>
      </c>
      <c r="E779" s="2" t="s">
        <v>545</v>
      </c>
      <c r="F779" s="2" t="s">
        <v>365</v>
      </c>
    </row>
    <row r="780" customFormat="false" ht="15" hidden="false" customHeight="false" outlineLevel="0" collapsed="false">
      <c r="A780" s="2" t="s">
        <v>280</v>
      </c>
      <c r="B780" s="3" t="n">
        <v>45965</v>
      </c>
      <c r="C780" s="2" t="s">
        <v>32</v>
      </c>
      <c r="D780" s="2" t="s">
        <v>352</v>
      </c>
      <c r="E780" s="2" t="s">
        <v>545</v>
      </c>
      <c r="F780" s="2" t="s">
        <v>363</v>
      </c>
    </row>
    <row r="781" customFormat="false" ht="15" hidden="false" customHeight="false" outlineLevel="0" collapsed="false">
      <c r="A781" s="2" t="s">
        <v>282</v>
      </c>
      <c r="B781" s="3" t="n">
        <v>32592</v>
      </c>
      <c r="C781" s="2" t="s">
        <v>374</v>
      </c>
      <c r="D781" s="2" t="s">
        <v>375</v>
      </c>
      <c r="E781" s="2" t="s">
        <v>546</v>
      </c>
      <c r="F781" s="2" t="s">
        <v>373</v>
      </c>
    </row>
    <row r="782" customFormat="false" ht="15" hidden="false" customHeight="false" outlineLevel="0" collapsed="false">
      <c r="A782" s="2" t="s">
        <v>282</v>
      </c>
      <c r="B782" s="3" t="n">
        <v>32868</v>
      </c>
      <c r="C782" s="2" t="s">
        <v>240</v>
      </c>
      <c r="D782" s="2" t="s">
        <v>375</v>
      </c>
      <c r="E782" s="2" t="s">
        <v>546</v>
      </c>
      <c r="F782" s="2" t="s">
        <v>348</v>
      </c>
    </row>
    <row r="783" customFormat="false" ht="15" hidden="false" customHeight="false" outlineLevel="0" collapsed="false">
      <c r="A783" s="2" t="s">
        <v>282</v>
      </c>
      <c r="B783" s="3" t="n">
        <v>33337</v>
      </c>
      <c r="C783" s="2" t="s">
        <v>99</v>
      </c>
      <c r="D783" s="2" t="s">
        <v>375</v>
      </c>
      <c r="E783" s="2" t="s">
        <v>546</v>
      </c>
      <c r="F783" s="2" t="s">
        <v>361</v>
      </c>
    </row>
    <row r="784" customFormat="false" ht="15" hidden="false" customHeight="false" outlineLevel="0" collapsed="false">
      <c r="A784" s="2" t="s">
        <v>282</v>
      </c>
      <c r="B784" s="3" t="n">
        <v>33509</v>
      </c>
      <c r="C784" s="2" t="s">
        <v>38</v>
      </c>
      <c r="D784" s="2" t="s">
        <v>375</v>
      </c>
      <c r="E784" s="2" t="s">
        <v>546</v>
      </c>
      <c r="F784" s="2" t="s">
        <v>365</v>
      </c>
    </row>
    <row r="785" customFormat="false" ht="15" hidden="false" customHeight="false" outlineLevel="0" collapsed="false">
      <c r="A785" s="2" t="s">
        <v>282</v>
      </c>
      <c r="B785" s="3" t="n">
        <v>33943</v>
      </c>
      <c r="C785" s="2" t="s">
        <v>267</v>
      </c>
      <c r="D785" s="2" t="s">
        <v>356</v>
      </c>
      <c r="E785" s="2" t="s">
        <v>546</v>
      </c>
      <c r="F785" s="2" t="s">
        <v>351</v>
      </c>
    </row>
    <row r="786" customFormat="false" ht="15" hidden="false" customHeight="false" outlineLevel="0" collapsed="false">
      <c r="A786" s="2" t="s">
        <v>282</v>
      </c>
      <c r="B786" s="3" t="n">
        <v>34412</v>
      </c>
      <c r="C786" s="2" t="s">
        <v>218</v>
      </c>
      <c r="D786" s="2" t="s">
        <v>356</v>
      </c>
      <c r="E786" s="2" t="s">
        <v>546</v>
      </c>
      <c r="F786" s="2" t="s">
        <v>365</v>
      </c>
    </row>
    <row r="787" customFormat="false" ht="15" hidden="false" customHeight="false" outlineLevel="0" collapsed="false">
      <c r="A787" s="2" t="s">
        <v>282</v>
      </c>
      <c r="B787" s="3" t="n">
        <v>34657</v>
      </c>
      <c r="C787" s="2" t="s">
        <v>81</v>
      </c>
      <c r="D787" s="2" t="s">
        <v>356</v>
      </c>
      <c r="E787" s="2" t="s">
        <v>546</v>
      </c>
      <c r="F787" s="2" t="s">
        <v>348</v>
      </c>
    </row>
    <row r="788" customFormat="false" ht="15" hidden="false" customHeight="false" outlineLevel="0" collapsed="false">
      <c r="A788" s="2" t="s">
        <v>282</v>
      </c>
      <c r="B788" s="3" t="n">
        <v>35042</v>
      </c>
      <c r="C788" s="2" t="s">
        <v>378</v>
      </c>
      <c r="D788" s="2" t="s">
        <v>356</v>
      </c>
      <c r="E788" s="2" t="s">
        <v>546</v>
      </c>
      <c r="F788" s="2" t="s">
        <v>369</v>
      </c>
    </row>
    <row r="789" customFormat="false" ht="15" hidden="false" customHeight="false" outlineLevel="0" collapsed="false">
      <c r="A789" s="2" t="s">
        <v>282</v>
      </c>
      <c r="B789" s="3" t="n">
        <v>35504</v>
      </c>
      <c r="C789" s="2" t="s">
        <v>73</v>
      </c>
      <c r="D789" s="2" t="s">
        <v>356</v>
      </c>
      <c r="E789" s="2" t="s">
        <v>546</v>
      </c>
      <c r="F789" s="2" t="s">
        <v>353</v>
      </c>
    </row>
    <row r="790" customFormat="false" ht="15" hidden="false" customHeight="false" outlineLevel="0" collapsed="false">
      <c r="A790" s="2" t="s">
        <v>282</v>
      </c>
      <c r="B790" s="3" t="n">
        <v>35665</v>
      </c>
      <c r="C790" s="2" t="s">
        <v>232</v>
      </c>
      <c r="D790" s="2" t="s">
        <v>356</v>
      </c>
      <c r="E790" s="2" t="s">
        <v>546</v>
      </c>
      <c r="F790" s="2" t="s">
        <v>373</v>
      </c>
    </row>
    <row r="791" customFormat="false" ht="15" hidden="false" customHeight="false" outlineLevel="0" collapsed="false">
      <c r="A791" s="2" t="s">
        <v>282</v>
      </c>
      <c r="B791" s="3" t="n">
        <v>36253</v>
      </c>
      <c r="C791" s="2" t="s">
        <v>381</v>
      </c>
      <c r="D791" s="2" t="s">
        <v>356</v>
      </c>
      <c r="E791" s="2" t="s">
        <v>546</v>
      </c>
      <c r="F791" s="2" t="s">
        <v>369</v>
      </c>
    </row>
    <row r="792" customFormat="false" ht="15" hidden="false" customHeight="false" outlineLevel="0" collapsed="false">
      <c r="A792" s="2" t="s">
        <v>282</v>
      </c>
      <c r="B792" s="3" t="n">
        <v>36421</v>
      </c>
      <c r="C792" s="2" t="s">
        <v>19</v>
      </c>
      <c r="D792" s="2" t="s">
        <v>356</v>
      </c>
      <c r="E792" s="2" t="s">
        <v>546</v>
      </c>
      <c r="F792" s="2" t="s">
        <v>383</v>
      </c>
    </row>
    <row r="793" customFormat="false" ht="15" hidden="false" customHeight="false" outlineLevel="0" collapsed="false">
      <c r="A793" s="2" t="s">
        <v>282</v>
      </c>
      <c r="B793" s="3" t="n">
        <v>37030</v>
      </c>
      <c r="C793" s="2" t="s">
        <v>89</v>
      </c>
      <c r="D793" s="2" t="s">
        <v>356</v>
      </c>
      <c r="E793" s="2" t="s">
        <v>546</v>
      </c>
      <c r="F793" s="2" t="s">
        <v>382</v>
      </c>
    </row>
    <row r="794" customFormat="false" ht="15" hidden="false" customHeight="false" outlineLevel="0" collapsed="false">
      <c r="A794" s="2" t="s">
        <v>282</v>
      </c>
      <c r="B794" s="3" t="n">
        <v>37177</v>
      </c>
      <c r="C794" s="2" t="s">
        <v>115</v>
      </c>
      <c r="D794" s="2" t="s">
        <v>356</v>
      </c>
      <c r="E794" s="2" t="s">
        <v>546</v>
      </c>
      <c r="F794" s="2" t="s">
        <v>353</v>
      </c>
    </row>
    <row r="795" customFormat="false" ht="15" hidden="false" customHeight="false" outlineLevel="0" collapsed="false">
      <c r="A795" s="2" t="s">
        <v>282</v>
      </c>
      <c r="B795" s="3" t="n">
        <v>37583</v>
      </c>
      <c r="C795" s="2" t="s">
        <v>135</v>
      </c>
      <c r="D795" s="2" t="s">
        <v>356</v>
      </c>
      <c r="E795" s="2" t="s">
        <v>546</v>
      </c>
      <c r="F795" s="2" t="s">
        <v>382</v>
      </c>
    </row>
    <row r="796" customFormat="false" ht="15" hidden="false" customHeight="false" outlineLevel="0" collapsed="false">
      <c r="A796" s="2" t="s">
        <v>282</v>
      </c>
      <c r="B796" s="3" t="n">
        <v>37984</v>
      </c>
      <c r="C796" s="2" t="s">
        <v>91</v>
      </c>
      <c r="D796" s="2" t="s">
        <v>356</v>
      </c>
      <c r="E796" s="2" t="s">
        <v>546</v>
      </c>
      <c r="F796" s="2" t="s">
        <v>383</v>
      </c>
    </row>
    <row r="797" customFormat="false" ht="15" hidden="false" customHeight="false" outlineLevel="0" collapsed="false">
      <c r="A797" s="2" t="s">
        <v>282</v>
      </c>
      <c r="B797" s="3" t="n">
        <v>38409</v>
      </c>
      <c r="C797" s="2" t="s">
        <v>263</v>
      </c>
      <c r="D797" s="2" t="s">
        <v>356</v>
      </c>
      <c r="E797" s="2" t="s">
        <v>546</v>
      </c>
      <c r="F797" s="2" t="s">
        <v>361</v>
      </c>
    </row>
    <row r="798" customFormat="false" ht="15" hidden="false" customHeight="false" outlineLevel="0" collapsed="false">
      <c r="A798" s="2" t="s">
        <v>282</v>
      </c>
      <c r="B798" s="3" t="n">
        <v>41275</v>
      </c>
      <c r="C798" s="2" t="s">
        <v>206</v>
      </c>
      <c r="D798" s="2" t="s">
        <v>356</v>
      </c>
      <c r="E798" s="2" t="s">
        <v>546</v>
      </c>
      <c r="F798" s="2" t="s">
        <v>361</v>
      </c>
    </row>
    <row r="799" customFormat="false" ht="15" hidden="false" customHeight="false" outlineLevel="0" collapsed="false">
      <c r="A799" s="2" t="s">
        <v>282</v>
      </c>
      <c r="B799" s="3" t="n">
        <v>41667</v>
      </c>
      <c r="C799" s="2" t="s">
        <v>385</v>
      </c>
      <c r="D799" s="2" t="s">
        <v>356</v>
      </c>
      <c r="E799" s="2" t="s">
        <v>546</v>
      </c>
      <c r="F799" s="2" t="s">
        <v>380</v>
      </c>
    </row>
    <row r="800" customFormat="false" ht="15" hidden="false" customHeight="false" outlineLevel="0" collapsed="false">
      <c r="A800" s="2" t="s">
        <v>282</v>
      </c>
      <c r="B800" s="3" t="n">
        <v>42005</v>
      </c>
      <c r="C800" s="2" t="s">
        <v>23</v>
      </c>
      <c r="D800" s="2" t="s">
        <v>356</v>
      </c>
      <c r="E800" s="2" t="s">
        <v>546</v>
      </c>
      <c r="F800" s="2" t="s">
        <v>351</v>
      </c>
    </row>
    <row r="801" customFormat="false" ht="15" hidden="false" customHeight="false" outlineLevel="0" collapsed="false">
      <c r="A801" s="2" t="s">
        <v>282</v>
      </c>
      <c r="B801" s="3" t="n">
        <v>42364</v>
      </c>
      <c r="C801" s="2" t="s">
        <v>355</v>
      </c>
      <c r="D801" s="2" t="s">
        <v>356</v>
      </c>
      <c r="E801" s="2" t="s">
        <v>546</v>
      </c>
      <c r="F801" s="2" t="s">
        <v>354</v>
      </c>
    </row>
    <row r="802" customFormat="false" ht="15" hidden="false" customHeight="false" outlineLevel="0" collapsed="false">
      <c r="A802" s="2" t="s">
        <v>282</v>
      </c>
      <c r="B802" s="3" t="n">
        <v>42763</v>
      </c>
      <c r="C802" s="2" t="s">
        <v>138</v>
      </c>
      <c r="D802" s="2" t="s">
        <v>362</v>
      </c>
      <c r="E802" s="2" t="s">
        <v>546</v>
      </c>
      <c r="F802" s="2" t="s">
        <v>420</v>
      </c>
    </row>
    <row r="803" customFormat="false" ht="15" hidden="false" customHeight="false" outlineLevel="0" collapsed="false">
      <c r="A803" s="2" t="s">
        <v>282</v>
      </c>
      <c r="B803" s="3" t="n">
        <v>42865</v>
      </c>
      <c r="C803" s="2" t="s">
        <v>138</v>
      </c>
      <c r="D803" s="2" t="s">
        <v>356</v>
      </c>
      <c r="E803" s="2" t="s">
        <v>546</v>
      </c>
      <c r="F803" s="2" t="s">
        <v>353</v>
      </c>
    </row>
    <row r="804" customFormat="false" ht="15" hidden="false" customHeight="false" outlineLevel="0" collapsed="false">
      <c r="A804" s="2" t="s">
        <v>282</v>
      </c>
      <c r="B804" s="3" t="n">
        <v>43079</v>
      </c>
      <c r="C804" s="2" t="s">
        <v>11</v>
      </c>
      <c r="D804" s="2" t="s">
        <v>356</v>
      </c>
      <c r="E804" s="2" t="s">
        <v>546</v>
      </c>
      <c r="F804" s="2" t="s">
        <v>361</v>
      </c>
    </row>
    <row r="805" customFormat="false" ht="15" hidden="false" customHeight="false" outlineLevel="0" collapsed="false">
      <c r="A805" s="2" t="s">
        <v>282</v>
      </c>
      <c r="B805" s="3" t="n">
        <v>43450</v>
      </c>
      <c r="C805" s="2" t="s">
        <v>153</v>
      </c>
      <c r="D805" s="2" t="s">
        <v>356</v>
      </c>
      <c r="E805" s="2" t="s">
        <v>546</v>
      </c>
      <c r="F805" s="2" t="s">
        <v>382</v>
      </c>
    </row>
    <row r="806" customFormat="false" ht="15" hidden="false" customHeight="false" outlineLevel="0" collapsed="false">
      <c r="A806" s="2" t="s">
        <v>282</v>
      </c>
      <c r="B806" s="3" t="n">
        <v>44007</v>
      </c>
      <c r="C806" s="2" t="s">
        <v>130</v>
      </c>
      <c r="D806" s="2" t="s">
        <v>356</v>
      </c>
      <c r="E806" s="2" t="s">
        <v>546</v>
      </c>
      <c r="F806" s="2" t="s">
        <v>353</v>
      </c>
    </row>
    <row r="807" customFormat="false" ht="15" hidden="false" customHeight="false" outlineLevel="0" collapsed="false">
      <c r="A807" s="2" t="s">
        <v>282</v>
      </c>
      <c r="B807" s="3" t="n">
        <v>44219</v>
      </c>
      <c r="C807" s="2" t="s">
        <v>125</v>
      </c>
      <c r="D807" s="2" t="s">
        <v>362</v>
      </c>
      <c r="E807" s="2" t="s">
        <v>546</v>
      </c>
      <c r="F807" s="2" t="s">
        <v>348</v>
      </c>
    </row>
    <row r="808" customFormat="false" ht="15" hidden="false" customHeight="false" outlineLevel="0" collapsed="false">
      <c r="A808" s="2" t="s">
        <v>282</v>
      </c>
      <c r="B808" s="3" t="n">
        <v>44222</v>
      </c>
      <c r="C808" s="2" t="s">
        <v>125</v>
      </c>
      <c r="D808" s="2" t="s">
        <v>356</v>
      </c>
      <c r="E808" s="2" t="s">
        <v>546</v>
      </c>
      <c r="F808" s="2" t="s">
        <v>373</v>
      </c>
    </row>
    <row r="809" customFormat="false" ht="15" hidden="false" customHeight="false" outlineLevel="0" collapsed="false">
      <c r="A809" s="2" t="s">
        <v>282</v>
      </c>
      <c r="B809" s="3" t="n">
        <v>44667</v>
      </c>
      <c r="C809" s="2" t="s">
        <v>386</v>
      </c>
      <c r="D809" s="2" t="s">
        <v>356</v>
      </c>
      <c r="E809" s="2" t="s">
        <v>546</v>
      </c>
      <c r="F809" s="2" t="s">
        <v>348</v>
      </c>
    </row>
    <row r="810" customFormat="false" ht="15" hidden="false" customHeight="false" outlineLevel="0" collapsed="false">
      <c r="A810" s="2" t="s">
        <v>282</v>
      </c>
      <c r="B810" s="3" t="n">
        <v>44857</v>
      </c>
      <c r="C810" s="2" t="s">
        <v>147</v>
      </c>
      <c r="D810" s="2" t="s">
        <v>356</v>
      </c>
      <c r="E810" s="2" t="s">
        <v>546</v>
      </c>
      <c r="F810" s="2" t="s">
        <v>361</v>
      </c>
    </row>
    <row r="811" customFormat="false" ht="15" hidden="false" customHeight="false" outlineLevel="0" collapsed="false">
      <c r="A811" s="2" t="s">
        <v>282</v>
      </c>
      <c r="B811" s="3" t="n">
        <v>45802</v>
      </c>
      <c r="C811" s="2" t="s">
        <v>30</v>
      </c>
      <c r="D811" s="2" t="s">
        <v>356</v>
      </c>
      <c r="E811" s="2" t="s">
        <v>546</v>
      </c>
      <c r="F811" s="2" t="s">
        <v>360</v>
      </c>
    </row>
    <row r="812" customFormat="false" ht="15" hidden="false" customHeight="false" outlineLevel="0" collapsed="false">
      <c r="A812" s="2" t="s">
        <v>282</v>
      </c>
      <c r="B812" s="3" t="n">
        <v>46116</v>
      </c>
      <c r="C812" s="2" t="s">
        <v>32</v>
      </c>
      <c r="D812" s="2" t="s">
        <v>362</v>
      </c>
      <c r="E812" s="2" t="s">
        <v>546</v>
      </c>
      <c r="F812" s="2" t="s">
        <v>359</v>
      </c>
    </row>
    <row r="813" customFormat="false" ht="15" hidden="false" customHeight="false" outlineLevel="0" collapsed="false">
      <c r="A813" s="2" t="s">
        <v>285</v>
      </c>
      <c r="B813" s="3" t="n">
        <v>36781</v>
      </c>
      <c r="C813" s="2" t="s">
        <v>89</v>
      </c>
      <c r="D813" s="2" t="s">
        <v>352</v>
      </c>
      <c r="E813" s="2" t="s">
        <v>547</v>
      </c>
      <c r="F813" s="2" t="s">
        <v>383</v>
      </c>
    </row>
    <row r="814" customFormat="false" ht="15" hidden="false" customHeight="false" outlineLevel="0" collapsed="false">
      <c r="A814" s="2" t="s">
        <v>285</v>
      </c>
      <c r="B814" s="3" t="n">
        <v>38643</v>
      </c>
      <c r="C814" s="2" t="s">
        <v>123</v>
      </c>
      <c r="D814" s="2" t="s">
        <v>352</v>
      </c>
      <c r="E814" s="2" t="s">
        <v>547</v>
      </c>
      <c r="F814" s="2" t="s">
        <v>353</v>
      </c>
    </row>
    <row r="815" customFormat="false" ht="15" hidden="false" customHeight="false" outlineLevel="0" collapsed="false">
      <c r="A815" s="2" t="s">
        <v>285</v>
      </c>
      <c r="B815" s="3" t="n">
        <v>39309</v>
      </c>
      <c r="C815" s="2" t="s">
        <v>297</v>
      </c>
      <c r="D815" s="2" t="s">
        <v>352</v>
      </c>
      <c r="E815" s="2" t="s">
        <v>547</v>
      </c>
      <c r="F815" s="2" t="s">
        <v>353</v>
      </c>
    </row>
    <row r="816" customFormat="false" ht="15" hidden="false" customHeight="false" outlineLevel="0" collapsed="false">
      <c r="A816" s="2" t="s">
        <v>287</v>
      </c>
      <c r="B816" s="3" t="n">
        <v>36852</v>
      </c>
      <c r="C816" s="2" t="s">
        <v>89</v>
      </c>
      <c r="D816" s="2" t="s">
        <v>352</v>
      </c>
      <c r="E816" s="2" t="s">
        <v>548</v>
      </c>
      <c r="F816" s="2" t="s">
        <v>397</v>
      </c>
    </row>
    <row r="817" customFormat="false" ht="15" hidden="false" customHeight="false" outlineLevel="0" collapsed="false">
      <c r="A817" s="2" t="s">
        <v>288</v>
      </c>
      <c r="B817" s="3" t="n">
        <v>40505</v>
      </c>
      <c r="C817" s="2" t="s">
        <v>187</v>
      </c>
      <c r="D817" s="2" t="s">
        <v>352</v>
      </c>
      <c r="E817" s="2" t="s">
        <v>549</v>
      </c>
      <c r="F817" s="2" t="s">
        <v>351</v>
      </c>
    </row>
    <row r="818" customFormat="false" ht="15" hidden="false" customHeight="false" outlineLevel="0" collapsed="false">
      <c r="A818" s="2" t="s">
        <v>289</v>
      </c>
      <c r="B818" s="3" t="n">
        <v>43398</v>
      </c>
      <c r="C818" s="2" t="s">
        <v>153</v>
      </c>
      <c r="D818" s="2" t="s">
        <v>346</v>
      </c>
      <c r="E818" s="2" t="s">
        <v>550</v>
      </c>
      <c r="F818" s="2" t="s">
        <v>383</v>
      </c>
    </row>
    <row r="819" customFormat="false" ht="15" hidden="false" customHeight="false" outlineLevel="0" collapsed="false">
      <c r="A819" s="2" t="s">
        <v>289</v>
      </c>
      <c r="B819" s="3" t="n">
        <v>44994</v>
      </c>
      <c r="C819" s="2" t="s">
        <v>147</v>
      </c>
      <c r="D819" s="2" t="s">
        <v>346</v>
      </c>
      <c r="E819" s="2" t="s">
        <v>550</v>
      </c>
      <c r="F819" s="2" t="s">
        <v>380</v>
      </c>
    </row>
    <row r="820" customFormat="false" ht="15" hidden="false" customHeight="false" outlineLevel="0" collapsed="false">
      <c r="A820" s="2" t="s">
        <v>289</v>
      </c>
      <c r="B820" s="3" t="n">
        <v>45622</v>
      </c>
      <c r="C820" s="2" t="s">
        <v>30</v>
      </c>
      <c r="D820" s="2" t="s">
        <v>352</v>
      </c>
      <c r="E820" s="2" t="s">
        <v>550</v>
      </c>
      <c r="F820" s="2" t="s">
        <v>435</v>
      </c>
    </row>
    <row r="821" customFormat="false" ht="15" hidden="false" customHeight="false" outlineLevel="0" collapsed="false">
      <c r="A821" s="2" t="s">
        <v>289</v>
      </c>
      <c r="B821" s="3" t="n">
        <v>46119</v>
      </c>
      <c r="C821" s="2" t="s">
        <v>32</v>
      </c>
      <c r="D821" s="2" t="s">
        <v>352</v>
      </c>
      <c r="E821" s="2" t="s">
        <v>550</v>
      </c>
      <c r="F821" s="2" t="s">
        <v>383</v>
      </c>
    </row>
    <row r="822" customFormat="false" ht="15" hidden="false" customHeight="false" outlineLevel="0" collapsed="false">
      <c r="A822" s="2" t="s">
        <v>291</v>
      </c>
      <c r="B822" s="3" t="n">
        <v>40072</v>
      </c>
      <c r="C822" s="2" t="s">
        <v>42</v>
      </c>
      <c r="D822" s="2" t="s">
        <v>352</v>
      </c>
      <c r="E822" s="2" t="s">
        <v>551</v>
      </c>
      <c r="F822" s="2" t="s">
        <v>366</v>
      </c>
    </row>
    <row r="823" customFormat="false" ht="15" hidden="false" customHeight="false" outlineLevel="0" collapsed="false">
      <c r="A823" s="2" t="s">
        <v>293</v>
      </c>
      <c r="B823" s="3" t="n">
        <v>34276</v>
      </c>
      <c r="C823" s="2" t="s">
        <v>218</v>
      </c>
      <c r="D823" s="2" t="s">
        <v>393</v>
      </c>
      <c r="E823" s="2" t="s">
        <v>552</v>
      </c>
      <c r="F823" s="2" t="s">
        <v>553</v>
      </c>
    </row>
    <row r="824" customFormat="false" ht="15" hidden="false" customHeight="false" outlineLevel="0" collapsed="false">
      <c r="A824" s="2" t="s">
        <v>293</v>
      </c>
      <c r="B824" s="3" t="n">
        <v>43811</v>
      </c>
      <c r="C824" s="2" t="s">
        <v>130</v>
      </c>
      <c r="D824" s="2" t="s">
        <v>346</v>
      </c>
      <c r="E824" s="2" t="s">
        <v>552</v>
      </c>
      <c r="F824" s="2" t="s">
        <v>380</v>
      </c>
    </row>
    <row r="825" customFormat="false" ht="15" hidden="false" customHeight="false" outlineLevel="0" collapsed="false">
      <c r="A825" s="2" t="s">
        <v>296</v>
      </c>
      <c r="B825" s="3" t="n">
        <v>39357</v>
      </c>
      <c r="C825" s="2" t="s">
        <v>297</v>
      </c>
      <c r="D825" s="2" t="s">
        <v>352</v>
      </c>
      <c r="E825" s="2" t="s">
        <v>554</v>
      </c>
      <c r="F825" s="2" t="s">
        <v>383</v>
      </c>
    </row>
    <row r="826" customFormat="false" ht="15" hidden="false" customHeight="false" outlineLevel="0" collapsed="false">
      <c r="A826" s="2" t="s">
        <v>298</v>
      </c>
      <c r="B826" s="3" t="n">
        <v>32879</v>
      </c>
      <c r="C826" s="2" t="s">
        <v>240</v>
      </c>
      <c r="D826" s="2" t="s">
        <v>362</v>
      </c>
      <c r="E826" s="2" t="s">
        <v>555</v>
      </c>
      <c r="F826" s="2" t="s">
        <v>383</v>
      </c>
    </row>
    <row r="827" customFormat="false" ht="15" hidden="false" customHeight="false" outlineLevel="0" collapsed="false">
      <c r="A827" s="2" t="s">
        <v>298</v>
      </c>
      <c r="B827" s="3" t="n">
        <v>35361</v>
      </c>
      <c r="C827" s="2" t="s">
        <v>73</v>
      </c>
      <c r="D827" s="2" t="s">
        <v>379</v>
      </c>
      <c r="E827" s="2" t="s">
        <v>555</v>
      </c>
      <c r="F827" s="2" t="s">
        <v>361</v>
      </c>
    </row>
    <row r="828" customFormat="false" ht="15" hidden="false" customHeight="false" outlineLevel="0" collapsed="false">
      <c r="A828" s="2" t="s">
        <v>298</v>
      </c>
      <c r="B828" s="3" t="n">
        <v>39753</v>
      </c>
      <c r="C828" s="2" t="s">
        <v>312</v>
      </c>
      <c r="D828" s="2" t="s">
        <v>356</v>
      </c>
      <c r="E828" s="2" t="s">
        <v>555</v>
      </c>
      <c r="F828" s="2" t="s">
        <v>359</v>
      </c>
    </row>
    <row r="829" customFormat="false" ht="15" hidden="false" customHeight="false" outlineLevel="0" collapsed="false">
      <c r="A829" s="2" t="s">
        <v>298</v>
      </c>
      <c r="B829" s="3" t="n">
        <v>40202</v>
      </c>
      <c r="C829" s="2" t="s">
        <v>42</v>
      </c>
      <c r="D829" s="2" t="s">
        <v>362</v>
      </c>
      <c r="E829" s="2" t="s">
        <v>555</v>
      </c>
      <c r="F829" s="2" t="s">
        <v>377</v>
      </c>
    </row>
    <row r="830" customFormat="false" ht="15" hidden="false" customHeight="false" outlineLevel="0" collapsed="false">
      <c r="A830" s="2" t="s">
        <v>298</v>
      </c>
      <c r="B830" s="3" t="n">
        <v>40236</v>
      </c>
      <c r="C830" s="2" t="s">
        <v>42</v>
      </c>
      <c r="D830" s="2" t="s">
        <v>356</v>
      </c>
      <c r="E830" s="2" t="s">
        <v>555</v>
      </c>
      <c r="F830" s="2" t="s">
        <v>373</v>
      </c>
    </row>
    <row r="831" customFormat="false" ht="15" hidden="false" customHeight="false" outlineLevel="0" collapsed="false">
      <c r="A831" s="2" t="s">
        <v>298</v>
      </c>
      <c r="B831" s="3" t="n">
        <v>40671</v>
      </c>
      <c r="C831" s="2" t="s">
        <v>187</v>
      </c>
      <c r="D831" s="2" t="s">
        <v>356</v>
      </c>
      <c r="E831" s="2" t="s">
        <v>555</v>
      </c>
      <c r="F831" s="2" t="s">
        <v>377</v>
      </c>
    </row>
    <row r="832" customFormat="false" ht="15" hidden="false" customHeight="false" outlineLevel="0" collapsed="false">
      <c r="A832" s="2" t="s">
        <v>298</v>
      </c>
      <c r="B832" s="3" t="n">
        <v>41027</v>
      </c>
      <c r="C832" s="2" t="s">
        <v>314</v>
      </c>
      <c r="D832" s="2" t="s">
        <v>356</v>
      </c>
      <c r="E832" s="2" t="s">
        <v>555</v>
      </c>
      <c r="F832" s="2" t="s">
        <v>361</v>
      </c>
    </row>
    <row r="833" customFormat="false" ht="15" hidden="false" customHeight="false" outlineLevel="0" collapsed="false">
      <c r="A833" s="2" t="s">
        <v>298</v>
      </c>
      <c r="B833" s="3" t="n">
        <v>41147</v>
      </c>
      <c r="C833" s="2" t="s">
        <v>206</v>
      </c>
      <c r="D833" s="2" t="s">
        <v>356</v>
      </c>
      <c r="E833" s="2" t="s">
        <v>555</v>
      </c>
      <c r="F833" s="2" t="s">
        <v>369</v>
      </c>
    </row>
    <row r="834" customFormat="false" ht="15" hidden="false" customHeight="false" outlineLevel="0" collapsed="false">
      <c r="A834" s="2" t="s">
        <v>298</v>
      </c>
      <c r="B834" s="3" t="n">
        <v>41699</v>
      </c>
      <c r="C834" s="2" t="s">
        <v>385</v>
      </c>
      <c r="D834" s="2" t="s">
        <v>356</v>
      </c>
      <c r="E834" s="2" t="s">
        <v>555</v>
      </c>
      <c r="F834" s="2" t="s">
        <v>348</v>
      </c>
    </row>
    <row r="835" customFormat="false" ht="15" hidden="false" customHeight="false" outlineLevel="0" collapsed="false">
      <c r="A835" s="2" t="s">
        <v>298</v>
      </c>
      <c r="B835" s="3" t="n">
        <v>41979</v>
      </c>
      <c r="C835" s="2" t="s">
        <v>23</v>
      </c>
      <c r="D835" s="2" t="s">
        <v>356</v>
      </c>
      <c r="E835" s="2" t="s">
        <v>555</v>
      </c>
      <c r="F835" s="2" t="s">
        <v>382</v>
      </c>
    </row>
    <row r="836" customFormat="false" ht="15" hidden="false" customHeight="false" outlineLevel="0" collapsed="false">
      <c r="A836" s="2" t="s">
        <v>298</v>
      </c>
      <c r="B836" s="3" t="n">
        <v>42386</v>
      </c>
      <c r="C836" s="2" t="s">
        <v>355</v>
      </c>
      <c r="D836" s="2" t="s">
        <v>356</v>
      </c>
      <c r="E836" s="2" t="s">
        <v>555</v>
      </c>
      <c r="F836" s="2" t="s">
        <v>369</v>
      </c>
    </row>
    <row r="837" customFormat="false" ht="15" hidden="false" customHeight="false" outlineLevel="0" collapsed="false">
      <c r="A837" s="2" t="s">
        <v>298</v>
      </c>
      <c r="B837" s="3" t="n">
        <v>42868</v>
      </c>
      <c r="C837" s="2" t="s">
        <v>138</v>
      </c>
      <c r="D837" s="2" t="s">
        <v>356</v>
      </c>
      <c r="E837" s="2" t="s">
        <v>555</v>
      </c>
      <c r="F837" s="2" t="s">
        <v>407</v>
      </c>
    </row>
    <row r="838" customFormat="false" ht="15" hidden="false" customHeight="false" outlineLevel="0" collapsed="false">
      <c r="A838" s="2" t="s">
        <v>298</v>
      </c>
      <c r="B838" s="3" t="n">
        <v>42966</v>
      </c>
      <c r="C838" s="2" t="s">
        <v>11</v>
      </c>
      <c r="D838" s="2" t="s">
        <v>356</v>
      </c>
      <c r="E838" s="2" t="s">
        <v>555</v>
      </c>
      <c r="F838" s="2" t="s">
        <v>348</v>
      </c>
    </row>
    <row r="839" customFormat="false" ht="15" hidden="false" customHeight="false" outlineLevel="0" collapsed="false">
      <c r="A839" s="2" t="s">
        <v>301</v>
      </c>
      <c r="B839" s="3" t="n">
        <v>33362</v>
      </c>
      <c r="C839" s="2" t="s">
        <v>99</v>
      </c>
      <c r="D839" s="2" t="s">
        <v>375</v>
      </c>
      <c r="E839" s="2" t="s">
        <v>556</v>
      </c>
      <c r="F839" s="2" t="s">
        <v>369</v>
      </c>
    </row>
    <row r="840" customFormat="false" ht="15" hidden="false" customHeight="false" outlineLevel="0" collapsed="false">
      <c r="A840" s="2" t="s">
        <v>301</v>
      </c>
      <c r="B840" s="3" t="n">
        <v>35441</v>
      </c>
      <c r="C840" s="2" t="s">
        <v>73</v>
      </c>
      <c r="D840" s="2" t="s">
        <v>356</v>
      </c>
      <c r="E840" s="2" t="s">
        <v>556</v>
      </c>
      <c r="F840" s="2" t="s">
        <v>348</v>
      </c>
    </row>
    <row r="841" customFormat="false" ht="15" hidden="false" customHeight="false" outlineLevel="0" collapsed="false">
      <c r="A841" s="2" t="s">
        <v>301</v>
      </c>
      <c r="B841" s="3" t="n">
        <v>35445</v>
      </c>
      <c r="C841" s="2" t="s">
        <v>73</v>
      </c>
      <c r="D841" s="2" t="s">
        <v>362</v>
      </c>
      <c r="E841" s="2" t="s">
        <v>556</v>
      </c>
      <c r="F841" s="2" t="s">
        <v>353</v>
      </c>
    </row>
    <row r="842" customFormat="false" ht="15" hidden="false" customHeight="false" outlineLevel="0" collapsed="false">
      <c r="A842" s="2" t="s">
        <v>301</v>
      </c>
      <c r="B842" s="3" t="n">
        <v>36386</v>
      </c>
      <c r="C842" s="2" t="s">
        <v>19</v>
      </c>
      <c r="D842" s="2" t="s">
        <v>356</v>
      </c>
      <c r="E842" s="2" t="s">
        <v>556</v>
      </c>
      <c r="F842" s="2" t="s">
        <v>369</v>
      </c>
    </row>
    <row r="843" customFormat="false" ht="15" hidden="false" customHeight="false" outlineLevel="0" collapsed="false">
      <c r="A843" s="2" t="s">
        <v>301</v>
      </c>
      <c r="B843" s="3" t="n">
        <v>36757</v>
      </c>
      <c r="C843" s="2" t="s">
        <v>89</v>
      </c>
      <c r="D843" s="2" t="s">
        <v>356</v>
      </c>
      <c r="E843" s="2" t="s">
        <v>556</v>
      </c>
      <c r="F843" s="2" t="s">
        <v>348</v>
      </c>
    </row>
    <row r="844" customFormat="false" ht="15" hidden="false" customHeight="false" outlineLevel="0" collapsed="false">
      <c r="A844" s="2" t="s">
        <v>301</v>
      </c>
      <c r="B844" s="3" t="n">
        <v>37191</v>
      </c>
      <c r="C844" s="2" t="s">
        <v>115</v>
      </c>
      <c r="D844" s="2" t="s">
        <v>356</v>
      </c>
      <c r="E844" s="2" t="s">
        <v>556</v>
      </c>
      <c r="F844" s="2" t="s">
        <v>361</v>
      </c>
    </row>
    <row r="845" customFormat="false" ht="15" hidden="false" customHeight="false" outlineLevel="0" collapsed="false">
      <c r="A845" s="2" t="s">
        <v>301</v>
      </c>
      <c r="B845" s="3" t="n">
        <v>37752</v>
      </c>
      <c r="C845" s="2" t="s">
        <v>135</v>
      </c>
      <c r="D845" s="2" t="s">
        <v>356</v>
      </c>
      <c r="E845" s="2" t="s">
        <v>556</v>
      </c>
      <c r="F845" s="2" t="s">
        <v>365</v>
      </c>
    </row>
    <row r="846" customFormat="false" ht="15" hidden="false" customHeight="false" outlineLevel="0" collapsed="false">
      <c r="A846" s="2" t="s">
        <v>301</v>
      </c>
      <c r="B846" s="3" t="n">
        <v>38650</v>
      </c>
      <c r="C846" s="2" t="s">
        <v>123</v>
      </c>
      <c r="D846" s="2" t="s">
        <v>379</v>
      </c>
      <c r="E846" s="2" t="s">
        <v>556</v>
      </c>
      <c r="F846" s="2" t="s">
        <v>363</v>
      </c>
    </row>
    <row r="847" customFormat="false" ht="15" hidden="false" customHeight="false" outlineLevel="0" collapsed="false">
      <c r="A847" s="2" t="s">
        <v>301</v>
      </c>
      <c r="B847" s="3" t="n">
        <v>38838</v>
      </c>
      <c r="C847" s="2" t="s">
        <v>123</v>
      </c>
      <c r="D847" s="2" t="s">
        <v>356</v>
      </c>
      <c r="E847" s="2" t="s">
        <v>556</v>
      </c>
      <c r="F847" s="2" t="s">
        <v>363</v>
      </c>
    </row>
    <row r="848" customFormat="false" ht="15" hidden="false" customHeight="false" outlineLevel="0" collapsed="false">
      <c r="A848" s="2" t="s">
        <v>301</v>
      </c>
      <c r="B848" s="3" t="n">
        <v>39579</v>
      </c>
      <c r="C848" s="2" t="s">
        <v>297</v>
      </c>
      <c r="D848" s="2" t="s">
        <v>356</v>
      </c>
      <c r="E848" s="2" t="s">
        <v>556</v>
      </c>
      <c r="F848" s="2" t="s">
        <v>383</v>
      </c>
    </row>
    <row r="849" customFormat="false" ht="15" hidden="false" customHeight="false" outlineLevel="0" collapsed="false">
      <c r="A849" s="2" t="s">
        <v>301</v>
      </c>
      <c r="B849" s="3" t="n">
        <v>39725</v>
      </c>
      <c r="C849" s="2" t="s">
        <v>312</v>
      </c>
      <c r="D849" s="2" t="s">
        <v>356</v>
      </c>
      <c r="E849" s="2" t="s">
        <v>556</v>
      </c>
      <c r="F849" s="2" t="s">
        <v>361</v>
      </c>
    </row>
    <row r="850" customFormat="false" ht="15" hidden="false" customHeight="false" outlineLevel="0" collapsed="false">
      <c r="A850" s="2" t="s">
        <v>301</v>
      </c>
      <c r="B850" s="3" t="n">
        <v>40138</v>
      </c>
      <c r="C850" s="2" t="s">
        <v>42</v>
      </c>
      <c r="D850" s="2" t="s">
        <v>356</v>
      </c>
      <c r="E850" s="2" t="s">
        <v>556</v>
      </c>
      <c r="F850" s="2" t="s">
        <v>348</v>
      </c>
    </row>
    <row r="851" customFormat="false" ht="15" hidden="false" customHeight="false" outlineLevel="0" collapsed="false">
      <c r="A851" s="2" t="s">
        <v>301</v>
      </c>
      <c r="B851" s="3" t="n">
        <v>40439</v>
      </c>
      <c r="C851" s="2" t="s">
        <v>187</v>
      </c>
      <c r="D851" s="2" t="s">
        <v>356</v>
      </c>
      <c r="E851" s="2" t="s">
        <v>556</v>
      </c>
      <c r="F851" s="2" t="s">
        <v>361</v>
      </c>
    </row>
    <row r="852" customFormat="false" ht="15" hidden="false" customHeight="false" outlineLevel="0" collapsed="false">
      <c r="A852" s="2" t="s">
        <v>301</v>
      </c>
      <c r="B852" s="3" t="n">
        <v>40950</v>
      </c>
      <c r="C852" s="2" t="s">
        <v>314</v>
      </c>
      <c r="D852" s="2" t="s">
        <v>356</v>
      </c>
      <c r="E852" s="2" t="s">
        <v>556</v>
      </c>
      <c r="F852" s="2" t="s">
        <v>360</v>
      </c>
    </row>
    <row r="853" customFormat="false" ht="15" hidden="false" customHeight="false" outlineLevel="0" collapsed="false">
      <c r="A853" s="2" t="s">
        <v>301</v>
      </c>
      <c r="B853" s="3" t="n">
        <v>40957</v>
      </c>
      <c r="C853" s="2" t="s">
        <v>314</v>
      </c>
      <c r="D853" s="2" t="s">
        <v>362</v>
      </c>
      <c r="E853" s="2" t="s">
        <v>556</v>
      </c>
      <c r="F853" s="2" t="s">
        <v>351</v>
      </c>
    </row>
    <row r="854" customFormat="false" ht="15" hidden="false" customHeight="false" outlineLevel="0" collapsed="false">
      <c r="A854" s="2" t="s">
        <v>301</v>
      </c>
      <c r="B854" s="3" t="n">
        <v>41314</v>
      </c>
      <c r="C854" s="2" t="s">
        <v>206</v>
      </c>
      <c r="D854" s="2" t="s">
        <v>356</v>
      </c>
      <c r="E854" s="2" t="s">
        <v>556</v>
      </c>
      <c r="F854" s="2" t="s">
        <v>383</v>
      </c>
    </row>
    <row r="855" customFormat="false" ht="15" hidden="false" customHeight="false" outlineLevel="0" collapsed="false">
      <c r="A855" s="2" t="s">
        <v>301</v>
      </c>
      <c r="B855" s="3" t="n">
        <v>41531</v>
      </c>
      <c r="C855" s="2" t="s">
        <v>385</v>
      </c>
      <c r="D855" s="2" t="s">
        <v>356</v>
      </c>
      <c r="E855" s="2" t="s">
        <v>556</v>
      </c>
      <c r="F855" s="2" t="s">
        <v>373</v>
      </c>
    </row>
    <row r="856" customFormat="false" ht="15" hidden="false" customHeight="false" outlineLevel="0" collapsed="false">
      <c r="A856" s="2" t="s">
        <v>301</v>
      </c>
      <c r="B856" s="3" t="n">
        <v>41937</v>
      </c>
      <c r="C856" s="2" t="s">
        <v>23</v>
      </c>
      <c r="D856" s="2" t="s">
        <v>356</v>
      </c>
      <c r="E856" s="2" t="s">
        <v>556</v>
      </c>
      <c r="F856" s="2" t="s">
        <v>353</v>
      </c>
    </row>
    <row r="857" customFormat="false" ht="15" hidden="false" customHeight="false" outlineLevel="0" collapsed="false">
      <c r="A857" s="2" t="s">
        <v>301</v>
      </c>
      <c r="B857" s="3" t="n">
        <v>42484</v>
      </c>
      <c r="C857" s="2" t="s">
        <v>355</v>
      </c>
      <c r="D857" s="2" t="s">
        <v>356</v>
      </c>
      <c r="E857" s="2" t="s">
        <v>556</v>
      </c>
      <c r="F857" s="2" t="s">
        <v>369</v>
      </c>
    </row>
    <row r="858" customFormat="false" ht="15" hidden="false" customHeight="false" outlineLevel="0" collapsed="false">
      <c r="A858" s="2" t="s">
        <v>301</v>
      </c>
      <c r="B858" s="3" t="n">
        <v>42672</v>
      </c>
      <c r="C858" s="2" t="s">
        <v>138</v>
      </c>
      <c r="D858" s="2" t="s">
        <v>356</v>
      </c>
      <c r="E858" s="2" t="s">
        <v>556</v>
      </c>
      <c r="F858" s="2" t="s">
        <v>407</v>
      </c>
    </row>
    <row r="859" customFormat="false" ht="15" hidden="false" customHeight="false" outlineLevel="0" collapsed="false">
      <c r="A859" s="2" t="s">
        <v>301</v>
      </c>
      <c r="B859" s="3" t="n">
        <v>45969</v>
      </c>
      <c r="C859" s="2" t="s">
        <v>32</v>
      </c>
      <c r="D859" s="2" t="s">
        <v>356</v>
      </c>
      <c r="E859" s="2" t="s">
        <v>556</v>
      </c>
      <c r="F859" s="2" t="s">
        <v>380</v>
      </c>
    </row>
    <row r="860" customFormat="false" ht="15" hidden="false" customHeight="false" outlineLevel="0" collapsed="false">
      <c r="A860" s="2" t="s">
        <v>304</v>
      </c>
      <c r="B860" s="3" t="n">
        <v>42786</v>
      </c>
      <c r="C860" s="2" t="s">
        <v>138</v>
      </c>
      <c r="D860" s="2" t="s">
        <v>362</v>
      </c>
      <c r="E860" s="2" t="s">
        <v>557</v>
      </c>
      <c r="F860" s="2" t="s">
        <v>353</v>
      </c>
    </row>
    <row r="861" customFormat="false" ht="15" hidden="false" customHeight="false" outlineLevel="0" collapsed="false">
      <c r="A861" s="2" t="s">
        <v>305</v>
      </c>
      <c r="B861" s="3" t="n">
        <v>40923</v>
      </c>
      <c r="C861" s="2" t="s">
        <v>314</v>
      </c>
      <c r="D861" s="2" t="s">
        <v>356</v>
      </c>
      <c r="E861" s="2" t="s">
        <v>558</v>
      </c>
      <c r="F861" s="2" t="s">
        <v>382</v>
      </c>
    </row>
    <row r="862" customFormat="false" ht="15" hidden="false" customHeight="false" outlineLevel="0" collapsed="false">
      <c r="A862" s="2" t="s">
        <v>305</v>
      </c>
      <c r="B862" s="3" t="n">
        <v>41280</v>
      </c>
      <c r="C862" s="2" t="s">
        <v>206</v>
      </c>
      <c r="D862" s="2" t="s">
        <v>362</v>
      </c>
      <c r="E862" s="2" t="s">
        <v>558</v>
      </c>
      <c r="F862" s="2" t="s">
        <v>380</v>
      </c>
    </row>
    <row r="863" customFormat="false" ht="15" hidden="false" customHeight="false" outlineLevel="0" collapsed="false">
      <c r="A863" s="2" t="s">
        <v>305</v>
      </c>
      <c r="B863" s="3" t="n">
        <v>41349</v>
      </c>
      <c r="C863" s="2" t="s">
        <v>206</v>
      </c>
      <c r="D863" s="2" t="s">
        <v>356</v>
      </c>
      <c r="E863" s="2" t="s">
        <v>558</v>
      </c>
      <c r="F863" s="2" t="s">
        <v>353</v>
      </c>
    </row>
    <row r="864" customFormat="false" ht="15" hidden="false" customHeight="false" outlineLevel="0" collapsed="false">
      <c r="A864" s="2" t="s">
        <v>305</v>
      </c>
      <c r="B864" s="3" t="n">
        <v>41545</v>
      </c>
      <c r="C864" s="2" t="s">
        <v>385</v>
      </c>
      <c r="D864" s="2" t="s">
        <v>356</v>
      </c>
      <c r="E864" s="2" t="s">
        <v>558</v>
      </c>
      <c r="F864" s="2" t="s">
        <v>360</v>
      </c>
    </row>
    <row r="865" customFormat="false" ht="15" hidden="false" customHeight="false" outlineLevel="0" collapsed="false">
      <c r="A865" s="2" t="s">
        <v>305</v>
      </c>
      <c r="B865" s="3" t="n">
        <v>41952</v>
      </c>
      <c r="C865" s="2" t="s">
        <v>23</v>
      </c>
      <c r="D865" s="2" t="s">
        <v>356</v>
      </c>
      <c r="E865" s="2" t="s">
        <v>558</v>
      </c>
      <c r="F865" s="2" t="s">
        <v>359</v>
      </c>
    </row>
    <row r="866" customFormat="false" ht="15" hidden="false" customHeight="false" outlineLevel="0" collapsed="false">
      <c r="A866" s="2" t="s">
        <v>305</v>
      </c>
      <c r="B866" s="3" t="n">
        <v>42308</v>
      </c>
      <c r="C866" s="2" t="s">
        <v>355</v>
      </c>
      <c r="D866" s="2" t="s">
        <v>356</v>
      </c>
      <c r="E866" s="2" t="s">
        <v>558</v>
      </c>
      <c r="F866" s="2" t="s">
        <v>363</v>
      </c>
    </row>
    <row r="867" customFormat="false" ht="15" hidden="false" customHeight="false" outlineLevel="0" collapsed="false">
      <c r="A867" s="2" t="s">
        <v>305</v>
      </c>
      <c r="B867" s="3" t="n">
        <v>42749</v>
      </c>
      <c r="C867" s="2" t="s">
        <v>138</v>
      </c>
      <c r="D867" s="2" t="s">
        <v>356</v>
      </c>
      <c r="E867" s="2" t="s">
        <v>558</v>
      </c>
      <c r="F867" s="2" t="s">
        <v>365</v>
      </c>
    </row>
    <row r="868" customFormat="false" ht="15" hidden="false" customHeight="false" outlineLevel="0" collapsed="false">
      <c r="A868" s="2" t="s">
        <v>305</v>
      </c>
      <c r="B868" s="3" t="n">
        <v>43130</v>
      </c>
      <c r="C868" s="2" t="s">
        <v>11</v>
      </c>
      <c r="D868" s="2" t="s">
        <v>356</v>
      </c>
      <c r="E868" s="2" t="s">
        <v>558</v>
      </c>
      <c r="F868" s="2" t="s">
        <v>377</v>
      </c>
    </row>
    <row r="869" customFormat="false" ht="15" hidden="false" customHeight="false" outlineLevel="0" collapsed="false">
      <c r="A869" s="2" t="s">
        <v>307</v>
      </c>
      <c r="B869" s="3" t="n">
        <v>34330</v>
      </c>
      <c r="C869" s="2" t="s">
        <v>218</v>
      </c>
      <c r="D869" s="2" t="s">
        <v>356</v>
      </c>
      <c r="E869" s="2" t="s">
        <v>559</v>
      </c>
      <c r="F869" s="2" t="s">
        <v>365</v>
      </c>
    </row>
    <row r="870" customFormat="false" ht="15" hidden="false" customHeight="false" outlineLevel="0" collapsed="false">
      <c r="A870" s="2" t="s">
        <v>308</v>
      </c>
      <c r="B870" s="3" t="n">
        <v>34395</v>
      </c>
      <c r="C870" s="2" t="s">
        <v>218</v>
      </c>
      <c r="D870" s="2" t="s">
        <v>393</v>
      </c>
      <c r="E870" s="2" t="s">
        <v>560</v>
      </c>
      <c r="F870" s="2" t="s">
        <v>369</v>
      </c>
    </row>
    <row r="871" customFormat="false" ht="15" hidden="false" customHeight="false" outlineLevel="0" collapsed="false">
      <c r="A871" s="2" t="s">
        <v>309</v>
      </c>
      <c r="B871" s="3" t="n">
        <v>32396</v>
      </c>
      <c r="C871" s="2" t="s">
        <v>374</v>
      </c>
      <c r="D871" s="2" t="s">
        <v>375</v>
      </c>
      <c r="E871" s="2" t="s">
        <v>561</v>
      </c>
      <c r="F871" s="2" t="s">
        <v>366</v>
      </c>
    </row>
    <row r="872" customFormat="false" ht="15" hidden="false" customHeight="false" outlineLevel="0" collapsed="false">
      <c r="A872" s="2" t="s">
        <v>309</v>
      </c>
      <c r="B872" s="3" t="n">
        <v>32799</v>
      </c>
      <c r="C872" s="2" t="s">
        <v>240</v>
      </c>
      <c r="D872" s="2" t="s">
        <v>375</v>
      </c>
      <c r="E872" s="2" t="s">
        <v>561</v>
      </c>
      <c r="F872" s="2" t="s">
        <v>359</v>
      </c>
    </row>
    <row r="873" customFormat="false" ht="15" hidden="false" customHeight="false" outlineLevel="0" collapsed="false">
      <c r="A873" s="2" t="s">
        <v>309</v>
      </c>
      <c r="B873" s="3" t="n">
        <v>33250</v>
      </c>
      <c r="C873" s="2" t="s">
        <v>99</v>
      </c>
      <c r="D873" s="2" t="s">
        <v>375</v>
      </c>
      <c r="E873" s="2" t="s">
        <v>561</v>
      </c>
      <c r="F873" s="2" t="s">
        <v>369</v>
      </c>
    </row>
    <row r="874" customFormat="false" ht="15" hidden="false" customHeight="false" outlineLevel="0" collapsed="false">
      <c r="A874" s="2" t="s">
        <v>309</v>
      </c>
      <c r="B874" s="3" t="n">
        <v>33656</v>
      </c>
      <c r="C874" s="2" t="s">
        <v>38</v>
      </c>
      <c r="D874" s="2" t="s">
        <v>375</v>
      </c>
      <c r="E874" s="2" t="s">
        <v>561</v>
      </c>
      <c r="F874" s="2" t="s">
        <v>361</v>
      </c>
    </row>
    <row r="875" customFormat="false" ht="15" hidden="false" customHeight="false" outlineLevel="0" collapsed="false">
      <c r="A875" s="2" t="s">
        <v>309</v>
      </c>
      <c r="B875" s="3" t="n">
        <v>33950</v>
      </c>
      <c r="C875" s="2" t="s">
        <v>267</v>
      </c>
      <c r="D875" s="2" t="s">
        <v>356</v>
      </c>
      <c r="E875" s="2" t="s">
        <v>561</v>
      </c>
      <c r="F875" s="2" t="s">
        <v>348</v>
      </c>
    </row>
    <row r="876" customFormat="false" ht="15" hidden="false" customHeight="false" outlineLevel="0" collapsed="false">
      <c r="A876" s="2" t="s">
        <v>309</v>
      </c>
      <c r="B876" s="3" t="n">
        <v>34197</v>
      </c>
      <c r="C876" s="2" t="s">
        <v>218</v>
      </c>
      <c r="D876" s="2" t="s">
        <v>356</v>
      </c>
      <c r="E876" s="2" t="s">
        <v>561</v>
      </c>
      <c r="F876" s="2" t="s">
        <v>383</v>
      </c>
    </row>
    <row r="877" customFormat="false" ht="15" hidden="false" customHeight="false" outlineLevel="0" collapsed="false">
      <c r="A877" s="2" t="s">
        <v>309</v>
      </c>
      <c r="B877" s="3" t="n">
        <v>34701</v>
      </c>
      <c r="C877" s="2" t="s">
        <v>81</v>
      </c>
      <c r="D877" s="2" t="s">
        <v>356</v>
      </c>
      <c r="E877" s="2" t="s">
        <v>561</v>
      </c>
      <c r="F877" s="2" t="s">
        <v>348</v>
      </c>
    </row>
    <row r="878" customFormat="false" ht="15" hidden="false" customHeight="false" outlineLevel="0" collapsed="false">
      <c r="A878" s="2" t="s">
        <v>309</v>
      </c>
      <c r="B878" s="3" t="n">
        <v>35021</v>
      </c>
      <c r="C878" s="2" t="s">
        <v>378</v>
      </c>
      <c r="D878" s="2" t="s">
        <v>356</v>
      </c>
      <c r="E878" s="2" t="s">
        <v>561</v>
      </c>
      <c r="F878" s="2" t="s">
        <v>359</v>
      </c>
    </row>
    <row r="879" customFormat="false" ht="15" hidden="false" customHeight="false" outlineLevel="0" collapsed="false">
      <c r="A879" s="2" t="s">
        <v>309</v>
      </c>
      <c r="B879" s="3" t="n">
        <v>35476</v>
      </c>
      <c r="C879" s="2" t="s">
        <v>73</v>
      </c>
      <c r="D879" s="2" t="s">
        <v>356</v>
      </c>
      <c r="E879" s="2" t="s">
        <v>561</v>
      </c>
      <c r="F879" s="2" t="s">
        <v>369</v>
      </c>
    </row>
    <row r="880" customFormat="false" ht="15" hidden="false" customHeight="false" outlineLevel="0" collapsed="false">
      <c r="A880" s="2" t="s">
        <v>309</v>
      </c>
      <c r="B880" s="3" t="n">
        <v>35792</v>
      </c>
      <c r="C880" s="2" t="s">
        <v>232</v>
      </c>
      <c r="D880" s="2" t="s">
        <v>356</v>
      </c>
      <c r="E880" s="2" t="s">
        <v>561</v>
      </c>
      <c r="F880" s="2" t="s">
        <v>361</v>
      </c>
    </row>
    <row r="881" customFormat="false" ht="15" hidden="false" customHeight="false" outlineLevel="0" collapsed="false">
      <c r="A881" s="2" t="s">
        <v>309</v>
      </c>
      <c r="B881" s="3" t="n">
        <v>36285</v>
      </c>
      <c r="C881" s="2" t="s">
        <v>381</v>
      </c>
      <c r="D881" s="2" t="s">
        <v>356</v>
      </c>
      <c r="E881" s="2" t="s">
        <v>561</v>
      </c>
      <c r="F881" s="2" t="s">
        <v>373</v>
      </c>
    </row>
    <row r="882" customFormat="false" ht="15" hidden="false" customHeight="false" outlineLevel="0" collapsed="false">
      <c r="A882" s="2" t="s">
        <v>309</v>
      </c>
      <c r="B882" s="3" t="n">
        <v>36471</v>
      </c>
      <c r="C882" s="2" t="s">
        <v>19</v>
      </c>
      <c r="D882" s="2" t="s">
        <v>356</v>
      </c>
      <c r="E882" s="2" t="s">
        <v>561</v>
      </c>
      <c r="F882" s="2" t="s">
        <v>359</v>
      </c>
    </row>
    <row r="883" customFormat="false" ht="15" hidden="false" customHeight="false" outlineLevel="0" collapsed="false">
      <c r="A883" s="2" t="s">
        <v>309</v>
      </c>
      <c r="B883" s="3" t="n">
        <v>36878</v>
      </c>
      <c r="C883" s="2" t="s">
        <v>89</v>
      </c>
      <c r="D883" s="2" t="s">
        <v>356</v>
      </c>
      <c r="E883" s="2" t="s">
        <v>561</v>
      </c>
      <c r="F883" s="2" t="s">
        <v>361</v>
      </c>
    </row>
    <row r="884" customFormat="false" ht="15" hidden="false" customHeight="false" outlineLevel="0" collapsed="false">
      <c r="A884" s="2" t="s">
        <v>309</v>
      </c>
      <c r="B884" s="3" t="n">
        <v>37212</v>
      </c>
      <c r="C884" s="2" t="s">
        <v>115</v>
      </c>
      <c r="D884" s="2" t="s">
        <v>356</v>
      </c>
      <c r="E884" s="2" t="s">
        <v>561</v>
      </c>
      <c r="F884" s="2" t="s">
        <v>361</v>
      </c>
    </row>
    <row r="885" customFormat="false" ht="15" hidden="false" customHeight="false" outlineLevel="0" collapsed="false">
      <c r="A885" s="2" t="s">
        <v>309</v>
      </c>
      <c r="B885" s="3" t="n">
        <v>37605</v>
      </c>
      <c r="C885" s="2" t="s">
        <v>135</v>
      </c>
      <c r="D885" s="2" t="s">
        <v>356</v>
      </c>
      <c r="E885" s="2" t="s">
        <v>561</v>
      </c>
      <c r="F885" s="2" t="s">
        <v>361</v>
      </c>
    </row>
    <row r="886" customFormat="false" ht="15" hidden="false" customHeight="false" outlineLevel="0" collapsed="false">
      <c r="A886" s="2" t="s">
        <v>309</v>
      </c>
      <c r="B886" s="3" t="n">
        <v>38102</v>
      </c>
      <c r="C886" s="2" t="s">
        <v>91</v>
      </c>
      <c r="D886" s="2" t="s">
        <v>356</v>
      </c>
      <c r="E886" s="2" t="s">
        <v>561</v>
      </c>
      <c r="F886" s="2" t="s">
        <v>380</v>
      </c>
    </row>
    <row r="887" customFormat="false" ht="15" hidden="false" customHeight="false" outlineLevel="0" collapsed="false">
      <c r="A887" s="2" t="s">
        <v>309</v>
      </c>
      <c r="B887" s="3" t="n">
        <v>38304</v>
      </c>
      <c r="C887" s="2" t="s">
        <v>263</v>
      </c>
      <c r="D887" s="2" t="s">
        <v>356</v>
      </c>
      <c r="E887" s="2" t="s">
        <v>561</v>
      </c>
      <c r="F887" s="2" t="s">
        <v>562</v>
      </c>
    </row>
    <row r="888" customFormat="false" ht="15" hidden="false" customHeight="false" outlineLevel="0" collapsed="false">
      <c r="A888" s="2" t="s">
        <v>309</v>
      </c>
      <c r="B888" s="3" t="n">
        <v>38654</v>
      </c>
      <c r="C888" s="2" t="s">
        <v>123</v>
      </c>
      <c r="D888" s="2" t="s">
        <v>356</v>
      </c>
      <c r="E888" s="2" t="s">
        <v>561</v>
      </c>
      <c r="F888" s="2" t="s">
        <v>361</v>
      </c>
    </row>
    <row r="889" customFormat="false" ht="15" hidden="false" customHeight="false" outlineLevel="0" collapsed="false">
      <c r="A889" s="2" t="s">
        <v>309</v>
      </c>
      <c r="B889" s="3" t="n">
        <v>39106</v>
      </c>
      <c r="C889" s="2" t="s">
        <v>110</v>
      </c>
      <c r="D889" s="2" t="s">
        <v>379</v>
      </c>
      <c r="E889" s="2" t="s">
        <v>561</v>
      </c>
      <c r="F889" s="2" t="s">
        <v>380</v>
      </c>
    </row>
    <row r="890" customFormat="false" ht="15" hidden="false" customHeight="false" outlineLevel="0" collapsed="false">
      <c r="A890" s="2" t="s">
        <v>309</v>
      </c>
      <c r="B890" s="3" t="n">
        <v>39193</v>
      </c>
      <c r="C890" s="2" t="s">
        <v>110</v>
      </c>
      <c r="D890" s="2" t="s">
        <v>356</v>
      </c>
      <c r="E890" s="2" t="s">
        <v>561</v>
      </c>
      <c r="F890" s="2" t="s">
        <v>380</v>
      </c>
    </row>
    <row r="891" customFormat="false" ht="15" hidden="false" customHeight="false" outlineLevel="0" collapsed="false">
      <c r="A891" s="2" t="s">
        <v>309</v>
      </c>
      <c r="B891" s="3" t="n">
        <v>39340</v>
      </c>
      <c r="C891" s="2" t="s">
        <v>297</v>
      </c>
      <c r="D891" s="2" t="s">
        <v>356</v>
      </c>
      <c r="E891" s="2" t="s">
        <v>561</v>
      </c>
      <c r="F891" s="2" t="s">
        <v>373</v>
      </c>
    </row>
    <row r="892" customFormat="false" ht="15" hidden="false" customHeight="false" outlineLevel="0" collapsed="false">
      <c r="A892" s="2" t="s">
        <v>309</v>
      </c>
      <c r="B892" s="3" t="n">
        <v>39469</v>
      </c>
      <c r="C892" s="2" t="s">
        <v>297</v>
      </c>
      <c r="D892" s="2" t="s">
        <v>379</v>
      </c>
      <c r="E892" s="2" t="s">
        <v>561</v>
      </c>
      <c r="F892" s="2" t="s">
        <v>401</v>
      </c>
    </row>
    <row r="893" customFormat="false" ht="15" hidden="false" customHeight="false" outlineLevel="0" collapsed="false">
      <c r="A893" s="2" t="s">
        <v>309</v>
      </c>
      <c r="B893" s="3" t="n">
        <v>39852</v>
      </c>
      <c r="C893" s="2" t="s">
        <v>312</v>
      </c>
      <c r="D893" s="2" t="s">
        <v>356</v>
      </c>
      <c r="E893" s="2" t="s">
        <v>561</v>
      </c>
      <c r="F893" s="2" t="s">
        <v>369</v>
      </c>
    </row>
    <row r="894" customFormat="false" ht="15" hidden="false" customHeight="false" outlineLevel="0" collapsed="false">
      <c r="A894" s="2" t="s">
        <v>309</v>
      </c>
      <c r="B894" s="3" t="n">
        <v>40282</v>
      </c>
      <c r="C894" s="2" t="s">
        <v>42</v>
      </c>
      <c r="D894" s="2" t="s">
        <v>356</v>
      </c>
      <c r="E894" s="2" t="s">
        <v>561</v>
      </c>
      <c r="F894" s="2" t="s">
        <v>359</v>
      </c>
    </row>
    <row r="895" customFormat="false" ht="15" hidden="false" customHeight="false" outlineLevel="0" collapsed="false">
      <c r="A895" s="2" t="s">
        <v>309</v>
      </c>
      <c r="B895" s="3" t="n">
        <v>40442</v>
      </c>
      <c r="C895" s="2" t="s">
        <v>187</v>
      </c>
      <c r="D895" s="2" t="s">
        <v>379</v>
      </c>
      <c r="E895" s="2" t="s">
        <v>561</v>
      </c>
      <c r="F895" s="2" t="s">
        <v>407</v>
      </c>
    </row>
    <row r="896" customFormat="false" ht="15" hidden="false" customHeight="false" outlineLevel="0" collapsed="false">
      <c r="A896" s="2" t="s">
        <v>309</v>
      </c>
      <c r="B896" s="3" t="n">
        <v>40653</v>
      </c>
      <c r="C896" s="2" t="s">
        <v>187</v>
      </c>
      <c r="D896" s="2" t="s">
        <v>356</v>
      </c>
      <c r="E896" s="2" t="s">
        <v>561</v>
      </c>
      <c r="F896" s="2" t="s">
        <v>358</v>
      </c>
    </row>
    <row r="897" customFormat="false" ht="15" hidden="false" customHeight="false" outlineLevel="0" collapsed="false">
      <c r="A897" s="2" t="s">
        <v>309</v>
      </c>
      <c r="B897" s="3" t="n">
        <v>40818</v>
      </c>
      <c r="C897" s="2" t="s">
        <v>314</v>
      </c>
      <c r="D897" s="2" t="s">
        <v>356</v>
      </c>
      <c r="E897" s="2" t="s">
        <v>561</v>
      </c>
      <c r="F897" s="2" t="s">
        <v>359</v>
      </c>
    </row>
    <row r="898" customFormat="false" ht="15" hidden="false" customHeight="false" outlineLevel="0" collapsed="false">
      <c r="A898" s="2" t="s">
        <v>309</v>
      </c>
      <c r="B898" s="3" t="n">
        <v>41336</v>
      </c>
      <c r="C898" s="2" t="s">
        <v>206</v>
      </c>
      <c r="D898" s="2" t="s">
        <v>356</v>
      </c>
      <c r="E898" s="2" t="s">
        <v>561</v>
      </c>
      <c r="F898" s="2" t="s">
        <v>359</v>
      </c>
    </row>
    <row r="899" customFormat="false" ht="15" hidden="false" customHeight="false" outlineLevel="0" collapsed="false">
      <c r="A899" s="2" t="s">
        <v>309</v>
      </c>
      <c r="B899" s="3" t="n">
        <v>41714</v>
      </c>
      <c r="C899" s="2" t="s">
        <v>385</v>
      </c>
      <c r="D899" s="2" t="s">
        <v>356</v>
      </c>
      <c r="E899" s="2" t="s">
        <v>561</v>
      </c>
      <c r="F899" s="2" t="s">
        <v>383</v>
      </c>
    </row>
    <row r="900" customFormat="false" ht="15" hidden="false" customHeight="false" outlineLevel="0" collapsed="false">
      <c r="A900" s="2" t="s">
        <v>309</v>
      </c>
      <c r="B900" s="3" t="n">
        <v>42042</v>
      </c>
      <c r="C900" s="2" t="s">
        <v>23</v>
      </c>
      <c r="D900" s="2" t="s">
        <v>356</v>
      </c>
      <c r="E900" s="2" t="s">
        <v>561</v>
      </c>
      <c r="F900" s="2" t="s">
        <v>359</v>
      </c>
    </row>
    <row r="901" customFormat="false" ht="15" hidden="false" customHeight="false" outlineLevel="0" collapsed="false">
      <c r="A901" s="2" t="s">
        <v>309</v>
      </c>
      <c r="B901" s="3" t="n">
        <v>42270</v>
      </c>
      <c r="C901" s="2" t="s">
        <v>355</v>
      </c>
      <c r="D901" s="2" t="s">
        <v>379</v>
      </c>
      <c r="E901" s="2" t="s">
        <v>561</v>
      </c>
      <c r="F901" s="2" t="s">
        <v>360</v>
      </c>
    </row>
    <row r="902" customFormat="false" ht="15" hidden="false" customHeight="false" outlineLevel="0" collapsed="false">
      <c r="A902" s="2" t="s">
        <v>309</v>
      </c>
      <c r="B902" s="3" t="n">
        <v>42434</v>
      </c>
      <c r="C902" s="2" t="s">
        <v>355</v>
      </c>
      <c r="D902" s="2" t="s">
        <v>356</v>
      </c>
      <c r="E902" s="2" t="s">
        <v>561</v>
      </c>
      <c r="F902" s="2" t="s">
        <v>380</v>
      </c>
    </row>
    <row r="903" customFormat="false" ht="15" hidden="false" customHeight="false" outlineLevel="0" collapsed="false">
      <c r="A903" s="2" t="s">
        <v>309</v>
      </c>
      <c r="B903" s="3" t="n">
        <v>42855</v>
      </c>
      <c r="C903" s="2" t="s">
        <v>138</v>
      </c>
      <c r="D903" s="2" t="s">
        <v>356</v>
      </c>
      <c r="E903" s="2" t="s">
        <v>561</v>
      </c>
      <c r="F903" s="2" t="s">
        <v>351</v>
      </c>
    </row>
    <row r="904" customFormat="false" ht="15" hidden="false" customHeight="false" outlineLevel="0" collapsed="false">
      <c r="A904" s="2" t="s">
        <v>309</v>
      </c>
      <c r="B904" s="3" t="n">
        <v>43141</v>
      </c>
      <c r="C904" s="2" t="s">
        <v>11</v>
      </c>
      <c r="D904" s="2" t="s">
        <v>356</v>
      </c>
      <c r="E904" s="2" t="s">
        <v>561</v>
      </c>
      <c r="F904" s="2" t="s">
        <v>348</v>
      </c>
    </row>
    <row r="905" customFormat="false" ht="15" hidden="false" customHeight="false" outlineLevel="0" collapsed="false">
      <c r="A905" s="2" t="s">
        <v>309</v>
      </c>
      <c r="B905" s="3" t="n">
        <v>43526</v>
      </c>
      <c r="C905" s="2" t="s">
        <v>153</v>
      </c>
      <c r="D905" s="2" t="s">
        <v>356</v>
      </c>
      <c r="E905" s="2" t="s">
        <v>561</v>
      </c>
      <c r="F905" s="2" t="s">
        <v>361</v>
      </c>
    </row>
    <row r="906" customFormat="false" ht="15" hidden="false" customHeight="false" outlineLevel="0" collapsed="false">
      <c r="A906" s="2" t="s">
        <v>309</v>
      </c>
      <c r="B906" s="3" t="n">
        <v>44024</v>
      </c>
      <c r="C906" s="2" t="s">
        <v>130</v>
      </c>
      <c r="D906" s="2" t="s">
        <v>356</v>
      </c>
      <c r="E906" s="2" t="s">
        <v>561</v>
      </c>
      <c r="F906" s="2" t="s">
        <v>359</v>
      </c>
    </row>
    <row r="907" customFormat="false" ht="15" hidden="false" customHeight="false" outlineLevel="0" collapsed="false">
      <c r="A907" s="2" t="s">
        <v>309</v>
      </c>
      <c r="B907" s="3" t="n">
        <v>44171</v>
      </c>
      <c r="C907" s="2" t="s">
        <v>125</v>
      </c>
      <c r="D907" s="2" t="s">
        <v>356</v>
      </c>
      <c r="E907" s="2" t="s">
        <v>561</v>
      </c>
      <c r="F907" s="2" t="s">
        <v>351</v>
      </c>
    </row>
    <row r="908" customFormat="false" ht="15" hidden="false" customHeight="false" outlineLevel="0" collapsed="false">
      <c r="A908" s="2" t="s">
        <v>309</v>
      </c>
      <c r="B908" s="3" t="n">
        <v>44693</v>
      </c>
      <c r="C908" s="2" t="s">
        <v>386</v>
      </c>
      <c r="D908" s="2" t="s">
        <v>356</v>
      </c>
      <c r="E908" s="2" t="s">
        <v>561</v>
      </c>
      <c r="F908" s="2" t="s">
        <v>434</v>
      </c>
    </row>
    <row r="909" customFormat="false" ht="15" hidden="false" customHeight="false" outlineLevel="0" collapsed="false">
      <c r="A909" s="2" t="s">
        <v>309</v>
      </c>
      <c r="B909" s="3" t="n">
        <v>44941</v>
      </c>
      <c r="C909" s="2" t="s">
        <v>147</v>
      </c>
      <c r="D909" s="2" t="s">
        <v>356</v>
      </c>
      <c r="E909" s="2" t="s">
        <v>561</v>
      </c>
      <c r="F909" s="2" t="s">
        <v>353</v>
      </c>
    </row>
    <row r="910" customFormat="false" ht="15" hidden="false" customHeight="false" outlineLevel="0" collapsed="false">
      <c r="A910" s="2" t="s">
        <v>309</v>
      </c>
      <c r="B910" s="3" t="n">
        <v>45410</v>
      </c>
      <c r="C910" s="2" t="s">
        <v>364</v>
      </c>
      <c r="D910" s="2" t="s">
        <v>356</v>
      </c>
      <c r="E910" s="2" t="s">
        <v>561</v>
      </c>
      <c r="F910" s="2" t="s">
        <v>366</v>
      </c>
    </row>
    <row r="911" customFormat="false" ht="15" hidden="false" customHeight="false" outlineLevel="0" collapsed="false">
      <c r="A911" s="2" t="s">
        <v>309</v>
      </c>
      <c r="B911" s="3" t="n">
        <v>45550</v>
      </c>
      <c r="C911" s="2" t="s">
        <v>30</v>
      </c>
      <c r="D911" s="2" t="s">
        <v>356</v>
      </c>
      <c r="E911" s="2" t="s">
        <v>561</v>
      </c>
      <c r="F911" s="2" t="s">
        <v>383</v>
      </c>
    </row>
    <row r="912" customFormat="false" ht="15" hidden="false" customHeight="false" outlineLevel="0" collapsed="false">
      <c r="A912" s="2" t="s">
        <v>309</v>
      </c>
      <c r="B912" s="3" t="n">
        <v>46075</v>
      </c>
      <c r="C912" s="2" t="s">
        <v>32</v>
      </c>
      <c r="D912" s="2" t="s">
        <v>356</v>
      </c>
      <c r="E912" s="2" t="s">
        <v>561</v>
      </c>
      <c r="F912" s="2" t="s">
        <v>407</v>
      </c>
    </row>
    <row r="913" customFormat="false" ht="15" hidden="false" customHeight="false" outlineLevel="0" collapsed="false">
      <c r="A913" s="2" t="s">
        <v>311</v>
      </c>
      <c r="B913" s="3" t="n">
        <v>39673</v>
      </c>
      <c r="C913" s="2" t="s">
        <v>312</v>
      </c>
      <c r="D913" s="2" t="s">
        <v>352</v>
      </c>
      <c r="E913" s="2" t="s">
        <v>563</v>
      </c>
      <c r="F913" s="2" t="s">
        <v>353</v>
      </c>
    </row>
    <row r="914" customFormat="false" ht="15" hidden="false" customHeight="false" outlineLevel="0" collapsed="false">
      <c r="A914" s="2" t="s">
        <v>313</v>
      </c>
      <c r="B914" s="3" t="n">
        <v>40779</v>
      </c>
      <c r="C914" s="2" t="s">
        <v>314</v>
      </c>
      <c r="D914" s="2" t="s">
        <v>352</v>
      </c>
      <c r="E914" s="2" t="s">
        <v>564</v>
      </c>
      <c r="F914" s="2" t="s">
        <v>360</v>
      </c>
    </row>
    <row r="915" customFormat="false" ht="15" hidden="false" customHeight="false" outlineLevel="0" collapsed="false">
      <c r="A915" s="2" t="s">
        <v>315</v>
      </c>
      <c r="B915" s="3" t="n">
        <v>36998</v>
      </c>
      <c r="C915" s="2" t="s">
        <v>89</v>
      </c>
      <c r="D915" s="2" t="s">
        <v>352</v>
      </c>
      <c r="E915" s="2" t="s">
        <v>565</v>
      </c>
      <c r="F915" s="2" t="s">
        <v>348</v>
      </c>
    </row>
    <row r="916" customFormat="false" ht="15" hidden="false" customHeight="false" outlineLevel="0" collapsed="false">
      <c r="A916" s="2" t="s">
        <v>315</v>
      </c>
      <c r="B916" s="3" t="n">
        <v>37699</v>
      </c>
      <c r="C916" s="2" t="s">
        <v>135</v>
      </c>
      <c r="D916" s="2" t="s">
        <v>352</v>
      </c>
      <c r="E916" s="2" t="s">
        <v>565</v>
      </c>
      <c r="F916" s="2" t="s">
        <v>359</v>
      </c>
    </row>
    <row r="917" customFormat="false" ht="15" hidden="false" customHeight="false" outlineLevel="0" collapsed="false">
      <c r="A917" s="2" t="s">
        <v>315</v>
      </c>
      <c r="B917" s="3" t="n">
        <v>43594</v>
      </c>
      <c r="C917" s="2" t="s">
        <v>153</v>
      </c>
      <c r="D917" s="2" t="s">
        <v>346</v>
      </c>
      <c r="E917" s="2" t="s">
        <v>565</v>
      </c>
      <c r="F917" s="2" t="s">
        <v>384</v>
      </c>
    </row>
    <row r="918" customFormat="false" ht="15" hidden="false" customHeight="false" outlineLevel="0" collapsed="false">
      <c r="A918" s="2" t="s">
        <v>317</v>
      </c>
      <c r="B918" s="3" t="n">
        <v>38832</v>
      </c>
      <c r="C918" s="2" t="s">
        <v>123</v>
      </c>
      <c r="D918" s="2" t="s">
        <v>352</v>
      </c>
      <c r="E918" s="2" t="s">
        <v>566</v>
      </c>
      <c r="F918" s="2" t="s">
        <v>369</v>
      </c>
    </row>
    <row r="919" customFormat="false" ht="15" hidden="false" customHeight="false" outlineLevel="0" collapsed="false">
      <c r="A919" s="2" t="s">
        <v>317</v>
      </c>
      <c r="B919" s="3" t="n">
        <v>39910</v>
      </c>
      <c r="C919" s="2" t="s">
        <v>312</v>
      </c>
      <c r="D919" s="2" t="s">
        <v>352</v>
      </c>
      <c r="E919" s="2" t="s">
        <v>566</v>
      </c>
      <c r="F919" s="2" t="s">
        <v>361</v>
      </c>
    </row>
    <row r="920" customFormat="false" ht="15" hidden="false" customHeight="false" outlineLevel="0" collapsed="false">
      <c r="A920" s="2" t="s">
        <v>317</v>
      </c>
      <c r="B920" s="3" t="n">
        <v>44315</v>
      </c>
      <c r="C920" s="2" t="s">
        <v>125</v>
      </c>
      <c r="D920" s="2" t="s">
        <v>346</v>
      </c>
      <c r="E920" s="2" t="s">
        <v>566</v>
      </c>
      <c r="F920" s="2" t="s">
        <v>359</v>
      </c>
    </row>
    <row r="921" customFormat="false" ht="15" hidden="false" customHeight="false" outlineLevel="0" collapsed="false">
      <c r="A921" s="2" t="s">
        <v>319</v>
      </c>
      <c r="B921" s="3" t="n">
        <v>43775</v>
      </c>
      <c r="C921" s="2" t="s">
        <v>130</v>
      </c>
      <c r="D921" s="2" t="s">
        <v>346</v>
      </c>
      <c r="E921" s="2" t="s">
        <v>567</v>
      </c>
      <c r="F921" s="2" t="s">
        <v>361</v>
      </c>
    </row>
    <row r="922" customFormat="false" ht="15" hidden="false" customHeight="false" outlineLevel="0" collapsed="false">
      <c r="A922" s="2" t="s">
        <v>320</v>
      </c>
      <c r="B922" s="3" t="n">
        <v>43433</v>
      </c>
      <c r="C922" s="2" t="s">
        <v>153</v>
      </c>
      <c r="D922" s="2" t="s">
        <v>346</v>
      </c>
      <c r="E922" s="2" t="s">
        <v>568</v>
      </c>
      <c r="F922" s="2" t="s">
        <v>363</v>
      </c>
    </row>
    <row r="923" customFormat="false" ht="15" hidden="false" customHeight="false" outlineLevel="0" collapsed="false">
      <c r="A923" s="2" t="s">
        <v>322</v>
      </c>
      <c r="B923" s="3" t="n">
        <v>36639</v>
      </c>
      <c r="C923" s="2" t="s">
        <v>19</v>
      </c>
      <c r="D923" s="2" t="s">
        <v>356</v>
      </c>
      <c r="E923" s="2" t="s">
        <v>569</v>
      </c>
      <c r="F923" s="2" t="s">
        <v>366</v>
      </c>
    </row>
    <row r="924" customFormat="false" ht="15" hidden="false" customHeight="false" outlineLevel="0" collapsed="false">
      <c r="A924" s="2" t="s">
        <v>322</v>
      </c>
      <c r="B924" s="3" t="n">
        <v>37261</v>
      </c>
      <c r="C924" s="2" t="s">
        <v>115</v>
      </c>
      <c r="D924" s="2" t="s">
        <v>362</v>
      </c>
      <c r="E924" s="2" t="s">
        <v>569</v>
      </c>
      <c r="F924" s="2" t="s">
        <v>384</v>
      </c>
    </row>
    <row r="925" customFormat="false" ht="15" hidden="false" customHeight="false" outlineLevel="0" collapsed="false">
      <c r="A925" s="2" t="s">
        <v>322</v>
      </c>
      <c r="B925" s="3" t="n">
        <v>39077</v>
      </c>
      <c r="C925" s="2" t="s">
        <v>110</v>
      </c>
      <c r="D925" s="2" t="s">
        <v>356</v>
      </c>
      <c r="E925" s="2" t="s">
        <v>569</v>
      </c>
      <c r="F925" s="2" t="s">
        <v>360</v>
      </c>
    </row>
    <row r="926" customFormat="false" ht="15" hidden="false" customHeight="false" outlineLevel="0" collapsed="false">
      <c r="A926" s="2" t="s">
        <v>322</v>
      </c>
      <c r="B926" s="3" t="n">
        <v>42294</v>
      </c>
      <c r="C926" s="2" t="s">
        <v>355</v>
      </c>
      <c r="D926" s="2" t="s">
        <v>356</v>
      </c>
      <c r="E926" s="2" t="s">
        <v>569</v>
      </c>
      <c r="F926" s="2" t="s">
        <v>363</v>
      </c>
    </row>
    <row r="927" customFormat="false" ht="15" hidden="false" customHeight="false" outlineLevel="0" collapsed="false">
      <c r="A927" s="2" t="s">
        <v>322</v>
      </c>
      <c r="B927" s="3" t="n">
        <v>42609</v>
      </c>
      <c r="C927" s="2" t="s">
        <v>138</v>
      </c>
      <c r="D927" s="2" t="s">
        <v>356</v>
      </c>
      <c r="E927" s="2" t="s">
        <v>569</v>
      </c>
      <c r="F927" s="2" t="s">
        <v>373</v>
      </c>
    </row>
    <row r="928" customFormat="false" ht="15" hidden="false" customHeight="false" outlineLevel="0" collapsed="false">
      <c r="A928" s="2" t="s">
        <v>322</v>
      </c>
      <c r="B928" s="3" t="n">
        <v>43022</v>
      </c>
      <c r="C928" s="2" t="s">
        <v>11</v>
      </c>
      <c r="D928" s="2" t="s">
        <v>356</v>
      </c>
      <c r="E928" s="2" t="s">
        <v>569</v>
      </c>
      <c r="F928" s="2" t="s">
        <v>359</v>
      </c>
    </row>
    <row r="929" customFormat="false" ht="15" hidden="false" customHeight="false" outlineLevel="0" collapsed="false">
      <c r="A929" s="2" t="s">
        <v>322</v>
      </c>
      <c r="B929" s="3" t="n">
        <v>43570</v>
      </c>
      <c r="C929" s="2" t="s">
        <v>153</v>
      </c>
      <c r="D929" s="2" t="s">
        <v>356</v>
      </c>
      <c r="E929" s="2" t="s">
        <v>569</v>
      </c>
      <c r="F929" s="2" t="s">
        <v>383</v>
      </c>
    </row>
    <row r="930" customFormat="false" ht="15" hidden="false" customHeight="false" outlineLevel="0" collapsed="false">
      <c r="A930" s="2" t="s">
        <v>322</v>
      </c>
      <c r="B930" s="3" t="n">
        <v>43723</v>
      </c>
      <c r="C930" s="2" t="s">
        <v>130</v>
      </c>
      <c r="D930" s="2" t="s">
        <v>356</v>
      </c>
      <c r="E930" s="2" t="s">
        <v>569</v>
      </c>
      <c r="F930" s="2" t="s">
        <v>380</v>
      </c>
    </row>
    <row r="931" customFormat="false" ht="15" hidden="false" customHeight="false" outlineLevel="0" collapsed="false">
      <c r="A931" s="2" t="s">
        <v>322</v>
      </c>
      <c r="B931" s="3" t="n">
        <v>44626</v>
      </c>
      <c r="C931" s="2" t="s">
        <v>386</v>
      </c>
      <c r="D931" s="2" t="s">
        <v>356</v>
      </c>
      <c r="E931" s="2" t="s">
        <v>569</v>
      </c>
      <c r="F931" s="2" t="s">
        <v>366</v>
      </c>
    </row>
    <row r="932" customFormat="false" ht="15" hidden="false" customHeight="false" outlineLevel="0" collapsed="false">
      <c r="A932" s="2" t="s">
        <v>324</v>
      </c>
      <c r="B932" s="3" t="n">
        <v>36608</v>
      </c>
      <c r="C932" s="2" t="s">
        <v>19</v>
      </c>
      <c r="D932" s="2" t="s">
        <v>412</v>
      </c>
      <c r="E932" s="2" t="s">
        <v>570</v>
      </c>
      <c r="F932" s="2" t="s">
        <v>384</v>
      </c>
    </row>
    <row r="933" customFormat="false" ht="15" hidden="false" customHeight="false" outlineLevel="0" collapsed="false">
      <c r="A933" s="2" t="s">
        <v>325</v>
      </c>
      <c r="B933" s="3" t="n">
        <v>37616</v>
      </c>
      <c r="C933" s="2" t="s">
        <v>135</v>
      </c>
      <c r="D933" s="2" t="s">
        <v>356</v>
      </c>
      <c r="E933" s="2" t="s">
        <v>571</v>
      </c>
      <c r="F933" s="2" t="s">
        <v>360</v>
      </c>
    </row>
    <row r="934" customFormat="false" ht="15" hidden="false" customHeight="false" outlineLevel="0" collapsed="false">
      <c r="A934" s="2" t="s">
        <v>325</v>
      </c>
      <c r="B934" s="3" t="n">
        <v>37971</v>
      </c>
      <c r="C934" s="2" t="s">
        <v>91</v>
      </c>
      <c r="D934" s="2" t="s">
        <v>379</v>
      </c>
      <c r="E934" s="2" t="s">
        <v>571</v>
      </c>
      <c r="F934" s="2" t="s">
        <v>353</v>
      </c>
    </row>
    <row r="935" customFormat="false" ht="15" hidden="false" customHeight="false" outlineLevel="0" collapsed="false">
      <c r="A935" s="2" t="s">
        <v>325</v>
      </c>
      <c r="B935" s="3" t="n">
        <v>38474</v>
      </c>
      <c r="C935" s="2" t="s">
        <v>263</v>
      </c>
      <c r="D935" s="2" t="s">
        <v>356</v>
      </c>
      <c r="E935" s="2" t="s">
        <v>571</v>
      </c>
      <c r="F935" s="2" t="s">
        <v>353</v>
      </c>
    </row>
    <row r="936" customFormat="false" ht="15" hidden="false" customHeight="false" outlineLevel="0" collapsed="false">
      <c r="A936" s="2" t="s">
        <v>325</v>
      </c>
      <c r="B936" s="3" t="n">
        <v>38640</v>
      </c>
      <c r="C936" s="2" t="s">
        <v>123</v>
      </c>
      <c r="D936" s="2" t="s">
        <v>356</v>
      </c>
      <c r="E936" s="2" t="s">
        <v>571</v>
      </c>
      <c r="F936" s="2" t="s">
        <v>359</v>
      </c>
    </row>
    <row r="937" customFormat="false" ht="15" hidden="false" customHeight="false" outlineLevel="0" collapsed="false">
      <c r="A937" s="2" t="s">
        <v>325</v>
      </c>
      <c r="B937" s="3" t="n">
        <v>39014</v>
      </c>
      <c r="C937" s="2" t="s">
        <v>110</v>
      </c>
      <c r="D937" s="2" t="s">
        <v>379</v>
      </c>
      <c r="E937" s="2" t="s">
        <v>571</v>
      </c>
      <c r="F937" s="2" t="s">
        <v>353</v>
      </c>
    </row>
    <row r="938" customFormat="false" ht="15" hidden="false" customHeight="false" outlineLevel="0" collapsed="false">
      <c r="A938" s="2" t="s">
        <v>325</v>
      </c>
      <c r="B938" s="3" t="n">
        <v>39875</v>
      </c>
      <c r="C938" s="2" t="s">
        <v>312</v>
      </c>
      <c r="D938" s="2" t="s">
        <v>356</v>
      </c>
      <c r="E938" s="2" t="s">
        <v>571</v>
      </c>
      <c r="F938" s="2" t="s">
        <v>373</v>
      </c>
    </row>
    <row r="939" customFormat="false" ht="15" hidden="false" customHeight="false" outlineLevel="0" collapsed="false">
      <c r="A939" s="2" t="s">
        <v>325</v>
      </c>
      <c r="B939" s="3" t="n">
        <v>40621</v>
      </c>
      <c r="C939" s="2" t="s">
        <v>187</v>
      </c>
      <c r="D939" s="2" t="s">
        <v>356</v>
      </c>
      <c r="E939" s="2" t="s">
        <v>571</v>
      </c>
      <c r="F939" s="2" t="s">
        <v>380</v>
      </c>
    </row>
    <row r="940" customFormat="false" ht="15" hidden="false" customHeight="false" outlineLevel="0" collapsed="false">
      <c r="A940" s="2" t="s">
        <v>325</v>
      </c>
      <c r="B940" s="3" t="n">
        <v>41042</v>
      </c>
      <c r="C940" s="2" t="s">
        <v>314</v>
      </c>
      <c r="D940" s="2" t="s">
        <v>356</v>
      </c>
      <c r="E940" s="2" t="s">
        <v>571</v>
      </c>
      <c r="F940" s="2" t="s">
        <v>366</v>
      </c>
    </row>
    <row r="941" customFormat="false" ht="15" hidden="false" customHeight="false" outlineLevel="0" collapsed="false">
      <c r="A941" s="2" t="s">
        <v>325</v>
      </c>
      <c r="B941" s="3" t="n">
        <v>41370</v>
      </c>
      <c r="C941" s="2" t="s">
        <v>206</v>
      </c>
      <c r="D941" s="2" t="s">
        <v>356</v>
      </c>
      <c r="E941" s="2" t="s">
        <v>571</v>
      </c>
      <c r="F941" s="2" t="s">
        <v>360</v>
      </c>
    </row>
    <row r="942" customFormat="false" ht="15" hidden="false" customHeight="false" outlineLevel="0" collapsed="false">
      <c r="A942" s="2" t="s">
        <v>325</v>
      </c>
      <c r="B942" s="3" t="n">
        <v>41542</v>
      </c>
      <c r="C942" s="2" t="s">
        <v>385</v>
      </c>
      <c r="D942" s="2" t="s">
        <v>379</v>
      </c>
      <c r="E942" s="2" t="s">
        <v>571</v>
      </c>
      <c r="F942" s="2" t="s">
        <v>519</v>
      </c>
    </row>
    <row r="943" customFormat="false" ht="15" hidden="false" customHeight="false" outlineLevel="0" collapsed="false">
      <c r="A943" s="2" t="s">
        <v>325</v>
      </c>
      <c r="B943" s="3" t="n">
        <v>41553</v>
      </c>
      <c r="C943" s="2" t="s">
        <v>385</v>
      </c>
      <c r="D943" s="2" t="s">
        <v>356</v>
      </c>
      <c r="E943" s="2" t="s">
        <v>571</v>
      </c>
      <c r="F943" s="2" t="s">
        <v>361</v>
      </c>
    </row>
    <row r="944" customFormat="false" ht="15" hidden="false" customHeight="false" outlineLevel="0" collapsed="false">
      <c r="A944" s="2" t="s">
        <v>325</v>
      </c>
      <c r="B944" s="3" t="n">
        <v>41972</v>
      </c>
      <c r="C944" s="2" t="s">
        <v>23</v>
      </c>
      <c r="D944" s="2" t="s">
        <v>356</v>
      </c>
      <c r="E944" s="2" t="s">
        <v>571</v>
      </c>
      <c r="F944" s="2" t="s">
        <v>383</v>
      </c>
    </row>
    <row r="945" customFormat="false" ht="15" hidden="false" customHeight="false" outlineLevel="0" collapsed="false">
      <c r="A945" s="2" t="s">
        <v>325</v>
      </c>
      <c r="B945" s="3" t="n">
        <v>42329</v>
      </c>
      <c r="C945" s="2" t="s">
        <v>355</v>
      </c>
      <c r="D945" s="2" t="s">
        <v>356</v>
      </c>
      <c r="E945" s="2" t="s">
        <v>571</v>
      </c>
      <c r="F945" s="2" t="s">
        <v>359</v>
      </c>
    </row>
    <row r="946" customFormat="false" ht="15" hidden="false" customHeight="false" outlineLevel="0" collapsed="false">
      <c r="A946" s="2" t="s">
        <v>325</v>
      </c>
      <c r="B946" s="3" t="n">
        <v>42812</v>
      </c>
      <c r="C946" s="2" t="s">
        <v>138</v>
      </c>
      <c r="D946" s="2" t="s">
        <v>356</v>
      </c>
      <c r="E946" s="2" t="s">
        <v>571</v>
      </c>
      <c r="F946" s="2" t="s">
        <v>377</v>
      </c>
    </row>
    <row r="947" customFormat="false" ht="15" hidden="false" customHeight="false" outlineLevel="0" collapsed="false">
      <c r="A947" s="2" t="s">
        <v>325</v>
      </c>
      <c r="B947" s="3" t="n">
        <v>43100</v>
      </c>
      <c r="C947" s="2" t="s">
        <v>11</v>
      </c>
      <c r="D947" s="2" t="s">
        <v>356</v>
      </c>
      <c r="E947" s="2" t="s">
        <v>571</v>
      </c>
      <c r="F947" s="2" t="s">
        <v>361</v>
      </c>
    </row>
    <row r="948" customFormat="false" ht="15" hidden="false" customHeight="false" outlineLevel="0" collapsed="false">
      <c r="A948" s="2" t="s">
        <v>325</v>
      </c>
      <c r="B948" s="3" t="n">
        <v>44198</v>
      </c>
      <c r="C948" s="2" t="s">
        <v>125</v>
      </c>
      <c r="D948" s="2" t="s">
        <v>356</v>
      </c>
      <c r="E948" s="2" t="s">
        <v>571</v>
      </c>
      <c r="F948" s="2" t="s">
        <v>365</v>
      </c>
    </row>
    <row r="949" customFormat="false" ht="15" hidden="false" customHeight="false" outlineLevel="0" collapsed="false">
      <c r="A949" s="2" t="s">
        <v>325</v>
      </c>
      <c r="B949" s="3" t="n">
        <v>44433</v>
      </c>
      <c r="C949" s="2" t="s">
        <v>386</v>
      </c>
      <c r="D949" s="2" t="s">
        <v>379</v>
      </c>
      <c r="E949" s="2" t="s">
        <v>571</v>
      </c>
      <c r="F949" s="2" t="s">
        <v>525</v>
      </c>
    </row>
    <row r="950" customFormat="false" ht="15" hidden="false" customHeight="false" outlineLevel="0" collapsed="false">
      <c r="A950" s="2" t="s">
        <v>327</v>
      </c>
      <c r="B950" s="3" t="n">
        <v>32417</v>
      </c>
      <c r="C950" s="2" t="s">
        <v>374</v>
      </c>
      <c r="D950" s="2" t="s">
        <v>375</v>
      </c>
      <c r="E950" s="2" t="s">
        <v>572</v>
      </c>
      <c r="F950" s="2" t="s">
        <v>407</v>
      </c>
    </row>
    <row r="951" customFormat="false" ht="15" hidden="false" customHeight="false" outlineLevel="0" collapsed="false">
      <c r="A951" s="2" t="s">
        <v>327</v>
      </c>
      <c r="B951" s="3" t="n">
        <v>32516</v>
      </c>
      <c r="C951" s="2" t="s">
        <v>374</v>
      </c>
      <c r="D951" s="2" t="s">
        <v>362</v>
      </c>
      <c r="E951" s="2" t="s">
        <v>572</v>
      </c>
      <c r="F951" s="2" t="s">
        <v>380</v>
      </c>
    </row>
    <row r="952" customFormat="false" ht="15" hidden="false" customHeight="false" outlineLevel="0" collapsed="false">
      <c r="A952" s="2" t="s">
        <v>327</v>
      </c>
      <c r="B952" s="3" t="n">
        <v>33677</v>
      </c>
      <c r="C952" s="2" t="s">
        <v>38</v>
      </c>
      <c r="D952" s="2" t="s">
        <v>375</v>
      </c>
      <c r="E952" s="2" t="s">
        <v>572</v>
      </c>
      <c r="F952" s="2" t="s">
        <v>353</v>
      </c>
    </row>
    <row r="953" customFormat="false" ht="15" hidden="false" customHeight="false" outlineLevel="0" collapsed="false">
      <c r="A953" s="2" t="s">
        <v>327</v>
      </c>
      <c r="B953" s="3" t="n">
        <v>34297</v>
      </c>
      <c r="C953" s="2" t="s">
        <v>218</v>
      </c>
      <c r="D953" s="2" t="s">
        <v>356</v>
      </c>
      <c r="E953" s="2" t="s">
        <v>572</v>
      </c>
      <c r="F953" s="2" t="s">
        <v>369</v>
      </c>
    </row>
    <row r="954" customFormat="false" ht="15" hidden="false" customHeight="false" outlineLevel="0" collapsed="false">
      <c r="A954" s="2" t="s">
        <v>327</v>
      </c>
      <c r="B954" s="3" t="n">
        <v>34602</v>
      </c>
      <c r="C954" s="2" t="s">
        <v>81</v>
      </c>
      <c r="D954" s="2" t="s">
        <v>356</v>
      </c>
      <c r="E954" s="2" t="s">
        <v>572</v>
      </c>
      <c r="F954" s="2" t="s">
        <v>353</v>
      </c>
    </row>
    <row r="955" customFormat="false" ht="15" hidden="false" customHeight="false" outlineLevel="0" collapsed="false">
      <c r="A955" s="2" t="s">
        <v>327</v>
      </c>
      <c r="B955" s="3" t="n">
        <v>35119</v>
      </c>
      <c r="C955" s="2" t="s">
        <v>378</v>
      </c>
      <c r="D955" s="2" t="s">
        <v>356</v>
      </c>
      <c r="E955" s="2" t="s">
        <v>572</v>
      </c>
      <c r="F955" s="2" t="s">
        <v>383</v>
      </c>
    </row>
    <row r="956" customFormat="false" ht="15" hidden="false" customHeight="false" outlineLevel="0" collapsed="false">
      <c r="A956" s="2" t="s">
        <v>327</v>
      </c>
      <c r="B956" s="3" t="n">
        <v>35459</v>
      </c>
      <c r="C956" s="2" t="s">
        <v>73</v>
      </c>
      <c r="D956" s="2" t="s">
        <v>356</v>
      </c>
      <c r="E956" s="2" t="s">
        <v>572</v>
      </c>
      <c r="F956" s="2" t="s">
        <v>360</v>
      </c>
    </row>
    <row r="957" customFormat="false" ht="15" hidden="false" customHeight="false" outlineLevel="0" collapsed="false">
      <c r="A957" s="2" t="s">
        <v>327</v>
      </c>
      <c r="B957" s="3" t="n">
        <v>35801</v>
      </c>
      <c r="C957" s="2" t="s">
        <v>232</v>
      </c>
      <c r="D957" s="2" t="s">
        <v>379</v>
      </c>
      <c r="E957" s="2" t="s">
        <v>572</v>
      </c>
      <c r="F957" s="2" t="s">
        <v>360</v>
      </c>
    </row>
    <row r="958" customFormat="false" ht="15" hidden="false" customHeight="false" outlineLevel="0" collapsed="false">
      <c r="A958" s="2" t="s">
        <v>327</v>
      </c>
      <c r="B958" s="3" t="n">
        <v>35856</v>
      </c>
      <c r="C958" s="2" t="s">
        <v>232</v>
      </c>
      <c r="D958" s="2" t="s">
        <v>356</v>
      </c>
      <c r="E958" s="2" t="s">
        <v>572</v>
      </c>
      <c r="F958" s="2" t="s">
        <v>369</v>
      </c>
    </row>
    <row r="959" customFormat="false" ht="15" hidden="false" customHeight="false" outlineLevel="0" collapsed="false">
      <c r="A959" s="2" t="s">
        <v>327</v>
      </c>
      <c r="B959" s="3" t="n">
        <v>35871</v>
      </c>
      <c r="C959" s="2" t="s">
        <v>232</v>
      </c>
      <c r="D959" s="2" t="s">
        <v>362</v>
      </c>
      <c r="E959" s="2" t="s">
        <v>572</v>
      </c>
      <c r="F959" s="2" t="s">
        <v>519</v>
      </c>
    </row>
    <row r="960" customFormat="false" ht="15" hidden="false" customHeight="false" outlineLevel="0" collapsed="false">
      <c r="A960" s="2" t="s">
        <v>327</v>
      </c>
      <c r="B960" s="3" t="n">
        <v>36197</v>
      </c>
      <c r="C960" s="2" t="s">
        <v>381</v>
      </c>
      <c r="D960" s="2" t="s">
        <v>356</v>
      </c>
      <c r="E960" s="2" t="s">
        <v>572</v>
      </c>
      <c r="F960" s="2" t="s">
        <v>365</v>
      </c>
    </row>
    <row r="961" customFormat="false" ht="15" hidden="false" customHeight="false" outlineLevel="0" collapsed="false">
      <c r="A961" s="2" t="s">
        <v>327</v>
      </c>
      <c r="B961" s="3" t="n">
        <v>36436</v>
      </c>
      <c r="C961" s="2" t="s">
        <v>19</v>
      </c>
      <c r="D961" s="2" t="s">
        <v>356</v>
      </c>
      <c r="E961" s="2" t="s">
        <v>572</v>
      </c>
      <c r="F961" s="2" t="s">
        <v>359</v>
      </c>
    </row>
    <row r="962" customFormat="false" ht="15" hidden="false" customHeight="false" outlineLevel="0" collapsed="false">
      <c r="A962" s="2" t="s">
        <v>327</v>
      </c>
      <c r="B962" s="3" t="n">
        <v>36820</v>
      </c>
      <c r="C962" s="2" t="s">
        <v>89</v>
      </c>
      <c r="D962" s="2" t="s">
        <v>356</v>
      </c>
      <c r="E962" s="2" t="s">
        <v>572</v>
      </c>
      <c r="F962" s="2" t="s">
        <v>360</v>
      </c>
    </row>
    <row r="963" customFormat="false" ht="15" hidden="false" customHeight="false" outlineLevel="0" collapsed="false">
      <c r="A963" s="2" t="s">
        <v>327</v>
      </c>
      <c r="B963" s="3" t="n">
        <v>37240</v>
      </c>
      <c r="C963" s="2" t="s">
        <v>115</v>
      </c>
      <c r="D963" s="2" t="s">
        <v>356</v>
      </c>
      <c r="E963" s="2" t="s">
        <v>572</v>
      </c>
      <c r="F963" s="2" t="s">
        <v>361</v>
      </c>
    </row>
    <row r="964" customFormat="false" ht="15" hidden="false" customHeight="false" outlineLevel="0" collapsed="false">
      <c r="A964" s="2" t="s">
        <v>327</v>
      </c>
      <c r="B964" s="3" t="n">
        <v>37492</v>
      </c>
      <c r="C964" s="2" t="s">
        <v>135</v>
      </c>
      <c r="D964" s="2" t="s">
        <v>356</v>
      </c>
      <c r="E964" s="2" t="s">
        <v>572</v>
      </c>
      <c r="F964" s="2" t="s">
        <v>380</v>
      </c>
    </row>
    <row r="965" customFormat="false" ht="15" hidden="false" customHeight="false" outlineLevel="0" collapsed="false">
      <c r="A965" s="2" t="s">
        <v>327</v>
      </c>
      <c r="B965" s="3" t="n">
        <v>38619</v>
      </c>
      <c r="C965" s="2" t="s">
        <v>123</v>
      </c>
      <c r="D965" s="2" t="s">
        <v>356</v>
      </c>
      <c r="E965" s="2" t="s">
        <v>572</v>
      </c>
      <c r="F965" s="2" t="s">
        <v>369</v>
      </c>
    </row>
    <row r="966" customFormat="false" ht="15" hidden="false" customHeight="false" outlineLevel="0" collapsed="false">
      <c r="A966" s="2" t="s">
        <v>327</v>
      </c>
      <c r="B966" s="3" t="n">
        <v>39026</v>
      </c>
      <c r="C966" s="2" t="s">
        <v>110</v>
      </c>
      <c r="D966" s="2" t="s">
        <v>356</v>
      </c>
      <c r="E966" s="2" t="s">
        <v>572</v>
      </c>
      <c r="F966" s="2" t="s">
        <v>348</v>
      </c>
    </row>
    <row r="967" customFormat="false" ht="15" hidden="false" customHeight="false" outlineLevel="0" collapsed="false">
      <c r="A967" s="2" t="s">
        <v>327</v>
      </c>
      <c r="B967" s="3" t="n">
        <v>39354</v>
      </c>
      <c r="C967" s="2" t="s">
        <v>297</v>
      </c>
      <c r="D967" s="2" t="s">
        <v>356</v>
      </c>
      <c r="E967" s="2" t="s">
        <v>572</v>
      </c>
      <c r="F967" s="2" t="s">
        <v>383</v>
      </c>
    </row>
    <row r="968" customFormat="false" ht="15" hidden="false" customHeight="false" outlineLevel="0" collapsed="false">
      <c r="A968" s="2" t="s">
        <v>327</v>
      </c>
      <c r="B968" s="3" t="n">
        <v>39747</v>
      </c>
      <c r="C968" s="2" t="s">
        <v>312</v>
      </c>
      <c r="D968" s="2" t="s">
        <v>356</v>
      </c>
      <c r="E968" s="2" t="s">
        <v>572</v>
      </c>
      <c r="F968" s="2" t="s">
        <v>353</v>
      </c>
    </row>
    <row r="969" customFormat="false" ht="15" hidden="false" customHeight="false" outlineLevel="0" collapsed="false">
      <c r="A969" s="2" t="s">
        <v>327</v>
      </c>
      <c r="B969" s="3" t="n">
        <v>40111</v>
      </c>
      <c r="C969" s="2" t="s">
        <v>42</v>
      </c>
      <c r="D969" s="2" t="s">
        <v>356</v>
      </c>
      <c r="E969" s="2" t="s">
        <v>572</v>
      </c>
      <c r="F969" s="2" t="s">
        <v>380</v>
      </c>
    </row>
    <row r="970" customFormat="false" ht="15" hidden="false" customHeight="false" outlineLevel="0" collapsed="false">
      <c r="A970" s="2" t="s">
        <v>327</v>
      </c>
      <c r="B970" s="3" t="n">
        <v>40181</v>
      </c>
      <c r="C970" s="2" t="s">
        <v>42</v>
      </c>
      <c r="D970" s="2" t="s">
        <v>362</v>
      </c>
      <c r="E970" s="2" t="s">
        <v>572</v>
      </c>
      <c r="F970" s="2" t="s">
        <v>360</v>
      </c>
    </row>
    <row r="971" customFormat="false" ht="15" hidden="false" customHeight="false" outlineLevel="0" collapsed="false">
      <c r="A971" s="2" t="s">
        <v>327</v>
      </c>
      <c r="B971" s="3" t="n">
        <v>40558</v>
      </c>
      <c r="C971" s="2" t="s">
        <v>187</v>
      </c>
      <c r="D971" s="2" t="s">
        <v>356</v>
      </c>
      <c r="E971" s="2" t="s">
        <v>572</v>
      </c>
      <c r="F971" s="2" t="s">
        <v>363</v>
      </c>
    </row>
    <row r="972" customFormat="false" ht="15" hidden="false" customHeight="false" outlineLevel="0" collapsed="false">
      <c r="A972" s="2" t="s">
        <v>327</v>
      </c>
      <c r="B972" s="3" t="n">
        <v>41188</v>
      </c>
      <c r="C972" s="2" t="s">
        <v>206</v>
      </c>
      <c r="D972" s="2" t="s">
        <v>356</v>
      </c>
      <c r="E972" s="2" t="s">
        <v>572</v>
      </c>
      <c r="F972" s="2" t="s">
        <v>373</v>
      </c>
    </row>
    <row r="973" customFormat="false" ht="15" hidden="false" customHeight="false" outlineLevel="0" collapsed="false">
      <c r="A973" s="2" t="s">
        <v>327</v>
      </c>
      <c r="B973" s="3" t="n">
        <v>41634</v>
      </c>
      <c r="C973" s="2" t="s">
        <v>385</v>
      </c>
      <c r="D973" s="2" t="s">
        <v>356</v>
      </c>
      <c r="E973" s="2" t="s">
        <v>572</v>
      </c>
      <c r="F973" s="2" t="s">
        <v>373</v>
      </c>
    </row>
    <row r="974" customFormat="false" ht="15" hidden="false" customHeight="false" outlineLevel="0" collapsed="false">
      <c r="A974" s="2" t="s">
        <v>327</v>
      </c>
      <c r="B974" s="3" t="n">
        <v>42001</v>
      </c>
      <c r="C974" s="2" t="s">
        <v>23</v>
      </c>
      <c r="D974" s="2" t="s">
        <v>356</v>
      </c>
      <c r="E974" s="2" t="s">
        <v>572</v>
      </c>
      <c r="F974" s="2" t="s">
        <v>360</v>
      </c>
    </row>
    <row r="975" customFormat="false" ht="15" hidden="false" customHeight="false" outlineLevel="0" collapsed="false">
      <c r="A975" s="2" t="s">
        <v>327</v>
      </c>
      <c r="B975" s="3" t="n">
        <v>42469</v>
      </c>
      <c r="C975" s="2" t="s">
        <v>355</v>
      </c>
      <c r="D975" s="2" t="s">
        <v>356</v>
      </c>
      <c r="E975" s="2" t="s">
        <v>572</v>
      </c>
      <c r="F975" s="2" t="s">
        <v>358</v>
      </c>
    </row>
    <row r="976" customFormat="false" ht="15" hidden="false" customHeight="false" outlineLevel="0" collapsed="false">
      <c r="A976" s="2" t="s">
        <v>327</v>
      </c>
      <c r="B976" s="3" t="n">
        <v>42707</v>
      </c>
      <c r="C976" s="2" t="s">
        <v>138</v>
      </c>
      <c r="D976" s="2" t="s">
        <v>356</v>
      </c>
      <c r="E976" s="2" t="s">
        <v>572</v>
      </c>
      <c r="F976" s="2" t="s">
        <v>435</v>
      </c>
    </row>
    <row r="977" customFormat="false" ht="15" hidden="false" customHeight="false" outlineLevel="0" collapsed="false">
      <c r="A977" s="2" t="s">
        <v>327</v>
      </c>
      <c r="B977" s="3" t="n">
        <v>43082</v>
      </c>
      <c r="C977" s="2" t="s">
        <v>11</v>
      </c>
      <c r="D977" s="2" t="s">
        <v>356</v>
      </c>
      <c r="E977" s="2" t="s">
        <v>572</v>
      </c>
      <c r="F977" s="2" t="s">
        <v>369</v>
      </c>
    </row>
    <row r="978" customFormat="false" ht="15" hidden="false" customHeight="false" outlineLevel="0" collapsed="false">
      <c r="A978" s="2" t="s">
        <v>327</v>
      </c>
      <c r="B978" s="3" t="n">
        <v>43477</v>
      </c>
      <c r="C978" s="2" t="s">
        <v>153</v>
      </c>
      <c r="D978" s="2" t="s">
        <v>356</v>
      </c>
      <c r="E978" s="2" t="s">
        <v>572</v>
      </c>
      <c r="F978" s="2" t="s">
        <v>348</v>
      </c>
    </row>
    <row r="979" customFormat="false" ht="15" hidden="false" customHeight="false" outlineLevel="0" collapsed="false">
      <c r="A979" s="2" t="s">
        <v>327</v>
      </c>
      <c r="B979" s="3" t="n">
        <v>43808</v>
      </c>
      <c r="C979" s="2" t="s">
        <v>130</v>
      </c>
      <c r="D979" s="2" t="s">
        <v>356</v>
      </c>
      <c r="E979" s="2" t="s">
        <v>572</v>
      </c>
      <c r="F979" s="2" t="s">
        <v>373</v>
      </c>
    </row>
    <row r="980" customFormat="false" ht="15" hidden="false" customHeight="false" outlineLevel="0" collapsed="false">
      <c r="A980" s="2" t="s">
        <v>327</v>
      </c>
      <c r="B980" s="3" t="n">
        <v>44276</v>
      </c>
      <c r="C980" s="2" t="s">
        <v>125</v>
      </c>
      <c r="D980" s="2" t="s">
        <v>356</v>
      </c>
      <c r="E980" s="2" t="s">
        <v>572</v>
      </c>
      <c r="F980" s="2" t="s">
        <v>358</v>
      </c>
    </row>
    <row r="981" customFormat="false" ht="15" hidden="false" customHeight="false" outlineLevel="0" collapsed="false">
      <c r="A981" s="2" t="s">
        <v>327</v>
      </c>
      <c r="B981" s="3" t="n">
        <v>44682</v>
      </c>
      <c r="C981" s="2" t="s">
        <v>386</v>
      </c>
      <c r="D981" s="2" t="s">
        <v>356</v>
      </c>
      <c r="E981" s="2" t="s">
        <v>572</v>
      </c>
      <c r="F981" s="2" t="s">
        <v>360</v>
      </c>
    </row>
    <row r="982" customFormat="false" ht="15" hidden="false" customHeight="false" outlineLevel="0" collapsed="false">
      <c r="A982" s="2" t="s">
        <v>327</v>
      </c>
      <c r="B982" s="3" t="n">
        <v>45032</v>
      </c>
      <c r="C982" s="2" t="s">
        <v>147</v>
      </c>
      <c r="D982" s="2" t="s">
        <v>356</v>
      </c>
      <c r="E982" s="2" t="s">
        <v>572</v>
      </c>
      <c r="F982" s="2" t="s">
        <v>380</v>
      </c>
    </row>
    <row r="983" customFormat="false" ht="15" hidden="false" customHeight="false" outlineLevel="0" collapsed="false">
      <c r="A983" s="2" t="s">
        <v>327</v>
      </c>
      <c r="B983" s="3" t="n">
        <v>45231</v>
      </c>
      <c r="C983" s="2" t="s">
        <v>364</v>
      </c>
      <c r="D983" s="2" t="s">
        <v>379</v>
      </c>
      <c r="E983" s="2" t="s">
        <v>572</v>
      </c>
      <c r="F983" s="2" t="s">
        <v>377</v>
      </c>
    </row>
    <row r="984" customFormat="false" ht="15" hidden="false" customHeight="false" outlineLevel="0" collapsed="false">
      <c r="A984" s="2" t="s">
        <v>327</v>
      </c>
      <c r="B984" s="3" t="n">
        <v>45333</v>
      </c>
      <c r="C984" s="2" t="s">
        <v>364</v>
      </c>
      <c r="D984" s="2" t="s">
        <v>356</v>
      </c>
      <c r="E984" s="2" t="s">
        <v>572</v>
      </c>
      <c r="F984" s="2" t="s">
        <v>525</v>
      </c>
    </row>
    <row r="985" customFormat="false" ht="15" hidden="false" customHeight="false" outlineLevel="0" collapsed="false">
      <c r="A985" s="2" t="s">
        <v>327</v>
      </c>
      <c r="B985" s="3" t="n">
        <v>45626</v>
      </c>
      <c r="C985" s="2" t="s">
        <v>30</v>
      </c>
      <c r="D985" s="2" t="s">
        <v>356</v>
      </c>
      <c r="E985" s="2" t="s">
        <v>572</v>
      </c>
      <c r="F985" s="2" t="s">
        <v>450</v>
      </c>
    </row>
    <row r="986" customFormat="false" ht="15" hidden="false" customHeight="false" outlineLevel="0" collapsed="false">
      <c r="A986" s="2" t="s">
        <v>327</v>
      </c>
      <c r="B986" s="3" t="n">
        <v>46152</v>
      </c>
      <c r="C986" s="2" t="s">
        <v>32</v>
      </c>
      <c r="D986" s="2" t="s">
        <v>356</v>
      </c>
      <c r="E986" s="2" t="s">
        <v>572</v>
      </c>
      <c r="F986" s="2" t="s">
        <v>383</v>
      </c>
    </row>
    <row r="987" customFormat="false" ht="15" hidden="false" customHeight="false" outlineLevel="0" collapsed="false">
      <c r="A987" s="2" t="s">
        <v>330</v>
      </c>
      <c r="B987" s="3" t="n">
        <v>38675</v>
      </c>
      <c r="C987" s="2" t="s">
        <v>123</v>
      </c>
      <c r="D987" s="2" t="s">
        <v>356</v>
      </c>
      <c r="E987" s="2" t="s">
        <v>573</v>
      </c>
      <c r="F987" s="2" t="s">
        <v>366</v>
      </c>
    </row>
    <row r="988" customFormat="false" ht="15" hidden="false" customHeight="false" outlineLevel="0" collapsed="false">
      <c r="A988" s="2" t="s">
        <v>330</v>
      </c>
      <c r="B988" s="3" t="n">
        <v>38727</v>
      </c>
      <c r="C988" s="2" t="s">
        <v>123</v>
      </c>
      <c r="D988" s="2" t="s">
        <v>379</v>
      </c>
      <c r="E988" s="2" t="s">
        <v>573</v>
      </c>
      <c r="F988" s="2" t="s">
        <v>348</v>
      </c>
    </row>
    <row r="989" customFormat="false" ht="15" hidden="false" customHeight="false" outlineLevel="0" collapsed="false">
      <c r="A989" s="2" t="s">
        <v>330</v>
      </c>
      <c r="B989" s="3" t="n">
        <v>39064</v>
      </c>
      <c r="C989" s="2" t="s">
        <v>110</v>
      </c>
      <c r="D989" s="2" t="s">
        <v>356</v>
      </c>
      <c r="E989" s="2" t="s">
        <v>573</v>
      </c>
      <c r="F989" s="2" t="s">
        <v>383</v>
      </c>
    </row>
    <row r="990" customFormat="false" ht="15" hidden="false" customHeight="false" outlineLevel="0" collapsed="false">
      <c r="A990" s="2" t="s">
        <v>330</v>
      </c>
      <c r="B990" s="3" t="n">
        <v>39516</v>
      </c>
      <c r="C990" s="2" t="s">
        <v>297</v>
      </c>
      <c r="D990" s="2" t="s">
        <v>356</v>
      </c>
      <c r="E990" s="2" t="s">
        <v>573</v>
      </c>
      <c r="F990" s="2" t="s">
        <v>369</v>
      </c>
    </row>
    <row r="991" customFormat="false" ht="15" hidden="false" customHeight="false" outlineLevel="0" collapsed="false">
      <c r="A991" s="2" t="s">
        <v>330</v>
      </c>
      <c r="B991" s="3" t="n">
        <v>39914</v>
      </c>
      <c r="C991" s="2" t="s">
        <v>312</v>
      </c>
      <c r="D991" s="2" t="s">
        <v>356</v>
      </c>
      <c r="E991" s="2" t="s">
        <v>573</v>
      </c>
      <c r="F991" s="2" t="s">
        <v>407</v>
      </c>
    </row>
    <row r="992" customFormat="false" ht="15" hidden="false" customHeight="false" outlineLevel="0" collapsed="false">
      <c r="A992" s="2" t="s">
        <v>330</v>
      </c>
      <c r="B992" s="3" t="n">
        <v>40286</v>
      </c>
      <c r="C992" s="2" t="s">
        <v>42</v>
      </c>
      <c r="D992" s="2" t="s">
        <v>356</v>
      </c>
      <c r="E992" s="2" t="s">
        <v>573</v>
      </c>
      <c r="F992" s="2" t="s">
        <v>382</v>
      </c>
    </row>
    <row r="993" customFormat="false" ht="15" hidden="false" customHeight="false" outlineLevel="0" collapsed="false">
      <c r="A993" s="2" t="s">
        <v>330</v>
      </c>
      <c r="B993" s="3" t="n">
        <v>40541</v>
      </c>
      <c r="C993" s="2" t="s">
        <v>187</v>
      </c>
      <c r="D993" s="2" t="s">
        <v>356</v>
      </c>
      <c r="E993" s="2" t="s">
        <v>573</v>
      </c>
      <c r="F993" s="2" t="s">
        <v>380</v>
      </c>
    </row>
    <row r="994" customFormat="false" ht="15" hidden="false" customHeight="false" outlineLevel="0" collapsed="false">
      <c r="A994" s="2" t="s">
        <v>330</v>
      </c>
      <c r="B994" s="3" t="n">
        <v>40880</v>
      </c>
      <c r="C994" s="2" t="s">
        <v>314</v>
      </c>
      <c r="D994" s="2" t="s">
        <v>356</v>
      </c>
      <c r="E994" s="2" t="s">
        <v>573</v>
      </c>
      <c r="F994" s="2" t="s">
        <v>365</v>
      </c>
    </row>
    <row r="995" customFormat="false" ht="15" hidden="false" customHeight="false" outlineLevel="0" collapsed="false">
      <c r="A995" s="2" t="s">
        <v>330</v>
      </c>
      <c r="B995" s="3" t="n">
        <v>41265</v>
      </c>
      <c r="C995" s="2" t="s">
        <v>206</v>
      </c>
      <c r="D995" s="2" t="s">
        <v>356</v>
      </c>
      <c r="E995" s="2" t="s">
        <v>573</v>
      </c>
      <c r="F995" s="2" t="s">
        <v>383</v>
      </c>
    </row>
    <row r="996" customFormat="false" ht="15" hidden="false" customHeight="false" outlineLevel="0" collapsed="false">
      <c r="A996" s="2" t="s">
        <v>332</v>
      </c>
      <c r="B996" s="3" t="n">
        <v>32382</v>
      </c>
      <c r="C996" s="2" t="s">
        <v>374</v>
      </c>
      <c r="D996" s="2" t="s">
        <v>375</v>
      </c>
      <c r="E996" s="2" t="s">
        <v>574</v>
      </c>
      <c r="F996" s="2" t="s">
        <v>435</v>
      </c>
    </row>
    <row r="997" customFormat="false" ht="15" hidden="false" customHeight="false" outlineLevel="0" collapsed="false">
      <c r="A997" s="2" t="s">
        <v>332</v>
      </c>
      <c r="B997" s="3" t="n">
        <v>32886</v>
      </c>
      <c r="C997" s="2" t="s">
        <v>240</v>
      </c>
      <c r="D997" s="2" t="s">
        <v>375</v>
      </c>
      <c r="E997" s="2" t="s">
        <v>574</v>
      </c>
      <c r="F997" s="2" t="s">
        <v>348</v>
      </c>
    </row>
    <row r="998" customFormat="false" ht="15" hidden="false" customHeight="false" outlineLevel="0" collapsed="false">
      <c r="A998" s="2" t="s">
        <v>332</v>
      </c>
      <c r="B998" s="3" t="n">
        <v>33110</v>
      </c>
      <c r="C998" s="2" t="s">
        <v>99</v>
      </c>
      <c r="D998" s="2" t="s">
        <v>375</v>
      </c>
      <c r="E998" s="2" t="s">
        <v>574</v>
      </c>
      <c r="F998" s="2" t="s">
        <v>363</v>
      </c>
    </row>
    <row r="999" customFormat="false" ht="15" hidden="false" customHeight="false" outlineLevel="0" collapsed="false">
      <c r="A999" s="2" t="s">
        <v>332</v>
      </c>
      <c r="B999" s="3" t="n">
        <v>33691</v>
      </c>
      <c r="C999" s="2" t="s">
        <v>38</v>
      </c>
      <c r="D999" s="2" t="s">
        <v>375</v>
      </c>
      <c r="E999" s="2" t="s">
        <v>574</v>
      </c>
      <c r="F999" s="2" t="s">
        <v>373</v>
      </c>
    </row>
    <row r="1000" customFormat="false" ht="15" hidden="false" customHeight="false" outlineLevel="0" collapsed="false">
      <c r="A1000" s="2" t="s">
        <v>332</v>
      </c>
      <c r="B1000" s="3" t="n">
        <v>33852</v>
      </c>
      <c r="C1000" s="2" t="s">
        <v>267</v>
      </c>
      <c r="D1000" s="2" t="s">
        <v>356</v>
      </c>
      <c r="E1000" s="2" t="s">
        <v>574</v>
      </c>
      <c r="F1000" s="2" t="s">
        <v>382</v>
      </c>
    </row>
    <row r="1001" customFormat="false" ht="15" hidden="false" customHeight="false" outlineLevel="0" collapsed="false">
      <c r="A1001" s="2" t="s">
        <v>332</v>
      </c>
      <c r="B1001" s="3" t="n">
        <v>34335</v>
      </c>
      <c r="C1001" s="2" t="s">
        <v>218</v>
      </c>
      <c r="D1001" s="2" t="s">
        <v>356</v>
      </c>
      <c r="E1001" s="2" t="s">
        <v>574</v>
      </c>
      <c r="F1001" s="2" t="s">
        <v>363</v>
      </c>
    </row>
    <row r="1002" customFormat="false" ht="15" hidden="false" customHeight="false" outlineLevel="0" collapsed="false">
      <c r="A1002" s="2" t="s">
        <v>332</v>
      </c>
      <c r="B1002" s="3" t="n">
        <v>34615</v>
      </c>
      <c r="C1002" s="2" t="s">
        <v>81</v>
      </c>
      <c r="D1002" s="2" t="s">
        <v>356</v>
      </c>
      <c r="E1002" s="2" t="s">
        <v>574</v>
      </c>
      <c r="F1002" s="2" t="s">
        <v>373</v>
      </c>
    </row>
    <row r="1003" customFormat="false" ht="15" hidden="false" customHeight="false" outlineLevel="0" collapsed="false">
      <c r="A1003" s="2" t="s">
        <v>332</v>
      </c>
      <c r="B1003" s="3" t="n">
        <v>35140</v>
      </c>
      <c r="C1003" s="2" t="s">
        <v>378</v>
      </c>
      <c r="D1003" s="2" t="s">
        <v>356</v>
      </c>
      <c r="E1003" s="2" t="s">
        <v>574</v>
      </c>
      <c r="F1003" s="2" t="s">
        <v>363</v>
      </c>
    </row>
    <row r="1004" customFormat="false" ht="15" hidden="false" customHeight="false" outlineLevel="0" collapsed="false">
      <c r="A1004" s="2" t="s">
        <v>332</v>
      </c>
      <c r="B1004" s="3" t="n">
        <v>35371</v>
      </c>
      <c r="C1004" s="2" t="s">
        <v>73</v>
      </c>
      <c r="D1004" s="2" t="s">
        <v>356</v>
      </c>
      <c r="E1004" s="2" t="s">
        <v>574</v>
      </c>
      <c r="F1004" s="2" t="s">
        <v>380</v>
      </c>
    </row>
    <row r="1005" customFormat="false" ht="15" hidden="false" customHeight="false" outlineLevel="0" collapsed="false">
      <c r="A1005" s="2" t="s">
        <v>332</v>
      </c>
      <c r="B1005" s="3" t="n">
        <v>35865</v>
      </c>
      <c r="C1005" s="2" t="s">
        <v>232</v>
      </c>
      <c r="D1005" s="2" t="s">
        <v>356</v>
      </c>
      <c r="E1005" s="2" t="s">
        <v>574</v>
      </c>
      <c r="F1005" s="2" t="s">
        <v>383</v>
      </c>
    </row>
    <row r="1006" customFormat="false" ht="15" hidden="false" customHeight="false" outlineLevel="0" collapsed="false">
      <c r="A1006" s="2" t="s">
        <v>332</v>
      </c>
      <c r="B1006" s="3" t="n">
        <v>36120</v>
      </c>
      <c r="C1006" s="2" t="s">
        <v>381</v>
      </c>
      <c r="D1006" s="2" t="s">
        <v>356</v>
      </c>
      <c r="E1006" s="2" t="s">
        <v>574</v>
      </c>
      <c r="F1006" s="2" t="s">
        <v>348</v>
      </c>
    </row>
    <row r="1007" customFormat="false" ht="15" hidden="false" customHeight="false" outlineLevel="0" collapsed="false">
      <c r="A1007" s="2" t="s">
        <v>332</v>
      </c>
      <c r="B1007" s="3" t="n">
        <v>36617</v>
      </c>
      <c r="C1007" s="2" t="s">
        <v>19</v>
      </c>
      <c r="D1007" s="2" t="s">
        <v>356</v>
      </c>
      <c r="E1007" s="2" t="s">
        <v>574</v>
      </c>
      <c r="F1007" s="2" t="s">
        <v>373</v>
      </c>
    </row>
    <row r="1008" customFormat="false" ht="15" hidden="false" customHeight="false" outlineLevel="0" collapsed="false">
      <c r="A1008" s="2" t="s">
        <v>335</v>
      </c>
      <c r="B1008" s="3" t="n">
        <v>36184</v>
      </c>
      <c r="C1008" s="2" t="s">
        <v>381</v>
      </c>
      <c r="D1008" s="2" t="s">
        <v>362</v>
      </c>
      <c r="E1008" s="2" t="s">
        <v>575</v>
      </c>
      <c r="F1008" s="2" t="s">
        <v>360</v>
      </c>
    </row>
    <row r="1009" customFormat="false" ht="15" hidden="false" customHeight="false" outlineLevel="0" collapsed="false">
      <c r="A1009" s="2" t="s">
        <v>335</v>
      </c>
      <c r="B1009" s="3" t="n">
        <v>38024</v>
      </c>
      <c r="C1009" s="2" t="s">
        <v>91</v>
      </c>
      <c r="D1009" s="2" t="s">
        <v>356</v>
      </c>
      <c r="E1009" s="2" t="s">
        <v>575</v>
      </c>
      <c r="F1009" s="2" t="s">
        <v>373</v>
      </c>
    </row>
    <row r="1010" customFormat="false" ht="15" hidden="false" customHeight="false" outlineLevel="0" collapsed="false">
      <c r="A1010" s="2" t="s">
        <v>335</v>
      </c>
      <c r="B1010" s="3" t="n">
        <v>40124</v>
      </c>
      <c r="C1010" s="2" t="s">
        <v>42</v>
      </c>
      <c r="D1010" s="2" t="s">
        <v>356</v>
      </c>
      <c r="E1010" s="2" t="s">
        <v>575</v>
      </c>
      <c r="F1010" s="2" t="s">
        <v>407</v>
      </c>
    </row>
    <row r="1011" customFormat="false" ht="15" hidden="false" customHeight="false" outlineLevel="0" collapsed="false">
      <c r="A1011" s="2" t="s">
        <v>335</v>
      </c>
      <c r="B1011" s="3" t="n">
        <v>40492</v>
      </c>
      <c r="C1011" s="2" t="s">
        <v>187</v>
      </c>
      <c r="D1011" s="2" t="s">
        <v>356</v>
      </c>
      <c r="E1011" s="2" t="s">
        <v>575</v>
      </c>
      <c r="F1011" s="2" t="s">
        <v>353</v>
      </c>
    </row>
    <row r="1012" customFormat="false" ht="15" hidden="false" customHeight="false" outlineLevel="0" collapsed="false">
      <c r="A1012" s="2" t="s">
        <v>335</v>
      </c>
      <c r="B1012" s="3" t="n">
        <v>41010</v>
      </c>
      <c r="C1012" s="2" t="s">
        <v>314</v>
      </c>
      <c r="D1012" s="2" t="s">
        <v>356</v>
      </c>
      <c r="E1012" s="2" t="s">
        <v>575</v>
      </c>
      <c r="F1012" s="2" t="s">
        <v>363</v>
      </c>
    </row>
    <row r="1013" customFormat="false" ht="15" hidden="false" customHeight="false" outlineLevel="0" collapsed="false">
      <c r="A1013" s="2" t="s">
        <v>335</v>
      </c>
      <c r="B1013" s="3" t="n">
        <v>43579</v>
      </c>
      <c r="C1013" s="2" t="s">
        <v>153</v>
      </c>
      <c r="D1013" s="2" t="s">
        <v>356</v>
      </c>
      <c r="E1013" s="2" t="s">
        <v>575</v>
      </c>
      <c r="F1013" s="2" t="s">
        <v>377</v>
      </c>
    </row>
    <row r="1014" customFormat="false" ht="15" hidden="false" customHeight="false" outlineLevel="0" collapsed="false">
      <c r="A1014" s="2" t="s">
        <v>335</v>
      </c>
      <c r="B1014" s="3" t="n">
        <v>44016</v>
      </c>
      <c r="C1014" s="2" t="s">
        <v>130</v>
      </c>
      <c r="D1014" s="2" t="s">
        <v>356</v>
      </c>
      <c r="E1014" s="2" t="s">
        <v>575</v>
      </c>
      <c r="F1014" s="2" t="s">
        <v>353</v>
      </c>
    </row>
    <row r="1015" customFormat="false" ht="15" hidden="false" customHeight="false" outlineLevel="0" collapsed="false">
      <c r="A1015" s="2" t="s">
        <v>335</v>
      </c>
      <c r="B1015" s="3" t="n">
        <v>44229</v>
      </c>
      <c r="C1015" s="2" t="s">
        <v>125</v>
      </c>
      <c r="D1015" s="2" t="s">
        <v>356</v>
      </c>
      <c r="E1015" s="2" t="s">
        <v>575</v>
      </c>
      <c r="F1015" s="2" t="s">
        <v>359</v>
      </c>
    </row>
    <row r="1016" customFormat="false" ht="15" hidden="false" customHeight="false" outlineLevel="0" collapsed="false">
      <c r="A1016" s="2" t="s">
        <v>335</v>
      </c>
      <c r="B1016" s="3" t="n">
        <v>44602</v>
      </c>
      <c r="C1016" s="2" t="s">
        <v>386</v>
      </c>
      <c r="D1016" s="2" t="s">
        <v>356</v>
      </c>
      <c r="E1016" s="2" t="s">
        <v>575</v>
      </c>
      <c r="F1016" s="2" t="s">
        <v>383</v>
      </c>
    </row>
    <row r="1017" customFormat="false" ht="15" hidden="false" customHeight="false" outlineLevel="0" collapsed="false">
      <c r="A1017" s="2" t="s">
        <v>335</v>
      </c>
      <c r="B1017" s="3" t="n">
        <v>44877</v>
      </c>
      <c r="C1017" s="2" t="s">
        <v>147</v>
      </c>
      <c r="D1017" s="2" t="s">
        <v>356</v>
      </c>
      <c r="E1017" s="2" t="s">
        <v>575</v>
      </c>
      <c r="F1017" s="2" t="s">
        <v>353</v>
      </c>
    </row>
    <row r="1018" customFormat="false" ht="15" hidden="false" customHeight="false" outlineLevel="0" collapsed="false">
      <c r="A1018" s="2" t="s">
        <v>335</v>
      </c>
      <c r="B1018" s="3" t="n">
        <v>45402</v>
      </c>
      <c r="C1018" s="2" t="s">
        <v>364</v>
      </c>
      <c r="D1018" s="2" t="s">
        <v>356</v>
      </c>
      <c r="E1018" s="2" t="s">
        <v>575</v>
      </c>
      <c r="F1018" s="2" t="s">
        <v>353</v>
      </c>
    </row>
    <row r="1019" customFormat="false" ht="15" hidden="false" customHeight="false" outlineLevel="0" collapsed="false">
      <c r="A1019" s="2" t="s">
        <v>335</v>
      </c>
      <c r="B1019" s="3" t="n">
        <v>45682</v>
      </c>
      <c r="C1019" s="2" t="s">
        <v>30</v>
      </c>
      <c r="D1019" s="2" t="s">
        <v>356</v>
      </c>
      <c r="E1019" s="2" t="s">
        <v>575</v>
      </c>
      <c r="F1019" s="2" t="s">
        <v>383</v>
      </c>
    </row>
    <row r="1020" customFormat="false" ht="15" hidden="false" customHeight="false" outlineLevel="0" collapsed="false">
      <c r="A1020" s="2" t="s">
        <v>335</v>
      </c>
      <c r="B1020" s="3" t="n">
        <v>46071</v>
      </c>
      <c r="C1020" s="2" t="s">
        <v>32</v>
      </c>
      <c r="D1020" s="2" t="s">
        <v>356</v>
      </c>
      <c r="E1020" s="2" t="s">
        <v>575</v>
      </c>
      <c r="F1020" s="2" t="s">
        <v>380</v>
      </c>
    </row>
    <row r="1021" customFormat="false" ht="15" hidden="false" customHeight="false" outlineLevel="0" collapsed="false">
      <c r="A1021" s="2" t="s">
        <v>337</v>
      </c>
      <c r="B1021" s="3" t="n">
        <v>33607</v>
      </c>
      <c r="C1021" s="2" t="s">
        <v>38</v>
      </c>
      <c r="D1021" s="2" t="s">
        <v>362</v>
      </c>
      <c r="E1021" s="2" t="s">
        <v>576</v>
      </c>
      <c r="F1021" s="2" t="s">
        <v>359</v>
      </c>
    </row>
    <row r="1022" customFormat="false" ht="15" hidden="false" customHeight="false" outlineLevel="0" collapsed="false">
      <c r="A1022" s="2" t="s">
        <v>338</v>
      </c>
      <c r="B1022" s="3" t="n">
        <v>33971</v>
      </c>
      <c r="C1022" s="2" t="s">
        <v>267</v>
      </c>
      <c r="D1022" s="2" t="s">
        <v>362</v>
      </c>
      <c r="E1022" s="2" t="s">
        <v>577</v>
      </c>
      <c r="F1022" s="2" t="s">
        <v>373</v>
      </c>
    </row>
    <row r="1023" customFormat="false" ht="15" hidden="false" customHeight="false" outlineLevel="0" collapsed="false">
      <c r="A1023" s="2" t="s">
        <v>339</v>
      </c>
      <c r="B1023" s="3" t="n">
        <v>43146</v>
      </c>
      <c r="C1023" s="2" t="s">
        <v>11</v>
      </c>
      <c r="D1023" s="2" t="s">
        <v>346</v>
      </c>
      <c r="E1023" s="2" t="s">
        <v>578</v>
      </c>
      <c r="F1023" s="2" t="s">
        <v>363</v>
      </c>
    </row>
  </sheetData>
  <autoFilter ref="A1:F10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6" t="s">
        <v>579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15" hidden="false" customHeight="false" outlineLevel="0" collapsed="false">
      <c r="A3" s="7" t="s">
        <v>580</v>
      </c>
      <c r="B3" s="7" t="s">
        <v>581</v>
      </c>
      <c r="C3" s="7" t="s">
        <v>582</v>
      </c>
      <c r="D3" s="7" t="s">
        <v>583</v>
      </c>
      <c r="E3" s="7" t="s">
        <v>584</v>
      </c>
      <c r="F3" s="7" t="s">
        <v>585</v>
      </c>
      <c r="G3" s="7" t="s">
        <v>586</v>
      </c>
      <c r="H3" s="7" t="s">
        <v>587</v>
      </c>
      <c r="I3" s="7" t="s">
        <v>588</v>
      </c>
      <c r="J3" s="7" t="s">
        <v>589</v>
      </c>
    </row>
    <row r="5" customFormat="false" ht="15" hidden="false" customHeight="false" outlineLevel="0" collapsed="false">
      <c r="A5" s="8" t="s">
        <v>590</v>
      </c>
      <c r="B5" s="8" t="s">
        <v>591</v>
      </c>
      <c r="C5" s="8" t="s">
        <v>592</v>
      </c>
      <c r="D5" s="9" t="n">
        <v>4998</v>
      </c>
      <c r="E5" s="9" t="n">
        <v>38844</v>
      </c>
      <c r="F5" s="8" t="n">
        <v>51.558</v>
      </c>
      <c r="G5" s="8" t="n">
        <v>-0.103</v>
      </c>
      <c r="H5" s="8" t="s">
        <v>593</v>
      </c>
      <c r="I5" s="8" t="s">
        <v>594</v>
      </c>
      <c r="J5" s="8" t="s">
        <v>595</v>
      </c>
    </row>
    <row r="6" customFormat="false" ht="15" hidden="false" customHeight="false" outlineLevel="0" collapsed="false">
      <c r="A6" s="2" t="s">
        <v>596</v>
      </c>
      <c r="B6" s="2" t="s">
        <v>597</v>
      </c>
      <c r="C6" s="2" t="s">
        <v>592</v>
      </c>
      <c r="D6" s="10" t="n">
        <v>38920</v>
      </c>
      <c r="E6" s="10"/>
      <c r="F6" s="11"/>
      <c r="G6" s="11"/>
      <c r="H6" s="2" t="s">
        <v>593</v>
      </c>
      <c r="I6" s="2" t="s">
        <v>594</v>
      </c>
      <c r="J6" s="2"/>
    </row>
    <row r="7" customFormat="false" ht="15" hidden="false" customHeight="false" outlineLevel="0" collapsed="false">
      <c r="A7" s="2" t="s">
        <v>598</v>
      </c>
      <c r="B7" s="2" t="s">
        <v>599</v>
      </c>
      <c r="C7" s="2" t="s">
        <v>592</v>
      </c>
      <c r="D7" s="10"/>
      <c r="E7" s="10"/>
      <c r="F7" s="11"/>
      <c r="G7" s="11"/>
      <c r="H7" s="2" t="s">
        <v>593</v>
      </c>
      <c r="I7" s="2" t="s">
        <v>594</v>
      </c>
      <c r="J7" s="2" t="s">
        <v>600</v>
      </c>
    </row>
    <row r="8" customFormat="false" ht="15" hidden="false" customHeight="false" outlineLevel="0" collapsed="false">
      <c r="A8" s="2" t="s">
        <v>601</v>
      </c>
      <c r="B8" s="2" t="s">
        <v>602</v>
      </c>
      <c r="C8" s="2" t="s">
        <v>603</v>
      </c>
      <c r="D8" s="10"/>
      <c r="E8" s="10"/>
      <c r="F8" s="11"/>
      <c r="G8" s="11"/>
      <c r="H8" s="2" t="s">
        <v>604</v>
      </c>
      <c r="I8" s="2" t="s">
        <v>605</v>
      </c>
      <c r="J8" s="2" t="s">
        <v>606</v>
      </c>
    </row>
    <row r="9" customFormat="false" ht="15" hidden="false" customHeight="false" outlineLevel="0" collapsed="false">
      <c r="A9" s="2" t="s">
        <v>607</v>
      </c>
      <c r="B9" s="2" t="s">
        <v>608</v>
      </c>
      <c r="C9" s="2" t="s">
        <v>27</v>
      </c>
      <c r="D9" s="10"/>
      <c r="E9" s="10"/>
      <c r="F9" s="11"/>
      <c r="G9" s="11"/>
      <c r="H9" s="2" t="s">
        <v>609</v>
      </c>
      <c r="I9" s="2" t="s">
        <v>594</v>
      </c>
      <c r="J9" s="2" t="s">
        <v>610</v>
      </c>
    </row>
    <row r="10" customFormat="false" ht="15" hidden="false" customHeight="false" outlineLevel="0" collapsed="false">
      <c r="A10" s="2" t="s">
        <v>611</v>
      </c>
      <c r="B10" s="2" t="s">
        <v>612</v>
      </c>
      <c r="C10" s="2" t="s">
        <v>196</v>
      </c>
      <c r="D10" s="10"/>
      <c r="E10" s="10"/>
      <c r="F10" s="11"/>
      <c r="G10" s="11"/>
      <c r="H10" s="2" t="s">
        <v>613</v>
      </c>
      <c r="I10" s="2" t="s">
        <v>594</v>
      </c>
      <c r="J10" s="2" t="s">
        <v>610</v>
      </c>
    </row>
    <row r="11" customFormat="false" ht="15" hidden="false" customHeight="false" outlineLevel="0" collapsed="false">
      <c r="A11" s="2" t="s">
        <v>614</v>
      </c>
      <c r="B11" s="2" t="s">
        <v>615</v>
      </c>
      <c r="C11" s="2" t="s">
        <v>603</v>
      </c>
      <c r="D11" s="10"/>
      <c r="E11" s="10"/>
      <c r="F11" s="11"/>
      <c r="G11" s="11"/>
      <c r="H11" s="2" t="s">
        <v>616</v>
      </c>
      <c r="I11" s="2" t="s">
        <v>617</v>
      </c>
      <c r="J11" s="2"/>
    </row>
    <row r="12" customFormat="false" ht="15" hidden="false" customHeight="false" outlineLevel="0" collapsed="false">
      <c r="A12" s="2" t="s">
        <v>618</v>
      </c>
      <c r="B12" s="2" t="s">
        <v>619</v>
      </c>
      <c r="C12" s="2" t="s">
        <v>233</v>
      </c>
      <c r="D12" s="10"/>
      <c r="E12" s="10"/>
      <c r="F12" s="11"/>
      <c r="G12" s="11"/>
      <c r="H12" s="2" t="s">
        <v>620</v>
      </c>
      <c r="I12" s="2" t="s">
        <v>621</v>
      </c>
      <c r="J12" s="2" t="s">
        <v>622</v>
      </c>
    </row>
    <row r="13" customFormat="false" ht="15" hidden="false" customHeight="false" outlineLevel="0" collapsed="false">
      <c r="A13" s="2" t="s">
        <v>623</v>
      </c>
      <c r="B13" s="2" t="s">
        <v>624</v>
      </c>
      <c r="C13" s="2" t="s">
        <v>603</v>
      </c>
      <c r="D13" s="10"/>
      <c r="E13" s="10"/>
      <c r="F13" s="11"/>
      <c r="G13" s="11"/>
      <c r="H13" s="2" t="s">
        <v>625</v>
      </c>
      <c r="I13" s="2" t="s">
        <v>621</v>
      </c>
      <c r="J13" s="2"/>
    </row>
    <row r="14" customFormat="false" ht="15" hidden="false" customHeight="false" outlineLevel="0" collapsed="false">
      <c r="A14" s="2" t="s">
        <v>626</v>
      </c>
      <c r="B14" s="2" t="s">
        <v>627</v>
      </c>
      <c r="C14" s="2" t="s">
        <v>603</v>
      </c>
      <c r="D14" s="10"/>
      <c r="E14" s="10"/>
      <c r="F14" s="11"/>
      <c r="G14" s="11"/>
      <c r="H14" s="2" t="s">
        <v>628</v>
      </c>
      <c r="I14" s="2" t="s">
        <v>629</v>
      </c>
      <c r="J14" s="2"/>
    </row>
    <row r="15" customFormat="false" ht="15" hidden="false" customHeight="false" outlineLevel="0" collapsed="false">
      <c r="A15" s="2" t="s">
        <v>630</v>
      </c>
      <c r="B15" s="2" t="s">
        <v>631</v>
      </c>
      <c r="C15" s="2" t="s">
        <v>603</v>
      </c>
      <c r="D15" s="10"/>
      <c r="E15" s="10"/>
      <c r="F15" s="11"/>
      <c r="G15" s="11"/>
      <c r="H15" s="2" t="s">
        <v>632</v>
      </c>
      <c r="I15" s="2" t="s">
        <v>633</v>
      </c>
      <c r="J15" s="2"/>
    </row>
    <row r="16" customFormat="false" ht="15" hidden="false" customHeight="false" outlineLevel="0" collapsed="false">
      <c r="A16" s="2" t="s">
        <v>634</v>
      </c>
      <c r="B16" s="2" t="s">
        <v>635</v>
      </c>
      <c r="C16" s="2" t="s">
        <v>636</v>
      </c>
      <c r="D16" s="10"/>
      <c r="E16" s="10"/>
      <c r="F16" s="11"/>
      <c r="G16" s="11"/>
      <c r="H16" s="2" t="s">
        <v>637</v>
      </c>
      <c r="I16" s="2" t="s">
        <v>638</v>
      </c>
      <c r="J16" s="2" t="s">
        <v>639</v>
      </c>
    </row>
    <row r="17" customFormat="false" ht="15" hidden="false" customHeight="false" outlineLevel="0" collapsed="false">
      <c r="A17" s="2" t="s">
        <v>640</v>
      </c>
      <c r="B17" s="2" t="s">
        <v>641</v>
      </c>
      <c r="C17" s="2" t="s">
        <v>642</v>
      </c>
      <c r="D17" s="10"/>
      <c r="E17" s="10"/>
      <c r="F17" s="11"/>
      <c r="G17" s="11"/>
      <c r="H17" s="2" t="s">
        <v>643</v>
      </c>
      <c r="I17" s="2" t="s">
        <v>644</v>
      </c>
      <c r="J17" s="2" t="s">
        <v>645</v>
      </c>
    </row>
    <row r="18" customFormat="false" ht="15" hidden="false" customHeight="false" outlineLevel="0" collapsed="false">
      <c r="D18" s="12"/>
      <c r="E18" s="12"/>
    </row>
    <row r="19" customFormat="false" ht="15" hidden="false" customHeight="false" outlineLevel="0" collapsed="false">
      <c r="D19" s="12"/>
      <c r="E19" s="12"/>
    </row>
    <row r="20" customFormat="false" ht="15" hidden="false" customHeight="false" outlineLevel="0" collapsed="false">
      <c r="D20" s="12"/>
      <c r="E20" s="12"/>
    </row>
    <row r="21" customFormat="false" ht="15" hidden="false" customHeight="false" outlineLevel="0" collapsed="false">
      <c r="D21" s="12"/>
      <c r="E21" s="12"/>
    </row>
    <row r="22" customFormat="false" ht="15" hidden="false" customHeight="false" outlineLevel="0" collapsed="false">
      <c r="D22" s="12"/>
      <c r="E22" s="12"/>
    </row>
    <row r="23" customFormat="false" ht="15" hidden="false" customHeight="false" outlineLevel="0" collapsed="false">
      <c r="D23" s="12"/>
      <c r="E23" s="12"/>
    </row>
    <row r="24" customFormat="false" ht="15" hidden="false" customHeight="false" outlineLevel="0" collapsed="false">
      <c r="D24" s="12"/>
      <c r="E24" s="12"/>
    </row>
    <row r="25" customFormat="false" ht="15" hidden="false" customHeight="false" outlineLevel="0" collapsed="false">
      <c r="D25" s="12"/>
      <c r="E25" s="12"/>
    </row>
    <row r="26" customFormat="false" ht="15" hidden="false" customHeight="false" outlineLevel="0" collapsed="false">
      <c r="D26" s="12"/>
      <c r="E26" s="12"/>
    </row>
    <row r="27" customFormat="false" ht="15" hidden="false" customHeight="false" outlineLevel="0" collapsed="false">
      <c r="D27" s="12"/>
      <c r="E27" s="12"/>
    </row>
    <row r="28" customFormat="false" ht="15" hidden="false" customHeight="false" outlineLevel="0" collapsed="false">
      <c r="D28" s="12"/>
      <c r="E28" s="12"/>
    </row>
    <row r="29" customFormat="false" ht="15" hidden="false" customHeight="false" outlineLevel="0" collapsed="false">
      <c r="D29" s="12"/>
      <c r="E29" s="12"/>
    </row>
    <row r="30" customFormat="false" ht="15" hidden="false" customHeight="false" outlineLevel="0" collapsed="false">
      <c r="D30" s="12"/>
      <c r="E30" s="12"/>
    </row>
    <row r="31" customFormat="false" ht="15" hidden="false" customHeight="false" outlineLevel="0" collapsed="false">
      <c r="D31" s="12"/>
      <c r="E31" s="12"/>
    </row>
    <row r="32" customFormat="false" ht="15" hidden="false" customHeight="false" outlineLevel="0" collapsed="false">
      <c r="D32" s="12"/>
      <c r="E32" s="12"/>
    </row>
    <row r="33" customFormat="false" ht="15" hidden="false" customHeight="false" outlineLevel="0" collapsed="false">
      <c r="D33" s="12"/>
      <c r="E33" s="12"/>
    </row>
    <row r="34" customFormat="false" ht="15" hidden="false" customHeight="false" outlineLevel="0" collapsed="false">
      <c r="D34" s="12"/>
      <c r="E34" s="12"/>
    </row>
    <row r="35" customFormat="false" ht="15" hidden="false" customHeight="false" outlineLevel="0" collapsed="false">
      <c r="D35" s="12"/>
      <c r="E35" s="12"/>
    </row>
    <row r="36" customFormat="false" ht="15" hidden="false" customHeight="false" outlineLevel="0" collapsed="false">
      <c r="D36" s="12"/>
      <c r="E36" s="12"/>
    </row>
    <row r="37" customFormat="false" ht="15" hidden="false" customHeight="false" outlineLevel="0" collapsed="false">
      <c r="D37" s="12"/>
      <c r="E37" s="12"/>
    </row>
    <row r="38" customFormat="false" ht="15" hidden="false" customHeight="false" outlineLevel="0" collapsed="false">
      <c r="D38" s="12"/>
      <c r="E38" s="12"/>
    </row>
    <row r="39" customFormat="false" ht="15" hidden="false" customHeight="false" outlineLevel="0" collapsed="false">
      <c r="D39" s="12"/>
      <c r="E39" s="1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646</v>
      </c>
      <c r="B1" s="1" t="s">
        <v>341</v>
      </c>
      <c r="C1" s="1" t="s">
        <v>344</v>
      </c>
      <c r="D1" s="1" t="s">
        <v>647</v>
      </c>
      <c r="E1" s="1" t="s">
        <v>648</v>
      </c>
      <c r="F1" s="1" t="s">
        <v>649</v>
      </c>
      <c r="G1" s="1" t="s">
        <v>650</v>
      </c>
    </row>
    <row r="2" customFormat="false" ht="15" hidden="false" customHeight="false" outlineLevel="0" collapsed="false">
      <c r="A2" s="4" t="s">
        <v>651</v>
      </c>
      <c r="B2" s="13" t="n">
        <v>32732</v>
      </c>
      <c r="C2" s="4" t="s">
        <v>477</v>
      </c>
      <c r="D2" s="4"/>
      <c r="E2" s="4" t="s">
        <v>652</v>
      </c>
      <c r="F2" s="4" t="s">
        <v>653</v>
      </c>
      <c r="G2" s="4" t="s">
        <v>654</v>
      </c>
    </row>
    <row r="3" customFormat="false" ht="15" hidden="false" customHeight="false" outlineLevel="0" collapsed="false">
      <c r="A3" s="4" t="s">
        <v>651</v>
      </c>
      <c r="B3" s="13" t="n">
        <v>33460</v>
      </c>
      <c r="C3" s="4" t="s">
        <v>655</v>
      </c>
      <c r="D3" s="4"/>
      <c r="E3" s="4" t="s">
        <v>652</v>
      </c>
      <c r="F3" s="4" t="s">
        <v>653</v>
      </c>
      <c r="G3" s="4" t="s">
        <v>654</v>
      </c>
    </row>
    <row r="4" customFormat="false" ht="15" hidden="false" customHeight="false" outlineLevel="0" collapsed="false">
      <c r="A4" s="4" t="s">
        <v>651</v>
      </c>
      <c r="B4" s="13" t="n">
        <v>34188</v>
      </c>
      <c r="C4" s="4" t="s">
        <v>656</v>
      </c>
      <c r="D4" s="4"/>
      <c r="E4" s="4" t="s">
        <v>652</v>
      </c>
      <c r="F4" s="4" t="s">
        <v>653</v>
      </c>
      <c r="G4" s="4" t="s">
        <v>654</v>
      </c>
    </row>
    <row r="5" customFormat="false" ht="15" hidden="false" customHeight="false" outlineLevel="0" collapsed="false">
      <c r="A5" s="4" t="s">
        <v>651</v>
      </c>
      <c r="B5" s="13" t="n">
        <v>36016</v>
      </c>
      <c r="C5" s="4" t="s">
        <v>656</v>
      </c>
      <c r="D5" s="4"/>
      <c r="E5" s="4" t="s">
        <v>652</v>
      </c>
      <c r="F5" s="4" t="s">
        <v>653</v>
      </c>
      <c r="G5" s="4" t="s">
        <v>654</v>
      </c>
    </row>
    <row r="6" customFormat="false" ht="15" hidden="false" customHeight="false" outlineLevel="0" collapsed="false">
      <c r="A6" s="4" t="s">
        <v>651</v>
      </c>
      <c r="B6" s="13" t="n">
        <v>36373</v>
      </c>
      <c r="C6" s="4" t="s">
        <v>656</v>
      </c>
      <c r="D6" s="4"/>
      <c r="E6" s="4" t="s">
        <v>652</v>
      </c>
      <c r="F6" s="4" t="s">
        <v>653</v>
      </c>
      <c r="G6" s="4" t="s">
        <v>654</v>
      </c>
    </row>
    <row r="7" customFormat="false" ht="15" hidden="false" customHeight="false" outlineLevel="0" collapsed="false">
      <c r="A7" s="4" t="s">
        <v>651</v>
      </c>
      <c r="B7" s="13" t="n">
        <v>45144</v>
      </c>
      <c r="C7" s="4" t="s">
        <v>657</v>
      </c>
      <c r="D7" s="4"/>
      <c r="E7" s="4" t="s">
        <v>652</v>
      </c>
      <c r="F7" s="4" t="s">
        <v>653</v>
      </c>
      <c r="G7" s="4" t="s">
        <v>654</v>
      </c>
    </row>
    <row r="8" customFormat="false" ht="23.85" hidden="false" customHeight="false" outlineLevel="0" collapsed="false">
      <c r="A8" s="4" t="s">
        <v>658</v>
      </c>
      <c r="B8" s="13" t="n">
        <v>36068</v>
      </c>
      <c r="C8" s="4" t="s">
        <v>659</v>
      </c>
      <c r="D8" s="4"/>
      <c r="E8" s="4" t="s">
        <v>652</v>
      </c>
      <c r="F8" s="4" t="s">
        <v>653</v>
      </c>
      <c r="G8" s="4" t="s">
        <v>660</v>
      </c>
    </row>
    <row r="9" customFormat="false" ht="23.85" hidden="false" customHeight="false" outlineLevel="0" collapsed="false">
      <c r="A9" s="4" t="s">
        <v>658</v>
      </c>
      <c r="B9" s="13" t="n">
        <v>36089</v>
      </c>
      <c r="C9" s="4" t="s">
        <v>661</v>
      </c>
      <c r="D9" s="4"/>
      <c r="E9" s="4" t="s">
        <v>652</v>
      </c>
      <c r="F9" s="4" t="s">
        <v>653</v>
      </c>
      <c r="G9" s="4" t="s">
        <v>660</v>
      </c>
    </row>
    <row r="10" customFormat="false" ht="23.85" hidden="false" customHeight="false" outlineLevel="0" collapsed="false">
      <c r="A10" s="4" t="s">
        <v>658</v>
      </c>
      <c r="B10" s="13" t="n">
        <v>36124</v>
      </c>
      <c r="C10" s="4" t="s">
        <v>662</v>
      </c>
      <c r="D10" s="4"/>
      <c r="E10" s="4" t="s">
        <v>652</v>
      </c>
      <c r="F10" s="4" t="s">
        <v>653</v>
      </c>
      <c r="G10" s="4" t="s">
        <v>660</v>
      </c>
    </row>
    <row r="11" customFormat="false" ht="23.85" hidden="false" customHeight="false" outlineLevel="0" collapsed="false">
      <c r="A11" s="4" t="s">
        <v>658</v>
      </c>
      <c r="B11" s="13" t="n">
        <v>36425</v>
      </c>
      <c r="C11" s="4" t="s">
        <v>663</v>
      </c>
      <c r="D11" s="4"/>
      <c r="E11" s="4" t="s">
        <v>652</v>
      </c>
      <c r="F11" s="4" t="s">
        <v>653</v>
      </c>
      <c r="G11" s="4" t="s">
        <v>660</v>
      </c>
    </row>
    <row r="12" customFormat="false" ht="23.85" hidden="false" customHeight="false" outlineLevel="0" collapsed="false">
      <c r="A12" s="4" t="s">
        <v>658</v>
      </c>
      <c r="B12" s="13" t="n">
        <v>36452</v>
      </c>
      <c r="C12" s="4" t="s">
        <v>664</v>
      </c>
      <c r="D12" s="4"/>
      <c r="E12" s="4" t="s">
        <v>652</v>
      </c>
      <c r="F12" s="4" t="s">
        <v>653</v>
      </c>
      <c r="G12" s="4" t="s">
        <v>660</v>
      </c>
    </row>
    <row r="13" customFormat="false" ht="23.85" hidden="false" customHeight="false" outlineLevel="0" collapsed="false">
      <c r="A13" s="4" t="s">
        <v>658</v>
      </c>
      <c r="B13" s="13" t="n">
        <v>36460</v>
      </c>
      <c r="C13" s="4" t="s">
        <v>665</v>
      </c>
      <c r="D13" s="4"/>
      <c r="E13" s="4" t="s">
        <v>652</v>
      </c>
      <c r="F13" s="4" t="s">
        <v>653</v>
      </c>
      <c r="G13" s="4" t="s">
        <v>660</v>
      </c>
    </row>
    <row r="14" customFormat="false" ht="15" hidden="false" customHeight="false" outlineLevel="0" collapsed="false">
      <c r="A14" s="4" t="s">
        <v>666</v>
      </c>
      <c r="B14" s="13" t="n">
        <v>37646</v>
      </c>
      <c r="C14" s="4" t="s">
        <v>451</v>
      </c>
      <c r="D14" s="4"/>
      <c r="E14" s="4" t="s">
        <v>591</v>
      </c>
      <c r="F14" s="4" t="s">
        <v>653</v>
      </c>
      <c r="G14" s="4" t="s">
        <v>667</v>
      </c>
    </row>
    <row r="15" customFormat="false" ht="15" hidden="false" customHeight="false" outlineLevel="0" collapsed="false">
      <c r="A15" s="4" t="s">
        <v>651</v>
      </c>
      <c r="B15" s="13" t="n">
        <v>44245</v>
      </c>
      <c r="C15" s="4" t="s">
        <v>403</v>
      </c>
      <c r="D15" s="4"/>
      <c r="E15" s="4" t="s">
        <v>668</v>
      </c>
      <c r="F15" s="4" t="s">
        <v>653</v>
      </c>
      <c r="G15" s="4" t="s">
        <v>669</v>
      </c>
    </row>
    <row r="16" customFormat="false" ht="15" hidden="false" customHeight="false" outlineLevel="0" collapsed="false">
      <c r="A16" s="4" t="s">
        <v>651</v>
      </c>
      <c r="B16" s="13" t="n">
        <v>44252</v>
      </c>
      <c r="C16" s="4" t="s">
        <v>670</v>
      </c>
      <c r="D16" s="4"/>
      <c r="E16" s="4" t="s">
        <v>671</v>
      </c>
      <c r="F16" s="4" t="s">
        <v>653</v>
      </c>
      <c r="G16" s="4" t="s">
        <v>669</v>
      </c>
    </row>
    <row r="17" customFormat="false" ht="15" hidden="false" customHeight="false" outlineLevel="0" collapsed="false">
      <c r="A17" s="4" t="s">
        <v>672</v>
      </c>
      <c r="B17" s="13" t="n">
        <v>44175</v>
      </c>
      <c r="C17" s="4" t="s">
        <v>445</v>
      </c>
      <c r="D17" s="4"/>
      <c r="E17" s="4" t="s">
        <v>673</v>
      </c>
      <c r="F17" s="4" t="s">
        <v>674</v>
      </c>
      <c r="G17" s="4" t="s">
        <v>675</v>
      </c>
    </row>
    <row r="18" customFormat="false" ht="15" hidden="false" customHeight="false" outlineLevel="0" collapsed="false">
      <c r="A18" s="4" t="s">
        <v>672</v>
      </c>
      <c r="B18" s="13" t="n">
        <v>42675</v>
      </c>
      <c r="C18" s="4" t="s">
        <v>516</v>
      </c>
      <c r="D18" s="4"/>
      <c r="E18" s="4" t="s">
        <v>676</v>
      </c>
      <c r="F18" s="4" t="s">
        <v>674</v>
      </c>
      <c r="G18" s="4" t="s">
        <v>675</v>
      </c>
    </row>
    <row r="19" customFormat="false" ht="15" hidden="false" customHeight="false" outlineLevel="0" collapsed="false">
      <c r="A19" s="4" t="s">
        <v>672</v>
      </c>
      <c r="B19" s="13" t="n">
        <v>38678</v>
      </c>
      <c r="C19" s="4" t="s">
        <v>455</v>
      </c>
      <c r="D19" s="4"/>
      <c r="E19" s="4" t="s">
        <v>677</v>
      </c>
      <c r="F19" s="4" t="s">
        <v>674</v>
      </c>
      <c r="G19" s="4" t="s">
        <v>675</v>
      </c>
    </row>
    <row r="20" customFormat="false" ht="15" hidden="false" customHeight="false" outlineLevel="0" collapsed="false">
      <c r="A20" s="4" t="s">
        <v>672</v>
      </c>
      <c r="B20" s="13" t="n">
        <v>41870</v>
      </c>
      <c r="C20" s="4" t="s">
        <v>404</v>
      </c>
      <c r="D20" s="4"/>
      <c r="E20" s="4" t="s">
        <v>678</v>
      </c>
      <c r="F20" s="4" t="s">
        <v>674</v>
      </c>
      <c r="G20" s="4" t="s">
        <v>675</v>
      </c>
    </row>
    <row r="21" customFormat="false" ht="15" hidden="false" customHeight="false" outlineLevel="0" collapsed="false">
      <c r="A21" s="4" t="s">
        <v>672</v>
      </c>
      <c r="B21" s="13" t="n">
        <v>43377</v>
      </c>
      <c r="C21" s="4" t="s">
        <v>460</v>
      </c>
      <c r="D21" s="4"/>
      <c r="E21" s="4" t="s">
        <v>679</v>
      </c>
      <c r="F21" s="4" t="s">
        <v>674</v>
      </c>
      <c r="G21" s="4" t="s">
        <v>675</v>
      </c>
    </row>
    <row r="22" customFormat="false" ht="15" hidden="false" customHeight="false" outlineLevel="0" collapsed="false">
      <c r="A22" s="4" t="s">
        <v>672</v>
      </c>
      <c r="B22" s="13" t="n">
        <v>43433</v>
      </c>
      <c r="C22" s="4" t="s">
        <v>568</v>
      </c>
      <c r="D22" s="4"/>
      <c r="E22" s="4" t="s">
        <v>680</v>
      </c>
      <c r="F22" s="4" t="s">
        <v>681</v>
      </c>
      <c r="G22" s="4" t="s">
        <v>675</v>
      </c>
    </row>
    <row r="23" customFormat="false" ht="15" hidden="false" customHeight="false" outlineLevel="0" collapsed="false">
      <c r="A23" s="4" t="s">
        <v>672</v>
      </c>
      <c r="B23" s="13" t="n">
        <v>33141</v>
      </c>
      <c r="C23" s="4" t="s">
        <v>429</v>
      </c>
      <c r="D23" s="4"/>
      <c r="E23" s="4" t="s">
        <v>682</v>
      </c>
      <c r="F23" s="4" t="s">
        <v>674</v>
      </c>
      <c r="G23" s="4" t="s">
        <v>675</v>
      </c>
    </row>
    <row r="24" customFormat="false" ht="15" hidden="false" customHeight="false" outlineLevel="0" collapsed="false">
      <c r="A24" s="4" t="s">
        <v>683</v>
      </c>
      <c r="B24" s="13" t="n">
        <v>43141</v>
      </c>
      <c r="C24" s="4" t="s">
        <v>561</v>
      </c>
      <c r="D24" s="4"/>
      <c r="E24" s="4" t="s">
        <v>652</v>
      </c>
      <c r="F24" s="4" t="s">
        <v>653</v>
      </c>
      <c r="G24" s="4" t="s">
        <v>684</v>
      </c>
    </row>
    <row r="25" customFormat="false" ht="15" hidden="false" customHeight="false" outlineLevel="0" collapsed="false">
      <c r="A25" s="4" t="s">
        <v>683</v>
      </c>
      <c r="B25" s="13" t="n">
        <v>43526</v>
      </c>
      <c r="C25" s="4" t="s">
        <v>561</v>
      </c>
      <c r="D25" s="4"/>
      <c r="E25" s="4" t="s">
        <v>652</v>
      </c>
      <c r="F25" s="4" t="s">
        <v>653</v>
      </c>
      <c r="G25" s="4" t="s">
        <v>684</v>
      </c>
    </row>
    <row r="26" customFormat="false" ht="15" hidden="false" customHeight="false" outlineLevel="0" collapsed="false">
      <c r="A26" s="4" t="s">
        <v>683</v>
      </c>
      <c r="B26" s="13" t="n">
        <v>37563</v>
      </c>
      <c r="C26" s="4" t="s">
        <v>461</v>
      </c>
      <c r="D26" s="4"/>
      <c r="E26" s="4" t="s">
        <v>685</v>
      </c>
      <c r="F26" s="4" t="s">
        <v>653</v>
      </c>
      <c r="G26" s="4" t="s">
        <v>686</v>
      </c>
    </row>
    <row r="27" customFormat="false" ht="15" hidden="false" customHeight="false" outlineLevel="0" collapsed="false">
      <c r="A27" s="4" t="s">
        <v>683</v>
      </c>
      <c r="B27" s="13" t="n">
        <v>38116</v>
      </c>
      <c r="C27" s="4" t="s">
        <v>461</v>
      </c>
      <c r="D27" s="4"/>
      <c r="E27" s="4" t="s">
        <v>685</v>
      </c>
      <c r="F27" s="4" t="s">
        <v>653</v>
      </c>
      <c r="G27" s="4" t="s">
        <v>686</v>
      </c>
    </row>
    <row r="28" customFormat="false" ht="15" hidden="false" customHeight="false" outlineLevel="0" collapsed="false">
      <c r="A28" s="4" t="s">
        <v>687</v>
      </c>
      <c r="B28" s="13"/>
      <c r="C28" s="4" t="s">
        <v>688</v>
      </c>
      <c r="D28" s="4" t="s">
        <v>689</v>
      </c>
      <c r="E28" s="4" t="s">
        <v>602</v>
      </c>
      <c r="F28" s="4" t="s">
        <v>653</v>
      </c>
      <c r="G28" s="4" t="s">
        <v>690</v>
      </c>
    </row>
    <row r="29" customFormat="false" ht="23.85" hidden="false" customHeight="false" outlineLevel="0" collapsed="false">
      <c r="A29" s="4" t="s">
        <v>691</v>
      </c>
      <c r="B29" s="13"/>
      <c r="C29" s="4" t="s">
        <v>692</v>
      </c>
      <c r="D29" s="4"/>
      <c r="E29" s="4"/>
      <c r="F29" s="4" t="s">
        <v>693</v>
      </c>
      <c r="G29" s="4" t="s">
        <v>694</v>
      </c>
    </row>
    <row r="30" customFormat="false" ht="23.85" hidden="false" customHeight="false" outlineLevel="0" collapsed="false">
      <c r="A30" s="4" t="s">
        <v>695</v>
      </c>
      <c r="B30" s="13"/>
      <c r="C30" s="4" t="s">
        <v>696</v>
      </c>
      <c r="D30" s="4"/>
      <c r="E30" s="4"/>
      <c r="F30" s="4" t="s">
        <v>653</v>
      </c>
      <c r="G30" s="4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7"/>
    <col collapsed="false" customWidth="true" hidden="false" outlineLevel="0" max="10" min="10" style="0" width="12"/>
  </cols>
  <sheetData>
    <row r="1" customFormat="false" ht="35.05" hidden="false" customHeight="false" outlineLevel="0" collapsed="false">
      <c r="A1" s="1" t="s">
        <v>341</v>
      </c>
      <c r="B1" s="1" t="s">
        <v>344</v>
      </c>
      <c r="C1" s="1" t="s">
        <v>698</v>
      </c>
      <c r="D1" s="1" t="s">
        <v>345</v>
      </c>
      <c r="E1" s="1" t="s">
        <v>343</v>
      </c>
      <c r="F1" s="1" t="s">
        <v>699</v>
      </c>
      <c r="G1" s="1" t="s">
        <v>342</v>
      </c>
      <c r="H1" s="1" t="s">
        <v>340</v>
      </c>
      <c r="I1" s="1" t="s">
        <v>700</v>
      </c>
      <c r="J1" s="1" t="s">
        <v>701</v>
      </c>
    </row>
    <row r="2" customFormat="false" ht="15" hidden="false" customHeight="false" outlineLevel="0" collapsed="false">
      <c r="A2" s="3" t="n">
        <v>32382</v>
      </c>
      <c r="B2" s="2" t="s">
        <v>574</v>
      </c>
      <c r="C2" s="2" t="s">
        <v>702</v>
      </c>
      <c r="D2" s="2" t="s">
        <v>435</v>
      </c>
      <c r="E2" s="2" t="s">
        <v>375</v>
      </c>
      <c r="F2" s="2"/>
      <c r="G2" s="2" t="s">
        <v>374</v>
      </c>
      <c r="H2" s="2" t="str">
        <f aca="false">IF(LEFT(B2,10)="Arsenal v ",MID(B2,11,100),LEFT(B2,FIND(" v ",B2)-1))</f>
        <v>Wimbledon</v>
      </c>
      <c r="I2" s="2" t="str">
        <f aca="false">IF(F2&lt;&gt;"","N",IF(LEFT(B2,10)="Arsenal v ","H","A"))</f>
        <v>A</v>
      </c>
      <c r="J2" s="2"/>
    </row>
    <row r="3" customFormat="false" ht="15" hidden="false" customHeight="false" outlineLevel="0" collapsed="false">
      <c r="A3" s="3" t="n">
        <v>32389</v>
      </c>
      <c r="B3" s="2" t="s">
        <v>703</v>
      </c>
      <c r="C3" s="2" t="s">
        <v>704</v>
      </c>
      <c r="D3" s="2" t="s">
        <v>366</v>
      </c>
      <c r="E3" s="2" t="s">
        <v>375</v>
      </c>
      <c r="F3" s="2"/>
      <c r="G3" s="2" t="s">
        <v>374</v>
      </c>
      <c r="H3" s="2" t="str">
        <f aca="false">IF(LEFT(B3,10)="Arsenal v ",MID(B3,11,100),LEFT(B3,FIND(" v ",B3)-1))</f>
        <v>Aston Villa</v>
      </c>
      <c r="I3" s="2" t="str">
        <f aca="false">IF(F3&lt;&gt;"","N",IF(LEFT(B3,10)="Arsenal v ","H","A"))</f>
        <v>H</v>
      </c>
      <c r="J3" s="2"/>
    </row>
    <row r="4" customFormat="false" ht="15" hidden="false" customHeight="false" outlineLevel="0" collapsed="false">
      <c r="A4" s="3" t="n">
        <v>32396</v>
      </c>
      <c r="B4" s="2" t="s">
        <v>561</v>
      </c>
      <c r="C4" s="2" t="s">
        <v>702</v>
      </c>
      <c r="D4" s="2" t="s">
        <v>366</v>
      </c>
      <c r="E4" s="2" t="s">
        <v>375</v>
      </c>
      <c r="F4" s="2"/>
      <c r="G4" s="2" t="s">
        <v>374</v>
      </c>
      <c r="H4" s="2" t="str">
        <f aca="false">IF(LEFT(B4,10)="Arsenal v ",MID(B4,11,100),LEFT(B4,FIND(" v ",B4)-1))</f>
        <v>Tottenham Hotspur</v>
      </c>
      <c r="I4" s="2" t="str">
        <f aca="false">IF(F4&lt;&gt;"","N",IF(LEFT(B4,10)="Arsenal v ","H","A"))</f>
        <v>A</v>
      </c>
      <c r="J4" s="2"/>
    </row>
    <row r="5" customFormat="false" ht="15" hidden="false" customHeight="false" outlineLevel="0" collapsed="false">
      <c r="A5" s="3" t="n">
        <v>32403</v>
      </c>
      <c r="B5" s="2" t="s">
        <v>705</v>
      </c>
      <c r="C5" s="2" t="s">
        <v>706</v>
      </c>
      <c r="D5" s="2" t="s">
        <v>380</v>
      </c>
      <c r="E5" s="2" t="s">
        <v>375</v>
      </c>
      <c r="F5" s="2"/>
      <c r="G5" s="2" t="s">
        <v>374</v>
      </c>
      <c r="H5" s="2" t="str">
        <f aca="false">IF(LEFT(B5,10)="Arsenal v ",MID(B5,11,100),LEFT(B5,FIND(" v ",B5)-1))</f>
        <v>Southampton</v>
      </c>
      <c r="I5" s="2" t="str">
        <f aca="false">IF(F5&lt;&gt;"","N",IF(LEFT(B5,10)="Arsenal v ","H","A"))</f>
        <v>H</v>
      </c>
      <c r="J5" s="2"/>
    </row>
    <row r="6" customFormat="false" ht="15" hidden="false" customHeight="false" outlineLevel="0" collapsed="false">
      <c r="A6" s="3" t="n">
        <v>32410</v>
      </c>
      <c r="B6" s="2" t="s">
        <v>543</v>
      </c>
      <c r="C6" s="2" t="s">
        <v>704</v>
      </c>
      <c r="D6" s="2" t="s">
        <v>359</v>
      </c>
      <c r="E6" s="2" t="s">
        <v>375</v>
      </c>
      <c r="F6" s="2"/>
      <c r="G6" s="2" t="s">
        <v>374</v>
      </c>
      <c r="H6" s="2" t="str">
        <f aca="false">IF(LEFT(B6,10)="Arsenal v ",MID(B6,11,100),LEFT(B6,FIND(" v ",B6)-1))</f>
        <v>Sheffield Wednesday</v>
      </c>
      <c r="I6" s="2" t="str">
        <f aca="false">IF(F6&lt;&gt;"","N",IF(LEFT(B6,10)="Arsenal v ","H","A"))</f>
        <v>A</v>
      </c>
      <c r="J6" s="2"/>
    </row>
    <row r="7" customFormat="false" ht="15" hidden="false" customHeight="false" outlineLevel="0" collapsed="false">
      <c r="A7" s="3" t="n">
        <v>32414</v>
      </c>
      <c r="B7" s="2" t="s">
        <v>467</v>
      </c>
      <c r="C7" s="2" t="s">
        <v>702</v>
      </c>
      <c r="D7" s="2" t="s">
        <v>360</v>
      </c>
      <c r="E7" s="2" t="s">
        <v>379</v>
      </c>
      <c r="F7" s="2"/>
      <c r="G7" s="2" t="s">
        <v>374</v>
      </c>
      <c r="H7" s="2" t="str">
        <f aca="false">IF(LEFT(B7,10)="Arsenal v ",MID(B7,11,100),LEFT(B7,FIND(" v ",B7)-1))</f>
        <v>Hull City</v>
      </c>
      <c r="I7" s="2" t="str">
        <f aca="false">IF(F7&lt;&gt;"","N",IF(LEFT(B7,10)="Arsenal v ","H","A"))</f>
        <v>A</v>
      </c>
      <c r="J7" s="2"/>
    </row>
    <row r="8" customFormat="false" ht="15" hidden="false" customHeight="false" outlineLevel="0" collapsed="false">
      <c r="A8" s="3" t="n">
        <v>32417</v>
      </c>
      <c r="B8" s="2" t="s">
        <v>572</v>
      </c>
      <c r="C8" s="2" t="s">
        <v>702</v>
      </c>
      <c r="D8" s="2" t="s">
        <v>407</v>
      </c>
      <c r="E8" s="2" t="s">
        <v>375</v>
      </c>
      <c r="F8" s="2"/>
      <c r="G8" s="2" t="s">
        <v>374</v>
      </c>
      <c r="H8" s="2" t="str">
        <f aca="false">IF(LEFT(B8,10)="Arsenal v ",MID(B8,11,100),LEFT(B8,FIND(" v ",B8)-1))</f>
        <v>West Ham United</v>
      </c>
      <c r="I8" s="2" t="str">
        <f aca="false">IF(F8&lt;&gt;"","N",IF(LEFT(B8,10)="Arsenal v ","H","A"))</f>
        <v>A</v>
      </c>
      <c r="J8" s="2"/>
    </row>
    <row r="9" customFormat="false" ht="15" hidden="false" customHeight="false" outlineLevel="0" collapsed="false">
      <c r="A9" s="3" t="n">
        <v>32428</v>
      </c>
      <c r="B9" s="2" t="s">
        <v>707</v>
      </c>
      <c r="C9" s="2" t="s">
        <v>702</v>
      </c>
      <c r="D9" s="2" t="s">
        <v>434</v>
      </c>
      <c r="E9" s="2" t="s">
        <v>379</v>
      </c>
      <c r="F9" s="2"/>
      <c r="G9" s="2" t="s">
        <v>374</v>
      </c>
      <c r="H9" s="2" t="str">
        <f aca="false">IF(LEFT(B9,10)="Arsenal v ",MID(B9,11,100),LEFT(B9,FIND(" v ",B9)-1))</f>
        <v>Hull City</v>
      </c>
      <c r="I9" s="2" t="str">
        <f aca="false">IF(F9&lt;&gt;"","N",IF(LEFT(B9,10)="Arsenal v ","H","A"))</f>
        <v>H</v>
      </c>
      <c r="J9" s="2"/>
    </row>
    <row r="10" customFormat="false" ht="15" hidden="false" customHeight="false" outlineLevel="0" collapsed="false">
      <c r="A10" s="3" t="n">
        <v>32438</v>
      </c>
      <c r="B10" s="2" t="s">
        <v>708</v>
      </c>
      <c r="C10" s="2" t="s">
        <v>702</v>
      </c>
      <c r="D10" s="2" t="s">
        <v>359</v>
      </c>
      <c r="E10" s="2" t="s">
        <v>375</v>
      </c>
      <c r="F10" s="2"/>
      <c r="G10" s="2" t="s">
        <v>374</v>
      </c>
      <c r="H10" s="2" t="str">
        <f aca="false">IF(LEFT(B10,10)="Arsenal v ",MID(B10,11,100),LEFT(B10,FIND(" v ",B10)-1))</f>
        <v>Queens Park Rangers</v>
      </c>
      <c r="I10" s="2" t="str">
        <f aca="false">IF(F10&lt;&gt;"","N",IF(LEFT(B10,10)="Arsenal v ","H","A"))</f>
        <v>H</v>
      </c>
      <c r="J10" s="2"/>
    </row>
    <row r="11" customFormat="false" ht="15" hidden="false" customHeight="false" outlineLevel="0" collapsed="false">
      <c r="A11" s="3" t="n">
        <v>32441</v>
      </c>
      <c r="B11" s="2" t="s">
        <v>485</v>
      </c>
      <c r="C11" s="2" t="s">
        <v>706</v>
      </c>
      <c r="D11" s="2" t="s">
        <v>361</v>
      </c>
      <c r="E11" s="2" t="s">
        <v>375</v>
      </c>
      <c r="F11" s="2"/>
      <c r="G11" s="2" t="s">
        <v>374</v>
      </c>
      <c r="H11" s="2" t="str">
        <f aca="false">IF(LEFT(B11,10)="Arsenal v ",MID(B11,11,100),LEFT(B11,FIND(" v ",B11)-1))</f>
        <v>Luton Town</v>
      </c>
      <c r="I11" s="2" t="str">
        <f aca="false">IF(F11&lt;&gt;"","N",IF(LEFT(B11,10)="Arsenal v ","H","A"))</f>
        <v>A</v>
      </c>
      <c r="J11" s="2"/>
    </row>
    <row r="12" customFormat="false" ht="15" hidden="false" customHeight="false" outlineLevel="0" collapsed="false">
      <c r="A12" s="3" t="n">
        <v>32445</v>
      </c>
      <c r="B12" s="2" t="s">
        <v>709</v>
      </c>
      <c r="C12" s="2" t="s">
        <v>702</v>
      </c>
      <c r="D12" s="2" t="s">
        <v>351</v>
      </c>
      <c r="E12" s="2" t="s">
        <v>375</v>
      </c>
      <c r="F12" s="2"/>
      <c r="G12" s="2" t="s">
        <v>374</v>
      </c>
      <c r="H12" s="2" t="str">
        <f aca="false">IF(LEFT(B12,10)="Arsenal v ",MID(B12,11,100),LEFT(B12,FIND(" v ",B12)-1))</f>
        <v>Coventry City</v>
      </c>
      <c r="I12" s="2" t="str">
        <f aca="false">IF(F12&lt;&gt;"","N",IF(LEFT(B12,10)="Arsenal v ","H","A"))</f>
        <v>H</v>
      </c>
      <c r="J12" s="2"/>
    </row>
    <row r="13" customFormat="false" ht="15" hidden="false" customHeight="false" outlineLevel="0" collapsed="false">
      <c r="A13" s="3" t="n">
        <v>32449</v>
      </c>
      <c r="B13" s="2" t="s">
        <v>477</v>
      </c>
      <c r="C13" s="2" t="s">
        <v>706</v>
      </c>
      <c r="D13" s="2" t="s">
        <v>361</v>
      </c>
      <c r="E13" s="2" t="s">
        <v>379</v>
      </c>
      <c r="F13" s="2"/>
      <c r="G13" s="2" t="s">
        <v>374</v>
      </c>
      <c r="H13" s="2" t="str">
        <f aca="false">IF(LEFT(B13,10)="Arsenal v ",MID(B13,11,100),LEFT(B13,FIND(" v ",B13)-1))</f>
        <v>Liverpool</v>
      </c>
      <c r="I13" s="2" t="str">
        <f aca="false">IF(F13&lt;&gt;"","N",IF(LEFT(B13,10)="Arsenal v ","H","A"))</f>
        <v>A</v>
      </c>
      <c r="J13" s="2"/>
    </row>
    <row r="14" customFormat="false" ht="15" hidden="false" customHeight="false" outlineLevel="0" collapsed="false">
      <c r="A14" s="3" t="n">
        <v>32453</v>
      </c>
      <c r="B14" s="2" t="s">
        <v>503</v>
      </c>
      <c r="C14" s="2" t="s">
        <v>702</v>
      </c>
      <c r="D14" s="2" t="s">
        <v>407</v>
      </c>
      <c r="E14" s="2" t="s">
        <v>375</v>
      </c>
      <c r="F14" s="2"/>
      <c r="G14" s="2" t="s">
        <v>374</v>
      </c>
      <c r="H14" s="2" t="str">
        <f aca="false">IF(LEFT(B14,10)="Arsenal v ",MID(B14,11,100),LEFT(B14,FIND(" v ",B14)-1))</f>
        <v>Nottingham Forest</v>
      </c>
      <c r="I14" s="2" t="str">
        <f aca="false">IF(F14&lt;&gt;"","N",IF(LEFT(B14,10)="Arsenal v ","H","A"))</f>
        <v>A</v>
      </c>
      <c r="J14" s="2"/>
    </row>
    <row r="15" customFormat="false" ht="15" hidden="false" customHeight="false" outlineLevel="0" collapsed="false">
      <c r="A15" s="3" t="n">
        <v>32456</v>
      </c>
      <c r="B15" s="2" t="s">
        <v>710</v>
      </c>
      <c r="C15" s="2" t="s">
        <v>706</v>
      </c>
      <c r="D15" s="2" t="s">
        <v>369</v>
      </c>
      <c r="E15" s="2" t="s">
        <v>379</v>
      </c>
      <c r="F15" s="2"/>
      <c r="G15" s="2" t="s">
        <v>374</v>
      </c>
      <c r="H15" s="2" t="str">
        <f aca="false">IF(LEFT(B15,10)="Arsenal v ",MID(B15,11,100),LEFT(B15,FIND(" v ",B15)-1))</f>
        <v>Liverpool</v>
      </c>
      <c r="I15" s="2" t="str">
        <f aca="false">IF(F15&lt;&gt;"","N",IF(LEFT(B15,10)="Arsenal v ","H","A"))</f>
        <v>H</v>
      </c>
      <c r="J15" s="2"/>
    </row>
    <row r="16" customFormat="false" ht="15" hidden="false" customHeight="false" outlineLevel="0" collapsed="false">
      <c r="A16" s="3" t="n">
        <v>32459</v>
      </c>
      <c r="B16" s="2" t="s">
        <v>501</v>
      </c>
      <c r="C16" s="2" t="s">
        <v>702</v>
      </c>
      <c r="D16" s="2" t="s">
        <v>383</v>
      </c>
      <c r="E16" s="2" t="s">
        <v>375</v>
      </c>
      <c r="F16" s="2"/>
      <c r="G16" s="2" t="s">
        <v>374</v>
      </c>
      <c r="H16" s="2" t="str">
        <f aca="false">IF(LEFT(B16,10)="Arsenal v ",MID(B16,11,100),LEFT(B16,FIND(" v ",B16)-1))</f>
        <v>Newcastle United</v>
      </c>
      <c r="I16" s="2" t="str">
        <f aca="false">IF(F16&lt;&gt;"","N",IF(LEFT(B16,10)="Arsenal v ","H","A"))</f>
        <v>A</v>
      </c>
      <c r="J16" s="2"/>
    </row>
    <row r="17" customFormat="false" ht="15" hidden="false" customHeight="false" outlineLevel="0" collapsed="false">
      <c r="A17" s="3" t="n">
        <v>32466</v>
      </c>
      <c r="B17" s="2" t="s">
        <v>711</v>
      </c>
      <c r="C17" s="2" t="s">
        <v>702</v>
      </c>
      <c r="D17" s="2" t="s">
        <v>434</v>
      </c>
      <c r="E17" s="2" t="s">
        <v>375</v>
      </c>
      <c r="F17" s="2"/>
      <c r="G17" s="2" t="s">
        <v>374</v>
      </c>
      <c r="H17" s="2" t="str">
        <f aca="false">IF(LEFT(B17,10)="Arsenal v ",MID(B17,11,100),LEFT(B17,FIND(" v ",B17)-1))</f>
        <v>Middlesbrough</v>
      </c>
      <c r="I17" s="2" t="str">
        <f aca="false">IF(F17&lt;&gt;"","N",IF(LEFT(B17,10)="Arsenal v ","H","A"))</f>
        <v>H</v>
      </c>
      <c r="J17" s="2"/>
    </row>
    <row r="18" customFormat="false" ht="15" hidden="false" customHeight="false" outlineLevel="0" collapsed="false">
      <c r="A18" s="3" t="n">
        <v>32470</v>
      </c>
      <c r="B18" s="2" t="s">
        <v>710</v>
      </c>
      <c r="C18" s="2" t="s">
        <v>704</v>
      </c>
      <c r="D18" s="2" t="s">
        <v>360</v>
      </c>
      <c r="E18" s="2" t="s">
        <v>379</v>
      </c>
      <c r="F18" s="2"/>
      <c r="G18" s="2" t="s">
        <v>374</v>
      </c>
      <c r="H18" s="2" t="str">
        <f aca="false">IF(LEFT(B18,10)="Arsenal v ",MID(B18,11,100),LEFT(B18,FIND(" v ",B18)-1))</f>
        <v>Liverpool</v>
      </c>
      <c r="I18" s="2" t="str">
        <f aca="false">IF(F18&lt;&gt;"","N",IF(LEFT(B18,10)="Arsenal v ","H","A"))</f>
        <v>H</v>
      </c>
      <c r="J18" s="2"/>
    </row>
    <row r="19" customFormat="false" ht="15" hidden="false" customHeight="false" outlineLevel="0" collapsed="false">
      <c r="A19" s="3" t="n">
        <v>32473</v>
      </c>
      <c r="B19" s="2" t="s">
        <v>440</v>
      </c>
      <c r="C19" s="2" t="s">
        <v>704</v>
      </c>
      <c r="D19" s="2" t="s">
        <v>359</v>
      </c>
      <c r="E19" s="2" t="s">
        <v>375</v>
      </c>
      <c r="F19" s="2"/>
      <c r="G19" s="2" t="s">
        <v>374</v>
      </c>
      <c r="H19" s="2" t="str">
        <f aca="false">IF(LEFT(B19,10)="Arsenal v ",MID(B19,11,100),LEFT(B19,FIND(" v ",B19)-1))</f>
        <v>Derby County</v>
      </c>
      <c r="I19" s="2" t="str">
        <f aca="false">IF(F19&lt;&gt;"","N",IF(LEFT(B19,10)="Arsenal v ","H","A"))</f>
        <v>A</v>
      </c>
      <c r="J19" s="2"/>
    </row>
    <row r="20" customFormat="false" ht="15" hidden="false" customHeight="false" outlineLevel="0" collapsed="false">
      <c r="A20" s="3" t="n">
        <v>32481</v>
      </c>
      <c r="B20" s="2" t="s">
        <v>710</v>
      </c>
      <c r="C20" s="2" t="s">
        <v>706</v>
      </c>
      <c r="D20" s="2" t="s">
        <v>361</v>
      </c>
      <c r="E20" s="2" t="s">
        <v>375</v>
      </c>
      <c r="F20" s="2"/>
      <c r="G20" s="2" t="s">
        <v>374</v>
      </c>
      <c r="H20" s="2" t="str">
        <f aca="false">IF(LEFT(B20,10)="Arsenal v ",MID(B20,11,100),LEFT(B20,FIND(" v ",B20)-1))</f>
        <v>Liverpool</v>
      </c>
      <c r="I20" s="2" t="str">
        <f aca="false">IF(F20&lt;&gt;"","N",IF(LEFT(B20,10)="Arsenal v ","H","A"))</f>
        <v>H</v>
      </c>
      <c r="J20" s="2"/>
    </row>
    <row r="21" customFormat="false" ht="15" hidden="false" customHeight="false" outlineLevel="0" collapsed="false">
      <c r="A21" s="3" t="n">
        <v>32487</v>
      </c>
      <c r="B21" s="2" t="s">
        <v>502</v>
      </c>
      <c r="C21" s="2" t="s">
        <v>706</v>
      </c>
      <c r="D21" s="2" t="s">
        <v>369</v>
      </c>
      <c r="E21" s="2" t="s">
        <v>375</v>
      </c>
      <c r="F21" s="2"/>
      <c r="G21" s="2" t="s">
        <v>374</v>
      </c>
      <c r="H21" s="2" t="str">
        <f aca="false">IF(LEFT(B21,10)="Arsenal v ",MID(B21,11,100),LEFT(B21,FIND(" v ",B21)-1))</f>
        <v>Norwich City</v>
      </c>
      <c r="I21" s="2" t="str">
        <f aca="false">IF(F21&lt;&gt;"","N",IF(LEFT(B21,10)="Arsenal v ","H","A"))</f>
        <v>A</v>
      </c>
      <c r="J21" s="2"/>
    </row>
    <row r="22" customFormat="false" ht="15" hidden="false" customHeight="false" outlineLevel="0" collapsed="false">
      <c r="A22" s="3" t="n">
        <v>32494</v>
      </c>
      <c r="B22" s="2" t="s">
        <v>656</v>
      </c>
      <c r="C22" s="2" t="s">
        <v>702</v>
      </c>
      <c r="D22" s="2" t="s">
        <v>359</v>
      </c>
      <c r="E22" s="2" t="s">
        <v>375</v>
      </c>
      <c r="F22" s="2"/>
      <c r="G22" s="2" t="s">
        <v>374</v>
      </c>
      <c r="H22" s="2" t="str">
        <f aca="false">IF(LEFT(B22,10)="Arsenal v ",MID(B22,11,100),LEFT(B22,FIND(" v ",B22)-1))</f>
        <v>Manchester United</v>
      </c>
      <c r="I22" s="2" t="str">
        <f aca="false">IF(F22&lt;&gt;"","N",IF(LEFT(B22,10)="Arsenal v ","H","A"))</f>
        <v>H</v>
      </c>
      <c r="J22" s="2"/>
    </row>
    <row r="23" customFormat="false" ht="15" hidden="false" customHeight="false" outlineLevel="0" collapsed="false">
      <c r="A23" s="3" t="n">
        <v>32503</v>
      </c>
      <c r="B23" s="2" t="s">
        <v>425</v>
      </c>
      <c r="C23" s="2" t="s">
        <v>702</v>
      </c>
      <c r="D23" s="2" t="s">
        <v>366</v>
      </c>
      <c r="E23" s="2" t="s">
        <v>375</v>
      </c>
      <c r="F23" s="2"/>
      <c r="G23" s="2" t="s">
        <v>374</v>
      </c>
      <c r="H23" s="2" t="str">
        <f aca="false">IF(LEFT(B23,10)="Arsenal v ",MID(B23,11,100),LEFT(B23,FIND(" v ",B23)-1))</f>
        <v>Charlton Athletic</v>
      </c>
      <c r="I23" s="2" t="str">
        <f aca="false">IF(F23&lt;&gt;"","N",IF(LEFT(B23,10)="Arsenal v ","H","A"))</f>
        <v>A</v>
      </c>
      <c r="J23" s="2"/>
    </row>
    <row r="24" customFormat="false" ht="15" hidden="false" customHeight="false" outlineLevel="0" collapsed="false">
      <c r="A24" s="3" t="n">
        <v>32508</v>
      </c>
      <c r="B24" s="2" t="s">
        <v>376</v>
      </c>
      <c r="C24" s="2" t="s">
        <v>702</v>
      </c>
      <c r="D24" s="2" t="s">
        <v>363</v>
      </c>
      <c r="E24" s="2" t="s">
        <v>375</v>
      </c>
      <c r="F24" s="2"/>
      <c r="G24" s="2" t="s">
        <v>374</v>
      </c>
      <c r="H24" s="2" t="str">
        <f aca="false">IF(LEFT(B24,10)="Arsenal v ",MID(B24,11,100),LEFT(B24,FIND(" v ",B24)-1))</f>
        <v>Aston Villa</v>
      </c>
      <c r="I24" s="2" t="str">
        <f aca="false">IF(F24&lt;&gt;"","N",IF(LEFT(B24,10)="Arsenal v ","H","A"))</f>
        <v>A</v>
      </c>
      <c r="J24" s="2"/>
    </row>
    <row r="25" customFormat="false" ht="15" hidden="false" customHeight="false" outlineLevel="0" collapsed="false">
      <c r="A25" s="3" t="n">
        <v>32510</v>
      </c>
      <c r="B25" s="2" t="s">
        <v>655</v>
      </c>
      <c r="C25" s="2" t="s">
        <v>702</v>
      </c>
      <c r="D25" s="2" t="s">
        <v>351</v>
      </c>
      <c r="E25" s="2" t="s">
        <v>375</v>
      </c>
      <c r="F25" s="2"/>
      <c r="G25" s="2" t="s">
        <v>374</v>
      </c>
      <c r="H25" s="2" t="str">
        <f aca="false">IF(LEFT(B25,10)="Arsenal v ",MID(B25,11,100),LEFT(B25,FIND(" v ",B25)-1))</f>
        <v>Tottenham Hotspur</v>
      </c>
      <c r="I25" s="2" t="str">
        <f aca="false">IF(F25&lt;&gt;"","N",IF(LEFT(B25,10)="Arsenal v ","H","A"))</f>
        <v>H</v>
      </c>
      <c r="J25" s="2"/>
    </row>
    <row r="26" customFormat="false" ht="15" hidden="false" customHeight="false" outlineLevel="0" collapsed="false">
      <c r="A26" s="3" t="n">
        <v>32516</v>
      </c>
      <c r="B26" s="2" t="s">
        <v>572</v>
      </c>
      <c r="C26" s="2" t="s">
        <v>706</v>
      </c>
      <c r="D26" s="2" t="s">
        <v>380</v>
      </c>
      <c r="E26" s="2" t="s">
        <v>362</v>
      </c>
      <c r="F26" s="2"/>
      <c r="G26" s="2" t="s">
        <v>374</v>
      </c>
      <c r="H26" s="2" t="str">
        <f aca="false">IF(LEFT(B26,10)="Arsenal v ",MID(B26,11,100),LEFT(B26,FIND(" v ",B26)-1))</f>
        <v>West Ham United</v>
      </c>
      <c r="I26" s="2" t="str">
        <f aca="false">IF(F26&lt;&gt;"","N",IF(LEFT(B26,10)="Arsenal v ","H","A"))</f>
        <v>A</v>
      </c>
      <c r="J26" s="2"/>
    </row>
    <row r="27" customFormat="false" ht="15" hidden="false" customHeight="false" outlineLevel="0" collapsed="false">
      <c r="A27" s="3" t="n">
        <v>32519</v>
      </c>
      <c r="B27" s="2" t="s">
        <v>712</v>
      </c>
      <c r="C27" s="2" t="s">
        <v>704</v>
      </c>
      <c r="D27" s="2" t="s">
        <v>383</v>
      </c>
      <c r="E27" s="2" t="s">
        <v>362</v>
      </c>
      <c r="F27" s="2"/>
      <c r="G27" s="2" t="s">
        <v>374</v>
      </c>
      <c r="H27" s="2" t="str">
        <f aca="false">IF(LEFT(B27,10)="Arsenal v ",MID(B27,11,100),LEFT(B27,FIND(" v ",B27)-1))</f>
        <v>West Ham United</v>
      </c>
      <c r="I27" s="2" t="str">
        <f aca="false">IF(F27&lt;&gt;"","N",IF(LEFT(B27,10)="Arsenal v ","H","A"))</f>
        <v>H</v>
      </c>
      <c r="J27" s="2"/>
    </row>
    <row r="28" customFormat="false" ht="15" hidden="false" customHeight="false" outlineLevel="0" collapsed="false">
      <c r="A28" s="3" t="n">
        <v>32522</v>
      </c>
      <c r="B28" s="2" t="s">
        <v>448</v>
      </c>
      <c r="C28" s="2" t="s">
        <v>702</v>
      </c>
      <c r="D28" s="2" t="s">
        <v>373</v>
      </c>
      <c r="E28" s="2" t="s">
        <v>375</v>
      </c>
      <c r="F28" s="2"/>
      <c r="G28" s="2" t="s">
        <v>374</v>
      </c>
      <c r="H28" s="2" t="str">
        <f aca="false">IF(LEFT(B28,10)="Arsenal v ",MID(B28,11,100),LEFT(B28,FIND(" v ",B28)-1))</f>
        <v>Everton</v>
      </c>
      <c r="I28" s="2" t="str">
        <f aca="false">IF(F28&lt;&gt;"","N",IF(LEFT(B28,10)="Arsenal v ","H","A"))</f>
        <v>A</v>
      </c>
      <c r="J28" s="2"/>
    </row>
    <row r="29" customFormat="false" ht="15" hidden="false" customHeight="false" outlineLevel="0" collapsed="false">
      <c r="A29" s="3" t="n">
        <v>32529</v>
      </c>
      <c r="B29" s="2" t="s">
        <v>713</v>
      </c>
      <c r="C29" s="2" t="s">
        <v>706</v>
      </c>
      <c r="D29" s="2" t="s">
        <v>361</v>
      </c>
      <c r="E29" s="2" t="s">
        <v>375</v>
      </c>
      <c r="F29" s="2"/>
      <c r="G29" s="2" t="s">
        <v>374</v>
      </c>
      <c r="H29" s="2" t="str">
        <f aca="false">IF(LEFT(B29,10)="Arsenal v ",MID(B29,11,100),LEFT(B29,FIND(" v ",B29)-1))</f>
        <v>Sheffield Wednesday</v>
      </c>
      <c r="I29" s="2" t="str">
        <f aca="false">IF(F29&lt;&gt;"","N",IF(LEFT(B29,10)="Arsenal v ","H","A"))</f>
        <v>H</v>
      </c>
      <c r="J29" s="2"/>
    </row>
    <row r="30" customFormat="false" ht="15" hidden="false" customHeight="false" outlineLevel="0" collapsed="false">
      <c r="A30" s="3" t="n">
        <v>32543</v>
      </c>
      <c r="B30" s="2" t="s">
        <v>712</v>
      </c>
      <c r="C30" s="2" t="s">
        <v>702</v>
      </c>
      <c r="D30" s="2" t="s">
        <v>359</v>
      </c>
      <c r="E30" s="2" t="s">
        <v>375</v>
      </c>
      <c r="F30" s="2"/>
      <c r="G30" s="2" t="s">
        <v>374</v>
      </c>
      <c r="H30" s="2" t="str">
        <f aca="false">IF(LEFT(B30,10)="Arsenal v ",MID(B30,11,100),LEFT(B30,FIND(" v ",B30)-1))</f>
        <v>West Ham United</v>
      </c>
      <c r="I30" s="2" t="str">
        <f aca="false">IF(F30&lt;&gt;"","N",IF(LEFT(B30,10)="Arsenal v ","H","A"))</f>
        <v>H</v>
      </c>
      <c r="J30" s="2"/>
    </row>
    <row r="31" customFormat="false" ht="15" hidden="false" customHeight="false" outlineLevel="0" collapsed="false">
      <c r="A31" s="3" t="n">
        <v>32550</v>
      </c>
      <c r="B31" s="2" t="s">
        <v>496</v>
      </c>
      <c r="C31" s="2" t="s">
        <v>702</v>
      </c>
      <c r="D31" s="2" t="s">
        <v>360</v>
      </c>
      <c r="E31" s="2" t="s">
        <v>375</v>
      </c>
      <c r="F31" s="2"/>
      <c r="G31" s="2" t="s">
        <v>374</v>
      </c>
      <c r="H31" s="2" t="str">
        <f aca="false">IF(LEFT(B31,10)="Arsenal v ",MID(B31,11,100),LEFT(B31,FIND(" v ",B31)-1))</f>
        <v>Millwall</v>
      </c>
      <c r="I31" s="2" t="str">
        <f aca="false">IF(F31&lt;&gt;"","N",IF(LEFT(B31,10)="Arsenal v ","H","A"))</f>
        <v>A</v>
      </c>
      <c r="J31" s="2"/>
    </row>
    <row r="32" customFormat="false" ht="15" hidden="false" customHeight="false" outlineLevel="0" collapsed="false">
      <c r="A32" s="3" t="n">
        <v>32557</v>
      </c>
      <c r="B32" s="2" t="s">
        <v>524</v>
      </c>
      <c r="C32" s="2" t="s">
        <v>706</v>
      </c>
      <c r="D32" s="2" t="s">
        <v>369</v>
      </c>
      <c r="E32" s="2" t="s">
        <v>375</v>
      </c>
      <c r="F32" s="2"/>
      <c r="G32" s="2" t="s">
        <v>374</v>
      </c>
      <c r="H32" s="2" t="str">
        <f aca="false">IF(LEFT(B32,10)="Arsenal v ",MID(B32,11,100),LEFT(B32,FIND(" v ",B32)-1))</f>
        <v>Queens Park Rangers</v>
      </c>
      <c r="I32" s="2" t="str">
        <f aca="false">IF(F32&lt;&gt;"","N",IF(LEFT(B32,10)="Arsenal v ","H","A"))</f>
        <v>A</v>
      </c>
      <c r="J32" s="2"/>
    </row>
    <row r="33" customFormat="false" ht="15" hidden="false" customHeight="false" outlineLevel="0" collapsed="false">
      <c r="A33" s="3" t="n">
        <v>32560</v>
      </c>
      <c r="B33" s="2" t="s">
        <v>431</v>
      </c>
      <c r="C33" s="2" t="s">
        <v>704</v>
      </c>
      <c r="D33" s="2" t="s">
        <v>348</v>
      </c>
      <c r="E33" s="2" t="s">
        <v>375</v>
      </c>
      <c r="F33" s="2"/>
      <c r="G33" s="2" t="s">
        <v>374</v>
      </c>
      <c r="H33" s="2" t="str">
        <f aca="false">IF(LEFT(B33,10)="Arsenal v ",MID(B33,11,100),LEFT(B33,FIND(" v ",B33)-1))</f>
        <v>Coventry City</v>
      </c>
      <c r="I33" s="2" t="str">
        <f aca="false">IF(F33&lt;&gt;"","N",IF(LEFT(B33,10)="Arsenal v ","H","A"))</f>
        <v>A</v>
      </c>
      <c r="J33" s="2"/>
    </row>
    <row r="34" customFormat="false" ht="15" hidden="false" customHeight="false" outlineLevel="0" collapsed="false">
      <c r="A34" s="3" t="n">
        <v>32564</v>
      </c>
      <c r="B34" s="2" t="s">
        <v>714</v>
      </c>
      <c r="C34" s="2" t="s">
        <v>702</v>
      </c>
      <c r="D34" s="2" t="s">
        <v>351</v>
      </c>
      <c r="E34" s="2" t="s">
        <v>375</v>
      </c>
      <c r="F34" s="2"/>
      <c r="G34" s="2" t="s">
        <v>374</v>
      </c>
      <c r="H34" s="2" t="str">
        <f aca="false">IF(LEFT(B34,10)="Arsenal v ",MID(B34,11,100),LEFT(B34,FIND(" v ",B34)-1))</f>
        <v>Luton Town</v>
      </c>
      <c r="I34" s="2" t="str">
        <f aca="false">IF(F34&lt;&gt;"","N",IF(LEFT(B34,10)="Arsenal v ","H","A"))</f>
        <v>H</v>
      </c>
      <c r="J34" s="2"/>
    </row>
    <row r="35" customFormat="false" ht="15" hidden="false" customHeight="false" outlineLevel="0" collapsed="false">
      <c r="A35" s="3" t="n">
        <v>32567</v>
      </c>
      <c r="B35" s="2" t="s">
        <v>715</v>
      </c>
      <c r="C35" s="2" t="s">
        <v>706</v>
      </c>
      <c r="D35" s="2" t="s">
        <v>369</v>
      </c>
      <c r="E35" s="2" t="s">
        <v>375</v>
      </c>
      <c r="F35" s="2"/>
      <c r="G35" s="2" t="s">
        <v>374</v>
      </c>
      <c r="H35" s="2" t="str">
        <f aca="false">IF(LEFT(B35,10)="Arsenal v ",MID(B35,11,100),LEFT(B35,FIND(" v ",B35)-1))</f>
        <v>Millwall</v>
      </c>
      <c r="I35" s="2" t="str">
        <f aca="false">IF(F35&lt;&gt;"","N",IF(LEFT(B35,10)="Arsenal v ","H","A"))</f>
        <v>H</v>
      </c>
      <c r="J35" s="2"/>
    </row>
    <row r="36" customFormat="false" ht="15" hidden="false" customHeight="false" outlineLevel="0" collapsed="false">
      <c r="A36" s="3" t="n">
        <v>32578</v>
      </c>
      <c r="B36" s="2" t="s">
        <v>716</v>
      </c>
      <c r="C36" s="2" t="s">
        <v>704</v>
      </c>
      <c r="D36" s="2" t="s">
        <v>373</v>
      </c>
      <c r="E36" s="2" t="s">
        <v>375</v>
      </c>
      <c r="F36" s="2"/>
      <c r="G36" s="2" t="s">
        <v>374</v>
      </c>
      <c r="H36" s="2" t="str">
        <f aca="false">IF(LEFT(B36,10)="Arsenal v ",MID(B36,11,100),LEFT(B36,FIND(" v ",B36)-1))</f>
        <v>Nottingham Forest</v>
      </c>
      <c r="I36" s="2" t="str">
        <f aca="false">IF(F36&lt;&gt;"","N",IF(LEFT(B36,10)="Arsenal v ","H","A"))</f>
        <v>H</v>
      </c>
      <c r="J36" s="2"/>
    </row>
    <row r="37" customFormat="false" ht="15" hidden="false" customHeight="false" outlineLevel="0" collapsed="false">
      <c r="A37" s="3" t="n">
        <v>32588</v>
      </c>
      <c r="B37" s="2" t="s">
        <v>717</v>
      </c>
      <c r="C37" s="2" t="s">
        <v>706</v>
      </c>
      <c r="D37" s="2" t="s">
        <v>380</v>
      </c>
      <c r="E37" s="2" t="s">
        <v>375</v>
      </c>
      <c r="F37" s="2"/>
      <c r="G37" s="2" t="s">
        <v>374</v>
      </c>
      <c r="H37" s="2" t="str">
        <f aca="false">IF(LEFT(B37,10)="Arsenal v ",MID(B37,11,100),LEFT(B37,FIND(" v ",B37)-1))</f>
        <v>Charlton Athletic</v>
      </c>
      <c r="I37" s="2" t="str">
        <f aca="false">IF(F37&lt;&gt;"","N",IF(LEFT(B37,10)="Arsenal v ","H","A"))</f>
        <v>H</v>
      </c>
      <c r="J37" s="2"/>
    </row>
    <row r="38" customFormat="false" ht="15" hidden="false" customHeight="false" outlineLevel="0" collapsed="false">
      <c r="A38" s="3" t="n">
        <v>32592</v>
      </c>
      <c r="B38" s="2" t="s">
        <v>546</v>
      </c>
      <c r="C38" s="2" t="s">
        <v>702</v>
      </c>
      <c r="D38" s="2" t="s">
        <v>373</v>
      </c>
      <c r="E38" s="2" t="s">
        <v>375</v>
      </c>
      <c r="F38" s="2"/>
      <c r="G38" s="2" t="s">
        <v>374</v>
      </c>
      <c r="H38" s="2" t="str">
        <f aca="false">IF(LEFT(B38,10)="Arsenal v ",MID(B38,11,100),LEFT(B38,FIND(" v ",B38)-1))</f>
        <v>Southampton</v>
      </c>
      <c r="I38" s="2" t="str">
        <f aca="false">IF(F38&lt;&gt;"","N",IF(LEFT(B38,10)="Arsenal v ","H","A"))</f>
        <v>A</v>
      </c>
      <c r="J38" s="2"/>
    </row>
    <row r="39" customFormat="false" ht="15" hidden="false" customHeight="false" outlineLevel="0" collapsed="false">
      <c r="A39" s="3" t="n">
        <v>32600</v>
      </c>
      <c r="B39" s="2" t="s">
        <v>490</v>
      </c>
      <c r="C39" s="2" t="s">
        <v>706</v>
      </c>
      <c r="D39" s="2" t="s">
        <v>361</v>
      </c>
      <c r="E39" s="2" t="s">
        <v>375</v>
      </c>
      <c r="F39" s="2"/>
      <c r="G39" s="2" t="s">
        <v>374</v>
      </c>
      <c r="H39" s="2" t="str">
        <f aca="false">IF(LEFT(B39,10)="Arsenal v ",MID(B39,11,100),LEFT(B39,FIND(" v ",B39)-1))</f>
        <v>Manchester United</v>
      </c>
      <c r="I39" s="2" t="str">
        <f aca="false">IF(F39&lt;&gt;"","N",IF(LEFT(B39,10)="Arsenal v ","H","A"))</f>
        <v>A</v>
      </c>
      <c r="J39" s="2"/>
    </row>
    <row r="40" customFormat="false" ht="15" hidden="false" customHeight="false" outlineLevel="0" collapsed="false">
      <c r="A40" s="3" t="n">
        <v>32606</v>
      </c>
      <c r="B40" s="2" t="s">
        <v>718</v>
      </c>
      <c r="C40" s="2" t="s">
        <v>702</v>
      </c>
      <c r="D40" s="2" t="s">
        <v>351</v>
      </c>
      <c r="E40" s="2" t="s">
        <v>375</v>
      </c>
      <c r="F40" s="2"/>
      <c r="G40" s="2" t="s">
        <v>374</v>
      </c>
      <c r="H40" s="2" t="str">
        <f aca="false">IF(LEFT(B40,10)="Arsenal v ",MID(B40,11,100),LEFT(B40,FIND(" v ",B40)-1))</f>
        <v>Everton</v>
      </c>
      <c r="I40" s="2" t="str">
        <f aca="false">IF(F40&lt;&gt;"","N",IF(LEFT(B40,10)="Arsenal v ","H","A"))</f>
        <v>H</v>
      </c>
      <c r="J40" s="2"/>
    </row>
    <row r="41" customFormat="false" ht="15" hidden="false" customHeight="false" outlineLevel="0" collapsed="false">
      <c r="A41" s="3" t="n">
        <v>32613</v>
      </c>
      <c r="B41" s="2" t="s">
        <v>719</v>
      </c>
      <c r="C41" s="2" t="s">
        <v>702</v>
      </c>
      <c r="D41" s="2" t="s">
        <v>348</v>
      </c>
      <c r="E41" s="2" t="s">
        <v>375</v>
      </c>
      <c r="F41" s="2"/>
      <c r="G41" s="2" t="s">
        <v>374</v>
      </c>
      <c r="H41" s="2" t="str">
        <f aca="false">IF(LEFT(B41,10)="Arsenal v ",MID(B41,11,100),LEFT(B41,FIND(" v ",B41)-1))</f>
        <v>Newcastle United</v>
      </c>
      <c r="I41" s="2" t="str">
        <f aca="false">IF(F41&lt;&gt;"","N",IF(LEFT(B41,10)="Arsenal v ","H","A"))</f>
        <v>H</v>
      </c>
      <c r="J41" s="2"/>
    </row>
    <row r="42" customFormat="false" ht="15" hidden="false" customHeight="false" outlineLevel="0" collapsed="false">
      <c r="A42" s="3" t="n">
        <v>32629</v>
      </c>
      <c r="B42" s="2" t="s">
        <v>720</v>
      </c>
      <c r="C42" s="2" t="s">
        <v>702</v>
      </c>
      <c r="D42" s="2" t="s">
        <v>489</v>
      </c>
      <c r="E42" s="2" t="s">
        <v>375</v>
      </c>
      <c r="F42" s="2"/>
      <c r="G42" s="2" t="s">
        <v>374</v>
      </c>
      <c r="H42" s="2" t="str">
        <f aca="false">IF(LEFT(B42,10)="Arsenal v ",MID(B42,11,100),LEFT(B42,FIND(" v ",B42)-1))</f>
        <v>Norwich City</v>
      </c>
      <c r="I42" s="2" t="str">
        <f aca="false">IF(F42&lt;&gt;"","N",IF(LEFT(B42,10)="Arsenal v ","H","A"))</f>
        <v>H</v>
      </c>
      <c r="J42" s="2"/>
    </row>
    <row r="43" customFormat="false" ht="15" hidden="false" customHeight="false" outlineLevel="0" collapsed="false">
      <c r="A43" s="3" t="n">
        <v>32634</v>
      </c>
      <c r="B43" s="2" t="s">
        <v>494</v>
      </c>
      <c r="C43" s="2" t="s">
        <v>702</v>
      </c>
      <c r="D43" s="2" t="s">
        <v>383</v>
      </c>
      <c r="E43" s="2" t="s">
        <v>375</v>
      </c>
      <c r="F43" s="2"/>
      <c r="G43" s="2" t="s">
        <v>374</v>
      </c>
      <c r="H43" s="2" t="str">
        <f aca="false">IF(LEFT(B43,10)="Arsenal v ",MID(B43,11,100),LEFT(B43,FIND(" v ",B43)-1))</f>
        <v>Middlesbrough</v>
      </c>
      <c r="I43" s="2" t="str">
        <f aca="false">IF(F43&lt;&gt;"","N",IF(LEFT(B43,10)="Arsenal v ","H","A"))</f>
        <v>A</v>
      </c>
      <c r="J43" s="2"/>
    </row>
    <row r="44" customFormat="false" ht="15" hidden="false" customHeight="false" outlineLevel="0" collapsed="false">
      <c r="A44" s="3" t="n">
        <v>32641</v>
      </c>
      <c r="B44" s="2" t="s">
        <v>721</v>
      </c>
      <c r="C44" s="2" t="s">
        <v>704</v>
      </c>
      <c r="D44" s="2" t="s">
        <v>360</v>
      </c>
      <c r="E44" s="2" t="s">
        <v>375</v>
      </c>
      <c r="F44" s="2"/>
      <c r="G44" s="2" t="s">
        <v>374</v>
      </c>
      <c r="H44" s="2" t="str">
        <f aca="false">IF(LEFT(B44,10)="Arsenal v ",MID(B44,11,100),LEFT(B44,FIND(" v ",B44)-1))</f>
        <v>Derby County</v>
      </c>
      <c r="I44" s="2" t="str">
        <f aca="false">IF(F44&lt;&gt;"","N",IF(LEFT(B44,10)="Arsenal v ","H","A"))</f>
        <v>H</v>
      </c>
      <c r="J44" s="2"/>
    </row>
    <row r="45" customFormat="false" ht="15" hidden="false" customHeight="false" outlineLevel="0" collapsed="false">
      <c r="A45" s="3" t="n">
        <v>32645</v>
      </c>
      <c r="B45" s="2" t="s">
        <v>722</v>
      </c>
      <c r="C45" s="2" t="s">
        <v>706</v>
      </c>
      <c r="D45" s="2" t="s">
        <v>380</v>
      </c>
      <c r="E45" s="2" t="s">
        <v>375</v>
      </c>
      <c r="F45" s="2"/>
      <c r="G45" s="2" t="s">
        <v>374</v>
      </c>
      <c r="H45" s="2" t="str">
        <f aca="false">IF(LEFT(B45,10)="Arsenal v ",MID(B45,11,100),LEFT(B45,FIND(" v ",B45)-1))</f>
        <v>Wimbledon</v>
      </c>
      <c r="I45" s="2" t="str">
        <f aca="false">IF(F45&lt;&gt;"","N",IF(LEFT(B45,10)="Arsenal v ","H","A"))</f>
        <v>H</v>
      </c>
      <c r="J45" s="2"/>
    </row>
    <row r="46" customFormat="false" ht="15" hidden="false" customHeight="false" outlineLevel="0" collapsed="false">
      <c r="A46" s="3" t="n">
        <v>32654</v>
      </c>
      <c r="B46" s="2" t="s">
        <v>477</v>
      </c>
      <c r="C46" s="2" t="s">
        <v>702</v>
      </c>
      <c r="D46" s="2" t="s">
        <v>353</v>
      </c>
      <c r="E46" s="2" t="s">
        <v>375</v>
      </c>
      <c r="F46" s="2"/>
      <c r="G46" s="2" t="s">
        <v>374</v>
      </c>
      <c r="H46" s="2" t="str">
        <f aca="false">IF(LEFT(B46,10)="Arsenal v ",MID(B46,11,100),LEFT(B46,FIND(" v ",B46)-1))</f>
        <v>Liverpool</v>
      </c>
      <c r="I46" s="2" t="str">
        <f aca="false">IF(F46&lt;&gt;"","N",IF(LEFT(B46,10)="Arsenal v ","H","A"))</f>
        <v>A</v>
      </c>
      <c r="J46" s="2"/>
    </row>
    <row r="47" customFormat="false" ht="15" hidden="false" customHeight="false" outlineLevel="0" collapsed="false">
      <c r="A47" s="3" t="n">
        <v>32732</v>
      </c>
      <c r="B47" s="2" t="s">
        <v>477</v>
      </c>
      <c r="C47" s="2" t="s">
        <v>704</v>
      </c>
      <c r="D47" s="2" t="s">
        <v>348</v>
      </c>
      <c r="E47" s="2" t="s">
        <v>478</v>
      </c>
      <c r="F47" s="2"/>
      <c r="G47" s="2" t="s">
        <v>240</v>
      </c>
      <c r="H47" s="2" t="str">
        <f aca="false">IF(LEFT(B47,10)="Arsenal v ",MID(B47,11,100),LEFT(B47,FIND(" v ",B47)-1))</f>
        <v>Liverpool</v>
      </c>
      <c r="I47" s="2" t="str">
        <f aca="false">IF(F47&lt;&gt;"","N",IF(LEFT(B47,10)="Arsenal v ","H","A"))</f>
        <v>A</v>
      </c>
      <c r="J47" s="2"/>
    </row>
    <row r="48" customFormat="false" ht="15" hidden="false" customHeight="false" outlineLevel="0" collapsed="false">
      <c r="A48" s="3" t="n">
        <v>32739</v>
      </c>
      <c r="B48" s="2" t="s">
        <v>490</v>
      </c>
      <c r="C48" s="2" t="s">
        <v>704</v>
      </c>
      <c r="D48" s="2" t="s">
        <v>397</v>
      </c>
      <c r="E48" s="2" t="s">
        <v>375</v>
      </c>
      <c r="F48" s="2"/>
      <c r="G48" s="2" t="s">
        <v>240</v>
      </c>
      <c r="H48" s="2" t="str">
        <f aca="false">IF(LEFT(B48,10)="Arsenal v ",MID(B48,11,100),LEFT(B48,FIND(" v ",B48)-1))</f>
        <v>Manchester United</v>
      </c>
      <c r="I48" s="2" t="str">
        <f aca="false">IF(F48&lt;&gt;"","N",IF(LEFT(B48,10)="Arsenal v ","H","A"))</f>
        <v>A</v>
      </c>
      <c r="J48" s="2"/>
    </row>
    <row r="49" customFormat="false" ht="15" hidden="false" customHeight="false" outlineLevel="0" collapsed="false">
      <c r="A49" s="3" t="n">
        <v>32742</v>
      </c>
      <c r="B49" s="2" t="s">
        <v>709</v>
      </c>
      <c r="C49" s="2" t="s">
        <v>702</v>
      </c>
      <c r="D49" s="2" t="s">
        <v>351</v>
      </c>
      <c r="E49" s="2" t="s">
        <v>375</v>
      </c>
      <c r="F49" s="2"/>
      <c r="G49" s="2" t="s">
        <v>240</v>
      </c>
      <c r="H49" s="2" t="str">
        <f aca="false">IF(LEFT(B49,10)="Arsenal v ",MID(B49,11,100),LEFT(B49,FIND(" v ",B49)-1))</f>
        <v>Coventry City</v>
      </c>
      <c r="I49" s="2" t="str">
        <f aca="false">IF(F49&lt;&gt;"","N",IF(LEFT(B49,10)="Arsenal v ","H","A"))</f>
        <v>H</v>
      </c>
      <c r="J49" s="2"/>
    </row>
    <row r="50" customFormat="false" ht="15" hidden="false" customHeight="false" outlineLevel="0" collapsed="false">
      <c r="A50" s="3" t="n">
        <v>32746</v>
      </c>
      <c r="B50" s="2" t="s">
        <v>722</v>
      </c>
      <c r="C50" s="2" t="s">
        <v>706</v>
      </c>
      <c r="D50" s="2" t="s">
        <v>369</v>
      </c>
      <c r="E50" s="2" t="s">
        <v>375</v>
      </c>
      <c r="F50" s="2"/>
      <c r="G50" s="2" t="s">
        <v>240</v>
      </c>
      <c r="H50" s="2" t="str">
        <f aca="false">IF(LEFT(B50,10)="Arsenal v ",MID(B50,11,100),LEFT(B50,FIND(" v ",B50)-1))</f>
        <v>Wimbledon</v>
      </c>
      <c r="I50" s="2" t="str">
        <f aca="false">IF(F50&lt;&gt;"","N",IF(LEFT(B50,10)="Arsenal v ","H","A"))</f>
        <v>H</v>
      </c>
      <c r="J50" s="2"/>
    </row>
    <row r="51" customFormat="false" ht="15" hidden="false" customHeight="false" outlineLevel="0" collapsed="false">
      <c r="A51" s="3" t="n">
        <v>32760</v>
      </c>
      <c r="B51" s="2" t="s">
        <v>713</v>
      </c>
      <c r="C51" s="2" t="s">
        <v>702</v>
      </c>
      <c r="D51" s="2" t="s">
        <v>489</v>
      </c>
      <c r="E51" s="2" t="s">
        <v>375</v>
      </c>
      <c r="F51" s="2"/>
      <c r="G51" s="2" t="s">
        <v>240</v>
      </c>
      <c r="H51" s="2" t="str">
        <f aca="false">IF(LEFT(B51,10)="Arsenal v ",MID(B51,11,100),LEFT(B51,FIND(" v ",B51)-1))</f>
        <v>Sheffield Wednesday</v>
      </c>
      <c r="I51" s="2" t="str">
        <f aca="false">IF(F51&lt;&gt;"","N",IF(LEFT(B51,10)="Arsenal v ","H","A"))</f>
        <v>H</v>
      </c>
      <c r="J51" s="2"/>
    </row>
    <row r="52" customFormat="false" ht="15" hidden="false" customHeight="false" outlineLevel="0" collapsed="false">
      <c r="A52" s="3" t="n">
        <v>32767</v>
      </c>
      <c r="B52" s="2" t="s">
        <v>503</v>
      </c>
      <c r="C52" s="2" t="s">
        <v>702</v>
      </c>
      <c r="D52" s="2" t="s">
        <v>360</v>
      </c>
      <c r="E52" s="2" t="s">
        <v>375</v>
      </c>
      <c r="F52" s="2"/>
      <c r="G52" s="2" t="s">
        <v>240</v>
      </c>
      <c r="H52" s="2" t="str">
        <f aca="false">IF(LEFT(B52,10)="Arsenal v ",MID(B52,11,100),LEFT(B52,FIND(" v ",B52)-1))</f>
        <v>Nottingham Forest</v>
      </c>
      <c r="I52" s="2" t="str">
        <f aca="false">IF(F52&lt;&gt;"","N",IF(LEFT(B52,10)="Arsenal v ","H","A"))</f>
        <v>A</v>
      </c>
      <c r="J52" s="2"/>
    </row>
    <row r="53" customFormat="false" ht="15" hidden="false" customHeight="false" outlineLevel="0" collapsed="false">
      <c r="A53" s="3" t="n">
        <v>32770</v>
      </c>
      <c r="B53" s="2" t="s">
        <v>723</v>
      </c>
      <c r="C53" s="2" t="s">
        <v>702</v>
      </c>
      <c r="D53" s="2" t="s">
        <v>351</v>
      </c>
      <c r="E53" s="2" t="s">
        <v>379</v>
      </c>
      <c r="F53" s="2"/>
      <c r="G53" s="2" t="s">
        <v>240</v>
      </c>
      <c r="H53" s="2" t="str">
        <f aca="false">IF(LEFT(B53,10)="Arsenal v ",MID(B53,11,100),LEFT(B53,FIND(" v ",B53)-1))</f>
        <v>Plymouth Argyle</v>
      </c>
      <c r="I53" s="2" t="str">
        <f aca="false">IF(F53&lt;&gt;"","N",IF(LEFT(B53,10)="Arsenal v ","H","A"))</f>
        <v>H</v>
      </c>
      <c r="J53" s="2"/>
    </row>
    <row r="54" customFormat="false" ht="15" hidden="false" customHeight="false" outlineLevel="0" collapsed="false">
      <c r="A54" s="3" t="n">
        <v>32774</v>
      </c>
      <c r="B54" s="2" t="s">
        <v>717</v>
      </c>
      <c r="C54" s="2" t="s">
        <v>702</v>
      </c>
      <c r="D54" s="2" t="s">
        <v>348</v>
      </c>
      <c r="E54" s="2" t="s">
        <v>375</v>
      </c>
      <c r="F54" s="2"/>
      <c r="G54" s="2" t="s">
        <v>240</v>
      </c>
      <c r="H54" s="2" t="str">
        <f aca="false">IF(LEFT(B54,10)="Arsenal v ",MID(B54,11,100),LEFT(B54,FIND(" v ",B54)-1))</f>
        <v>Charlton Athletic</v>
      </c>
      <c r="I54" s="2" t="str">
        <f aca="false">IF(F54&lt;&gt;"","N",IF(LEFT(B54,10)="Arsenal v ","H","A"))</f>
        <v>H</v>
      </c>
      <c r="J54" s="2"/>
    </row>
    <row r="55" customFormat="false" ht="15" hidden="false" customHeight="false" outlineLevel="0" collapsed="false">
      <c r="A55" s="3" t="n">
        <v>32781</v>
      </c>
      <c r="B55" s="2" t="s">
        <v>426</v>
      </c>
      <c r="C55" s="2" t="s">
        <v>706</v>
      </c>
      <c r="D55" s="2" t="s">
        <v>369</v>
      </c>
      <c r="E55" s="2" t="s">
        <v>375</v>
      </c>
      <c r="F55" s="2"/>
      <c r="G55" s="2" t="s">
        <v>240</v>
      </c>
      <c r="H55" s="2" t="str">
        <f aca="false">IF(LEFT(B55,10)="Arsenal v ",MID(B55,11,100),LEFT(B55,FIND(" v ",B55)-1))</f>
        <v>Chelsea</v>
      </c>
      <c r="I55" s="2" t="str">
        <f aca="false">IF(F55&lt;&gt;"","N",IF(LEFT(B55,10)="Arsenal v ","H","A"))</f>
        <v>A</v>
      </c>
      <c r="J55" s="2"/>
    </row>
    <row r="56" customFormat="false" ht="15" hidden="false" customHeight="false" outlineLevel="0" collapsed="false">
      <c r="A56" s="3" t="n">
        <v>32784</v>
      </c>
      <c r="B56" s="2" t="s">
        <v>517</v>
      </c>
      <c r="C56" s="2" t="s">
        <v>702</v>
      </c>
      <c r="D56" s="2" t="s">
        <v>449</v>
      </c>
      <c r="E56" s="2" t="s">
        <v>379</v>
      </c>
      <c r="F56" s="2"/>
      <c r="G56" s="2" t="s">
        <v>240</v>
      </c>
      <c r="H56" s="2" t="str">
        <f aca="false">IF(LEFT(B56,10)="Arsenal v ",MID(B56,11,100),LEFT(B56,FIND(" v ",B56)-1))</f>
        <v>Plymouth Argyle</v>
      </c>
      <c r="I56" s="2" t="str">
        <f aca="false">IF(F56&lt;&gt;"","N",IF(LEFT(B56,10)="Arsenal v ","H","A"))</f>
        <v>A</v>
      </c>
      <c r="J56" s="2"/>
    </row>
    <row r="57" customFormat="false" ht="15" hidden="false" customHeight="false" outlineLevel="0" collapsed="false">
      <c r="A57" s="3" t="n">
        <v>32795</v>
      </c>
      <c r="B57" s="2" t="s">
        <v>657</v>
      </c>
      <c r="C57" s="2" t="s">
        <v>702</v>
      </c>
      <c r="D57" s="2" t="s">
        <v>354</v>
      </c>
      <c r="E57" s="2" t="s">
        <v>375</v>
      </c>
      <c r="F57" s="2"/>
      <c r="G57" s="2" t="s">
        <v>240</v>
      </c>
      <c r="H57" s="2" t="str">
        <f aca="false">IF(LEFT(B57,10)="Arsenal v ",MID(B57,11,100),LEFT(B57,FIND(" v ",B57)-1))</f>
        <v>Manchester City</v>
      </c>
      <c r="I57" s="2" t="str">
        <f aca="false">IF(F57&lt;&gt;"","N",IF(LEFT(B57,10)="Arsenal v ","H","A"))</f>
        <v>H</v>
      </c>
      <c r="J57" s="2"/>
    </row>
    <row r="58" customFormat="false" ht="15" hidden="false" customHeight="false" outlineLevel="0" collapsed="false">
      <c r="A58" s="3" t="n">
        <v>32799</v>
      </c>
      <c r="B58" s="2" t="s">
        <v>561</v>
      </c>
      <c r="C58" s="2" t="s">
        <v>704</v>
      </c>
      <c r="D58" s="2" t="s">
        <v>359</v>
      </c>
      <c r="E58" s="2" t="s">
        <v>375</v>
      </c>
      <c r="F58" s="2"/>
      <c r="G58" s="2" t="s">
        <v>240</v>
      </c>
      <c r="H58" s="2" t="str">
        <f aca="false">IF(LEFT(B58,10)="Arsenal v ",MID(B58,11,100),LEFT(B58,FIND(" v ",B58)-1))</f>
        <v>Tottenham Hotspur</v>
      </c>
      <c r="I58" s="2" t="str">
        <f aca="false">IF(F58&lt;&gt;"","N",IF(LEFT(B58,10)="Arsenal v ","H","A"))</f>
        <v>A</v>
      </c>
      <c r="J58" s="2"/>
    </row>
    <row r="59" customFormat="false" ht="15" hidden="false" customHeight="false" outlineLevel="0" collapsed="false">
      <c r="A59" s="3" t="n">
        <v>32802</v>
      </c>
      <c r="B59" s="2" t="s">
        <v>448</v>
      </c>
      <c r="C59" s="2" t="s">
        <v>704</v>
      </c>
      <c r="D59" s="2" t="s">
        <v>434</v>
      </c>
      <c r="E59" s="2" t="s">
        <v>375</v>
      </c>
      <c r="F59" s="2"/>
      <c r="G59" s="2" t="s">
        <v>240</v>
      </c>
      <c r="H59" s="2" t="str">
        <f aca="false">IF(LEFT(B59,10)="Arsenal v ",MID(B59,11,100),LEFT(B59,FIND(" v ",B59)-1))</f>
        <v>Everton</v>
      </c>
      <c r="I59" s="2" t="str">
        <f aca="false">IF(F59&lt;&gt;"","N",IF(LEFT(B59,10)="Arsenal v ","H","A"))</f>
        <v>A</v>
      </c>
      <c r="J59" s="2"/>
    </row>
    <row r="60" customFormat="false" ht="15" hidden="false" customHeight="false" outlineLevel="0" collapsed="false">
      <c r="A60" s="3" t="n">
        <v>32806</v>
      </c>
      <c r="B60" s="2" t="s">
        <v>710</v>
      </c>
      <c r="C60" s="2" t="s">
        <v>702</v>
      </c>
      <c r="D60" s="2" t="s">
        <v>348</v>
      </c>
      <c r="E60" s="2" t="s">
        <v>379</v>
      </c>
      <c r="F60" s="2"/>
      <c r="G60" s="2" t="s">
        <v>240</v>
      </c>
      <c r="H60" s="2" t="str">
        <f aca="false">IF(LEFT(B60,10)="Arsenal v ",MID(B60,11,100),LEFT(B60,FIND(" v ",B60)-1))</f>
        <v>Liverpool</v>
      </c>
      <c r="I60" s="2" t="str">
        <f aca="false">IF(F60&lt;&gt;"","N",IF(LEFT(B60,10)="Arsenal v ","H","A"))</f>
        <v>H</v>
      </c>
      <c r="J60" s="2"/>
    </row>
    <row r="61" customFormat="false" ht="15" hidden="false" customHeight="false" outlineLevel="0" collapsed="false">
      <c r="A61" s="3" t="n">
        <v>32809</v>
      </c>
      <c r="B61" s="2" t="s">
        <v>721</v>
      </c>
      <c r="C61" s="2" t="s">
        <v>706</v>
      </c>
      <c r="D61" s="2" t="s">
        <v>361</v>
      </c>
      <c r="E61" s="2" t="s">
        <v>375</v>
      </c>
      <c r="F61" s="2"/>
      <c r="G61" s="2" t="s">
        <v>240</v>
      </c>
      <c r="H61" s="2" t="str">
        <f aca="false">IF(LEFT(B61,10)="Arsenal v ",MID(B61,11,100),LEFT(B61,FIND(" v ",B61)-1))</f>
        <v>Derby County</v>
      </c>
      <c r="I61" s="2" t="str">
        <f aca="false">IF(F61&lt;&gt;"","N",IF(LEFT(B61,10)="Arsenal v ","H","A"))</f>
        <v>H</v>
      </c>
      <c r="J61" s="2"/>
    </row>
    <row r="62" customFormat="false" ht="15" hidden="false" customHeight="false" outlineLevel="0" collapsed="false">
      <c r="A62" s="3" t="n">
        <v>32816</v>
      </c>
      <c r="B62" s="2" t="s">
        <v>720</v>
      </c>
      <c r="C62" s="2" t="s">
        <v>702</v>
      </c>
      <c r="D62" s="2" t="s">
        <v>408</v>
      </c>
      <c r="E62" s="2" t="s">
        <v>375</v>
      </c>
      <c r="F62" s="2"/>
      <c r="G62" s="2" t="s">
        <v>240</v>
      </c>
      <c r="H62" s="2" t="str">
        <f aca="false">IF(LEFT(B62,10)="Arsenal v ",MID(B62,11,100),LEFT(B62,FIND(" v ",B62)-1))</f>
        <v>Norwich City</v>
      </c>
      <c r="I62" s="2" t="str">
        <f aca="false">IF(F62&lt;&gt;"","N",IF(LEFT(B62,10)="Arsenal v ","H","A"))</f>
        <v>H</v>
      </c>
      <c r="J62" s="2"/>
    </row>
    <row r="63" customFormat="false" ht="15" hidden="false" customHeight="false" outlineLevel="0" collapsed="false">
      <c r="A63" s="3" t="n">
        <v>32823</v>
      </c>
      <c r="B63" s="2" t="s">
        <v>496</v>
      </c>
      <c r="C63" s="2" t="s">
        <v>702</v>
      </c>
      <c r="D63" s="2" t="s">
        <v>360</v>
      </c>
      <c r="E63" s="2" t="s">
        <v>375</v>
      </c>
      <c r="F63" s="2"/>
      <c r="G63" s="2" t="s">
        <v>240</v>
      </c>
      <c r="H63" s="2" t="str">
        <f aca="false">IF(LEFT(B63,10)="Arsenal v ",MID(B63,11,100),LEFT(B63,FIND(" v ",B63)-1))</f>
        <v>Millwall</v>
      </c>
      <c r="I63" s="2" t="str">
        <f aca="false">IF(F63&lt;&gt;"","N",IF(LEFT(B63,10)="Arsenal v ","H","A"))</f>
        <v>A</v>
      </c>
      <c r="J63" s="2"/>
    </row>
    <row r="64" customFormat="false" ht="15" hidden="false" customHeight="false" outlineLevel="0" collapsed="false">
      <c r="A64" s="3" t="n">
        <v>32830</v>
      </c>
      <c r="B64" s="2" t="s">
        <v>708</v>
      </c>
      <c r="C64" s="2" t="s">
        <v>702</v>
      </c>
      <c r="D64" s="2" t="s">
        <v>434</v>
      </c>
      <c r="E64" s="2" t="s">
        <v>375</v>
      </c>
      <c r="F64" s="2"/>
      <c r="G64" s="2" t="s">
        <v>240</v>
      </c>
      <c r="H64" s="2" t="str">
        <f aca="false">IF(LEFT(B64,10)="Arsenal v ",MID(B64,11,100),LEFT(B64,FIND(" v ",B64)-1))</f>
        <v>Queens Park Rangers</v>
      </c>
      <c r="I64" s="2" t="str">
        <f aca="false">IF(F64&lt;&gt;"","N",IF(LEFT(B64,10)="Arsenal v ","H","A"))</f>
        <v>H</v>
      </c>
      <c r="J64" s="2"/>
    </row>
    <row r="65" customFormat="false" ht="15" hidden="false" customHeight="false" outlineLevel="0" collapsed="false">
      <c r="A65" s="3" t="n">
        <v>32834</v>
      </c>
      <c r="B65" s="2" t="s">
        <v>506</v>
      </c>
      <c r="C65" s="2" t="s">
        <v>704</v>
      </c>
      <c r="D65" s="2" t="s">
        <v>377</v>
      </c>
      <c r="E65" s="2" t="s">
        <v>379</v>
      </c>
      <c r="F65" s="2"/>
      <c r="G65" s="2" t="s">
        <v>240</v>
      </c>
      <c r="H65" s="2" t="str">
        <f aca="false">IF(LEFT(B65,10)="Arsenal v ",MID(B65,11,100),LEFT(B65,FIND(" v ",B65)-1))</f>
        <v>Oldham Athletic</v>
      </c>
      <c r="I65" s="2" t="str">
        <f aca="false">IF(F65&lt;&gt;"","N",IF(LEFT(B65,10)="Arsenal v ","H","A"))</f>
        <v>A</v>
      </c>
      <c r="J65" s="2"/>
    </row>
    <row r="66" customFormat="false" ht="15" hidden="false" customHeight="false" outlineLevel="0" collapsed="false">
      <c r="A66" s="3" t="n">
        <v>32838</v>
      </c>
      <c r="B66" s="2" t="s">
        <v>477</v>
      </c>
      <c r="C66" s="2" t="s">
        <v>704</v>
      </c>
      <c r="D66" s="2" t="s">
        <v>359</v>
      </c>
      <c r="E66" s="2" t="s">
        <v>375</v>
      </c>
      <c r="F66" s="2"/>
      <c r="G66" s="2" t="s">
        <v>240</v>
      </c>
      <c r="H66" s="2" t="str">
        <f aca="false">IF(LEFT(B66,10)="Arsenal v ",MID(B66,11,100),LEFT(B66,FIND(" v ",B66)-1))</f>
        <v>Liverpool</v>
      </c>
      <c r="I66" s="2" t="str">
        <f aca="false">IF(F66&lt;&gt;"","N",IF(LEFT(B66,10)="Arsenal v ","H","A"))</f>
        <v>A</v>
      </c>
      <c r="J66" s="2"/>
    </row>
    <row r="67" customFormat="false" ht="15" hidden="false" customHeight="false" outlineLevel="0" collapsed="false">
      <c r="A67" s="3" t="n">
        <v>32845</v>
      </c>
      <c r="B67" s="2" t="s">
        <v>656</v>
      </c>
      <c r="C67" s="2" t="s">
        <v>702</v>
      </c>
      <c r="D67" s="2" t="s">
        <v>348</v>
      </c>
      <c r="E67" s="2" t="s">
        <v>375</v>
      </c>
      <c r="F67" s="2"/>
      <c r="G67" s="2" t="s">
        <v>240</v>
      </c>
      <c r="H67" s="2" t="str">
        <f aca="false">IF(LEFT(B67,10)="Arsenal v ",MID(B67,11,100),LEFT(B67,FIND(" v ",B67)-1))</f>
        <v>Manchester United</v>
      </c>
      <c r="I67" s="2" t="str">
        <f aca="false">IF(F67&lt;&gt;"","N",IF(LEFT(B67,10)="Arsenal v ","H","A"))</f>
        <v>H</v>
      </c>
      <c r="J67" s="2"/>
    </row>
    <row r="68" customFormat="false" ht="15" hidden="false" customHeight="false" outlineLevel="0" collapsed="false">
      <c r="A68" s="3" t="n">
        <v>32851</v>
      </c>
      <c r="B68" s="2" t="s">
        <v>431</v>
      </c>
      <c r="C68" s="2" t="s">
        <v>702</v>
      </c>
      <c r="D68" s="2" t="s">
        <v>383</v>
      </c>
      <c r="E68" s="2" t="s">
        <v>375</v>
      </c>
      <c r="F68" s="2"/>
      <c r="G68" s="2" t="s">
        <v>240</v>
      </c>
      <c r="H68" s="2" t="str">
        <f aca="false">IF(LEFT(B68,10)="Arsenal v ",MID(B68,11,100),LEFT(B68,FIND(" v ",B68)-1))</f>
        <v>Coventry City</v>
      </c>
      <c r="I68" s="2" t="str">
        <f aca="false">IF(F68&lt;&gt;"","N",IF(LEFT(B68,10)="Arsenal v ","H","A"))</f>
        <v>A</v>
      </c>
      <c r="J68" s="2"/>
    </row>
    <row r="69" customFormat="false" ht="15" hidden="false" customHeight="false" outlineLevel="0" collapsed="false">
      <c r="A69" s="3" t="n">
        <v>32858</v>
      </c>
      <c r="B69" s="2" t="s">
        <v>714</v>
      </c>
      <c r="C69" s="2" t="s">
        <v>702</v>
      </c>
      <c r="D69" s="2" t="s">
        <v>382</v>
      </c>
      <c r="E69" s="2" t="s">
        <v>375</v>
      </c>
      <c r="F69" s="2"/>
      <c r="G69" s="2" t="s">
        <v>240</v>
      </c>
      <c r="H69" s="2" t="str">
        <f aca="false">IF(LEFT(B69,10)="Arsenal v ",MID(B69,11,100),LEFT(B69,FIND(" v ",B69)-1))</f>
        <v>Luton Town</v>
      </c>
      <c r="I69" s="2" t="str">
        <f aca="false">IF(F69&lt;&gt;"","N",IF(LEFT(B69,10)="Arsenal v ","H","A"))</f>
        <v>H</v>
      </c>
      <c r="J69" s="2"/>
    </row>
    <row r="70" customFormat="false" ht="15" hidden="false" customHeight="false" outlineLevel="0" collapsed="false">
      <c r="A70" s="3" t="n">
        <v>32861</v>
      </c>
      <c r="B70" s="2" t="s">
        <v>527</v>
      </c>
      <c r="C70" s="2" t="s">
        <v>702</v>
      </c>
      <c r="D70" s="2" t="s">
        <v>360</v>
      </c>
      <c r="E70" s="2" t="s">
        <v>526</v>
      </c>
      <c r="F70" s="2"/>
      <c r="G70" s="2" t="s">
        <v>240</v>
      </c>
      <c r="H70" s="2" t="str">
        <f aca="false">IF(LEFT(B70,10)="Arsenal v ",MID(B70,11,100),LEFT(B70,FIND(" v ",B70)-1))</f>
        <v>Rangers</v>
      </c>
      <c r="I70" s="2" t="str">
        <f aca="false">IF(F70&lt;&gt;"","N",IF(LEFT(B70,10)="Arsenal v ","H","A"))</f>
        <v>A</v>
      </c>
      <c r="J70" s="2"/>
    </row>
    <row r="71" customFormat="false" ht="15" hidden="false" customHeight="false" outlineLevel="0" collapsed="false">
      <c r="A71" s="3" t="n">
        <v>32868</v>
      </c>
      <c r="B71" s="2" t="s">
        <v>546</v>
      </c>
      <c r="C71" s="2" t="s">
        <v>704</v>
      </c>
      <c r="D71" s="2" t="s">
        <v>348</v>
      </c>
      <c r="E71" s="2" t="s">
        <v>375</v>
      </c>
      <c r="F71" s="2"/>
      <c r="G71" s="2" t="s">
        <v>240</v>
      </c>
      <c r="H71" s="2" t="str">
        <f aca="false">IF(LEFT(B71,10)="Arsenal v ",MID(B71,11,100),LEFT(B71,FIND(" v ",B71)-1))</f>
        <v>Southampton</v>
      </c>
      <c r="I71" s="2" t="str">
        <f aca="false">IF(F71&lt;&gt;"","N",IF(LEFT(B71,10)="Arsenal v ","H","A"))</f>
        <v>A</v>
      </c>
      <c r="J71" s="2"/>
    </row>
    <row r="72" customFormat="false" ht="15" hidden="false" customHeight="false" outlineLevel="0" collapsed="false">
      <c r="A72" s="3" t="n">
        <v>32872</v>
      </c>
      <c r="B72" s="2" t="s">
        <v>376</v>
      </c>
      <c r="C72" s="2" t="s">
        <v>704</v>
      </c>
      <c r="D72" s="2" t="s">
        <v>359</v>
      </c>
      <c r="E72" s="2" t="s">
        <v>375</v>
      </c>
      <c r="F72" s="2"/>
      <c r="G72" s="2" t="s">
        <v>240</v>
      </c>
      <c r="H72" s="2" t="str">
        <f aca="false">IF(LEFT(B72,10)="Arsenal v ",MID(B72,11,100),LEFT(B72,FIND(" v ",B72)-1))</f>
        <v>Aston Villa</v>
      </c>
      <c r="I72" s="2" t="str">
        <f aca="false">IF(F72&lt;&gt;"","N",IF(LEFT(B72,10)="Arsenal v ","H","A"))</f>
        <v>A</v>
      </c>
      <c r="J72" s="2"/>
    </row>
    <row r="73" customFormat="false" ht="15" hidden="false" customHeight="false" outlineLevel="0" collapsed="false">
      <c r="A73" s="3" t="n">
        <v>32874</v>
      </c>
      <c r="B73" s="2" t="s">
        <v>724</v>
      </c>
      <c r="C73" s="2" t="s">
        <v>702</v>
      </c>
      <c r="D73" s="2" t="s">
        <v>397</v>
      </c>
      <c r="E73" s="2" t="s">
        <v>375</v>
      </c>
      <c r="F73" s="2"/>
      <c r="G73" s="2" t="s">
        <v>240</v>
      </c>
      <c r="H73" s="2" t="str">
        <f aca="false">IF(LEFT(B73,10)="Arsenal v ",MID(B73,11,100),LEFT(B73,FIND(" v ",B73)-1))</f>
        <v>Crystal Palace</v>
      </c>
      <c r="I73" s="2" t="str">
        <f aca="false">IF(F73&lt;&gt;"","N",IF(LEFT(B73,10)="Arsenal v ","H","A"))</f>
        <v>H</v>
      </c>
      <c r="J73" s="2"/>
    </row>
    <row r="74" customFormat="false" ht="15" hidden="false" customHeight="false" outlineLevel="0" collapsed="false">
      <c r="A74" s="3" t="n">
        <v>32879</v>
      </c>
      <c r="B74" s="2" t="s">
        <v>555</v>
      </c>
      <c r="C74" s="2" t="s">
        <v>702</v>
      </c>
      <c r="D74" s="2" t="s">
        <v>383</v>
      </c>
      <c r="E74" s="2" t="s">
        <v>362</v>
      </c>
      <c r="F74" s="2"/>
      <c r="G74" s="2" t="s">
        <v>240</v>
      </c>
      <c r="H74" s="2" t="str">
        <f aca="false">IF(LEFT(B74,10)="Arsenal v ",MID(B74,11,100),LEFT(B74,FIND(" v ",B74)-1))</f>
        <v>Stoke City</v>
      </c>
      <c r="I74" s="2" t="str">
        <f aca="false">IF(F74&lt;&gt;"","N",IF(LEFT(B74,10)="Arsenal v ","H","A"))</f>
        <v>A</v>
      </c>
      <c r="J74" s="2"/>
    </row>
    <row r="75" customFormat="false" ht="15" hidden="false" customHeight="false" outlineLevel="0" collapsed="false">
      <c r="A75" s="3" t="n">
        <v>32886</v>
      </c>
      <c r="B75" s="2" t="s">
        <v>574</v>
      </c>
      <c r="C75" s="2" t="s">
        <v>704</v>
      </c>
      <c r="D75" s="2" t="s">
        <v>348</v>
      </c>
      <c r="E75" s="2" t="s">
        <v>375</v>
      </c>
      <c r="F75" s="2"/>
      <c r="G75" s="2" t="s">
        <v>240</v>
      </c>
      <c r="H75" s="2" t="str">
        <f aca="false">IF(LEFT(B75,10)="Arsenal v ",MID(B75,11,100),LEFT(B75,FIND(" v ",B75)-1))</f>
        <v>Wimbledon</v>
      </c>
      <c r="I75" s="2" t="str">
        <f aca="false">IF(F75&lt;&gt;"","N",IF(LEFT(B75,10)="Arsenal v ","H","A"))</f>
        <v>A</v>
      </c>
      <c r="J75" s="2"/>
    </row>
    <row r="76" customFormat="false" ht="15" hidden="false" customHeight="false" outlineLevel="0" collapsed="false">
      <c r="A76" s="3" t="n">
        <v>32893</v>
      </c>
      <c r="B76" s="2" t="s">
        <v>655</v>
      </c>
      <c r="C76" s="2" t="s">
        <v>702</v>
      </c>
      <c r="D76" s="2" t="s">
        <v>348</v>
      </c>
      <c r="E76" s="2" t="s">
        <v>375</v>
      </c>
      <c r="F76" s="2"/>
      <c r="G76" s="2" t="s">
        <v>240</v>
      </c>
      <c r="H76" s="2" t="str">
        <f aca="false">IF(LEFT(B76,10)="Arsenal v ",MID(B76,11,100),LEFT(B76,FIND(" v ",B76)-1))</f>
        <v>Tottenham Hotspur</v>
      </c>
      <c r="I76" s="2" t="str">
        <f aca="false">IF(F76&lt;&gt;"","N",IF(LEFT(B76,10)="Arsenal v ","H","A"))</f>
        <v>H</v>
      </c>
      <c r="J76" s="2"/>
    </row>
    <row r="77" customFormat="false" ht="15" hidden="false" customHeight="false" outlineLevel="0" collapsed="false">
      <c r="A77" s="3" t="n">
        <v>32900</v>
      </c>
      <c r="B77" s="2" t="s">
        <v>708</v>
      </c>
      <c r="C77" s="2" t="s">
        <v>706</v>
      </c>
      <c r="D77" s="2" t="s">
        <v>369</v>
      </c>
      <c r="E77" s="2" t="s">
        <v>362</v>
      </c>
      <c r="F77" s="2"/>
      <c r="G77" s="2" t="s">
        <v>240</v>
      </c>
      <c r="H77" s="2" t="str">
        <f aca="false">IF(LEFT(B77,10)="Arsenal v ",MID(B77,11,100),LEFT(B77,FIND(" v ",B77)-1))</f>
        <v>Queens Park Rangers</v>
      </c>
      <c r="I77" s="2" t="str">
        <f aca="false">IF(F77&lt;&gt;"","N",IF(LEFT(B77,10)="Arsenal v ","H","A"))</f>
        <v>H</v>
      </c>
      <c r="J77" s="2"/>
    </row>
    <row r="78" customFormat="false" ht="15" hidden="false" customHeight="false" outlineLevel="0" collapsed="false">
      <c r="A78" s="3" t="n">
        <v>32904</v>
      </c>
      <c r="B78" s="2" t="s">
        <v>524</v>
      </c>
      <c r="C78" s="2" t="s">
        <v>704</v>
      </c>
      <c r="D78" s="2" t="s">
        <v>351</v>
      </c>
      <c r="E78" s="2" t="s">
        <v>362</v>
      </c>
      <c r="F78" s="2"/>
      <c r="G78" s="2" t="s">
        <v>240</v>
      </c>
      <c r="H78" s="2" t="str">
        <f aca="false">IF(LEFT(B78,10)="Arsenal v ",MID(B78,11,100),LEFT(B78,FIND(" v ",B78)-1))</f>
        <v>Queens Park Rangers</v>
      </c>
      <c r="I78" s="2" t="str">
        <f aca="false">IF(F78&lt;&gt;"","N",IF(LEFT(B78,10)="Arsenal v ","H","A"))</f>
        <v>A</v>
      </c>
      <c r="J78" s="2"/>
    </row>
    <row r="79" customFormat="false" ht="15" hidden="false" customHeight="false" outlineLevel="0" collapsed="false">
      <c r="A79" s="3" t="n">
        <v>32921</v>
      </c>
      <c r="B79" s="2" t="s">
        <v>543</v>
      </c>
      <c r="C79" s="2" t="s">
        <v>704</v>
      </c>
      <c r="D79" s="2" t="s">
        <v>348</v>
      </c>
      <c r="E79" s="2" t="s">
        <v>375</v>
      </c>
      <c r="F79" s="2"/>
      <c r="G79" s="2" t="s">
        <v>240</v>
      </c>
      <c r="H79" s="2" t="str">
        <f aca="false">IF(LEFT(B79,10)="Arsenal v ",MID(B79,11,100),LEFT(B79,FIND(" v ",B79)-1))</f>
        <v>Sheffield Wednesday</v>
      </c>
      <c r="I79" s="2" t="str">
        <f aca="false">IF(F79&lt;&gt;"","N",IF(LEFT(B79,10)="Arsenal v ","H","A"))</f>
        <v>A</v>
      </c>
      <c r="J79" s="2"/>
    </row>
    <row r="80" customFormat="false" ht="15" hidden="false" customHeight="false" outlineLevel="0" collapsed="false">
      <c r="A80" s="3" t="n">
        <v>32931</v>
      </c>
      <c r="B80" s="2" t="s">
        <v>425</v>
      </c>
      <c r="C80" s="2" t="s">
        <v>706</v>
      </c>
      <c r="D80" s="2" t="s">
        <v>369</v>
      </c>
      <c r="E80" s="2" t="s">
        <v>375</v>
      </c>
      <c r="F80" s="2"/>
      <c r="G80" s="2" t="s">
        <v>240</v>
      </c>
      <c r="H80" s="2" t="str">
        <f aca="false">IF(LEFT(B80,10)="Arsenal v ",MID(B80,11,100),LEFT(B80,FIND(" v ",B80)-1))</f>
        <v>Charlton Athletic</v>
      </c>
      <c r="I80" s="2" t="str">
        <f aca="false">IF(F80&lt;&gt;"","N",IF(LEFT(B80,10)="Arsenal v ","H","A"))</f>
        <v>A</v>
      </c>
      <c r="J80" s="2"/>
    </row>
    <row r="81" customFormat="false" ht="15" hidden="false" customHeight="false" outlineLevel="0" collapsed="false">
      <c r="A81" s="3" t="n">
        <v>32935</v>
      </c>
      <c r="B81" s="2" t="s">
        <v>524</v>
      </c>
      <c r="C81" s="2" t="s">
        <v>704</v>
      </c>
      <c r="D81" s="2" t="s">
        <v>351</v>
      </c>
      <c r="E81" s="2" t="s">
        <v>375</v>
      </c>
      <c r="F81" s="2"/>
      <c r="G81" s="2" t="s">
        <v>240</v>
      </c>
      <c r="H81" s="2" t="str">
        <f aca="false">IF(LEFT(B81,10)="Arsenal v ",MID(B81,11,100),LEFT(B81,FIND(" v ",B81)-1))</f>
        <v>Queens Park Rangers</v>
      </c>
      <c r="I81" s="2" t="str">
        <f aca="false">IF(F81&lt;&gt;"","N",IF(LEFT(B81,10)="Arsenal v ","H","A"))</f>
        <v>A</v>
      </c>
      <c r="J81" s="2"/>
    </row>
    <row r="82" customFormat="false" ht="15" hidden="false" customHeight="false" outlineLevel="0" collapsed="false">
      <c r="A82" s="3" t="n">
        <v>32939</v>
      </c>
      <c r="B82" s="2" t="s">
        <v>716</v>
      </c>
      <c r="C82" s="2" t="s">
        <v>702</v>
      </c>
      <c r="D82" s="2" t="s">
        <v>434</v>
      </c>
      <c r="E82" s="2" t="s">
        <v>375</v>
      </c>
      <c r="F82" s="2"/>
      <c r="G82" s="2" t="s">
        <v>240</v>
      </c>
      <c r="H82" s="2" t="str">
        <f aca="false">IF(LEFT(B82,10)="Arsenal v ",MID(B82,11,100),LEFT(B82,FIND(" v ",B82)-1))</f>
        <v>Nottingham Forest</v>
      </c>
      <c r="I82" s="2" t="str">
        <f aca="false">IF(F82&lt;&gt;"","N",IF(LEFT(B82,10)="Arsenal v ","H","A"))</f>
        <v>H</v>
      </c>
      <c r="J82" s="2"/>
    </row>
    <row r="83" customFormat="false" ht="15" hidden="false" customHeight="false" outlineLevel="0" collapsed="false">
      <c r="A83" s="3" t="n">
        <v>32942</v>
      </c>
      <c r="B83" s="2" t="s">
        <v>487</v>
      </c>
      <c r="C83" s="2" t="s">
        <v>706</v>
      </c>
      <c r="D83" s="2" t="s">
        <v>361</v>
      </c>
      <c r="E83" s="2" t="s">
        <v>375</v>
      </c>
      <c r="F83" s="2"/>
      <c r="G83" s="2" t="s">
        <v>240</v>
      </c>
      <c r="H83" s="2" t="str">
        <f aca="false">IF(LEFT(B83,10)="Arsenal v ",MID(B83,11,100),LEFT(B83,FIND(" v ",B83)-1))</f>
        <v>Manchester City</v>
      </c>
      <c r="I83" s="2" t="str">
        <f aca="false">IF(F83&lt;&gt;"","N",IF(LEFT(B83,10)="Arsenal v ","H","A"))</f>
        <v>A</v>
      </c>
      <c r="J83" s="2"/>
    </row>
    <row r="84" customFormat="false" ht="15" hidden="false" customHeight="false" outlineLevel="0" collapsed="false">
      <c r="A84" s="3" t="n">
        <v>32949</v>
      </c>
      <c r="B84" s="2" t="s">
        <v>725</v>
      </c>
      <c r="C84" s="2" t="s">
        <v>704</v>
      </c>
      <c r="D84" s="2" t="s">
        <v>383</v>
      </c>
      <c r="E84" s="2" t="s">
        <v>375</v>
      </c>
      <c r="F84" s="2"/>
      <c r="G84" s="2" t="s">
        <v>240</v>
      </c>
      <c r="H84" s="2" t="str">
        <f aca="false">IF(LEFT(B84,10)="Arsenal v ",MID(B84,11,100),LEFT(B84,FIND(" v ",B84)-1))</f>
        <v>Chelsea</v>
      </c>
      <c r="I84" s="2" t="str">
        <f aca="false">IF(F84&lt;&gt;"","N",IF(LEFT(B84,10)="Arsenal v ","H","A"))</f>
        <v>H</v>
      </c>
      <c r="J84" s="2"/>
    </row>
    <row r="85" customFormat="false" ht="15" hidden="false" customHeight="false" outlineLevel="0" collapsed="false">
      <c r="A85" s="3" t="n">
        <v>32956</v>
      </c>
      <c r="B85" s="2" t="s">
        <v>440</v>
      </c>
      <c r="C85" s="2" t="s">
        <v>702</v>
      </c>
      <c r="D85" s="2" t="s">
        <v>373</v>
      </c>
      <c r="E85" s="2" t="s">
        <v>375</v>
      </c>
      <c r="F85" s="2"/>
      <c r="G85" s="2" t="s">
        <v>240</v>
      </c>
      <c r="H85" s="2" t="str">
        <f aca="false">IF(LEFT(B85,10)="Arsenal v ",MID(B85,11,100),LEFT(B85,FIND(" v ",B85)-1))</f>
        <v>Derby County</v>
      </c>
      <c r="I85" s="2" t="str">
        <f aca="false">IF(F85&lt;&gt;"","N",IF(LEFT(B85,10)="Arsenal v ","H","A"))</f>
        <v>A</v>
      </c>
      <c r="J85" s="2"/>
    </row>
    <row r="86" customFormat="false" ht="15" hidden="false" customHeight="false" outlineLevel="0" collapsed="false">
      <c r="A86" s="3" t="n">
        <v>32963</v>
      </c>
      <c r="B86" s="2" t="s">
        <v>718</v>
      </c>
      <c r="C86" s="2" t="s">
        <v>702</v>
      </c>
      <c r="D86" s="2" t="s">
        <v>348</v>
      </c>
      <c r="E86" s="2" t="s">
        <v>375</v>
      </c>
      <c r="F86" s="2"/>
      <c r="G86" s="2" t="s">
        <v>240</v>
      </c>
      <c r="H86" s="2" t="str">
        <f aca="false">IF(LEFT(B86,10)="Arsenal v ",MID(B86,11,100),LEFT(B86,FIND(" v ",B86)-1))</f>
        <v>Everton</v>
      </c>
      <c r="I86" s="2" t="str">
        <f aca="false">IF(F86&lt;&gt;"","N",IF(LEFT(B86,10)="Arsenal v ","H","A"))</f>
        <v>H</v>
      </c>
      <c r="J86" s="2"/>
    </row>
    <row r="87" customFormat="false" ht="15" hidden="false" customHeight="false" outlineLevel="0" collapsed="false">
      <c r="A87" s="3" t="n">
        <v>32974</v>
      </c>
      <c r="B87" s="2" t="s">
        <v>703</v>
      </c>
      <c r="C87" s="2" t="s">
        <v>704</v>
      </c>
      <c r="D87" s="2" t="s">
        <v>383</v>
      </c>
      <c r="E87" s="2" t="s">
        <v>375</v>
      </c>
      <c r="F87" s="2"/>
      <c r="G87" s="2" t="s">
        <v>240</v>
      </c>
      <c r="H87" s="2" t="str">
        <f aca="false">IF(LEFT(B87,10)="Arsenal v ",MID(B87,11,100),LEFT(B87,FIND(" v ",B87)-1))</f>
        <v>Aston Villa</v>
      </c>
      <c r="I87" s="2" t="str">
        <f aca="false">IF(F87&lt;&gt;"","N",IF(LEFT(B87,10)="Arsenal v ","H","A"))</f>
        <v>H</v>
      </c>
      <c r="J87" s="2"/>
    </row>
    <row r="88" customFormat="false" ht="15" hidden="false" customHeight="false" outlineLevel="0" collapsed="false">
      <c r="A88" s="3" t="n">
        <v>32977</v>
      </c>
      <c r="B88" s="2" t="s">
        <v>433</v>
      </c>
      <c r="C88" s="2" t="s">
        <v>706</v>
      </c>
      <c r="D88" s="2" t="s">
        <v>361</v>
      </c>
      <c r="E88" s="2" t="s">
        <v>375</v>
      </c>
      <c r="F88" s="2"/>
      <c r="G88" s="2" t="s">
        <v>240</v>
      </c>
      <c r="H88" s="2" t="str">
        <f aca="false">IF(LEFT(B88,10)="Arsenal v ",MID(B88,11,100),LEFT(B88,FIND(" v ",B88)-1))</f>
        <v>Crystal Palace</v>
      </c>
      <c r="I88" s="2" t="str">
        <f aca="false">IF(F88&lt;&gt;"","N",IF(LEFT(B88,10)="Arsenal v ","H","A"))</f>
        <v>A</v>
      </c>
      <c r="J88" s="2"/>
    </row>
    <row r="89" customFormat="false" ht="15" hidden="false" customHeight="false" outlineLevel="0" collapsed="false">
      <c r="A89" s="3" t="n">
        <v>32981</v>
      </c>
      <c r="B89" s="2" t="s">
        <v>710</v>
      </c>
      <c r="C89" s="2" t="s">
        <v>706</v>
      </c>
      <c r="D89" s="2" t="s">
        <v>361</v>
      </c>
      <c r="E89" s="2" t="s">
        <v>375</v>
      </c>
      <c r="F89" s="2"/>
      <c r="G89" s="2" t="s">
        <v>240</v>
      </c>
      <c r="H89" s="2" t="str">
        <f aca="false">IF(LEFT(B89,10)="Arsenal v ",MID(B89,11,100),LEFT(B89,FIND(" v ",B89)-1))</f>
        <v>Liverpool</v>
      </c>
      <c r="I89" s="2" t="str">
        <f aca="false">IF(F89&lt;&gt;"","N",IF(LEFT(B89,10)="Arsenal v ","H","A"))</f>
        <v>H</v>
      </c>
      <c r="J89" s="2"/>
    </row>
    <row r="90" customFormat="false" ht="15" hidden="false" customHeight="false" outlineLevel="0" collapsed="false">
      <c r="A90" s="3" t="n">
        <v>32984</v>
      </c>
      <c r="B90" s="2" t="s">
        <v>485</v>
      </c>
      <c r="C90" s="2" t="s">
        <v>704</v>
      </c>
      <c r="D90" s="2" t="s">
        <v>351</v>
      </c>
      <c r="E90" s="2" t="s">
        <v>375</v>
      </c>
      <c r="F90" s="2"/>
      <c r="G90" s="2" t="s">
        <v>240</v>
      </c>
      <c r="H90" s="2" t="str">
        <f aca="false">IF(LEFT(B90,10)="Arsenal v ",MID(B90,11,100),LEFT(B90,FIND(" v ",B90)-1))</f>
        <v>Luton Town</v>
      </c>
      <c r="I90" s="2" t="str">
        <f aca="false">IF(F90&lt;&gt;"","N",IF(LEFT(B90,10)="Arsenal v ","H","A"))</f>
        <v>A</v>
      </c>
      <c r="J90" s="2"/>
    </row>
    <row r="91" customFormat="false" ht="15" hidden="false" customHeight="false" outlineLevel="0" collapsed="false">
      <c r="A91" s="3" t="n">
        <v>32991</v>
      </c>
      <c r="B91" s="2" t="s">
        <v>715</v>
      </c>
      <c r="C91" s="2" t="s">
        <v>702</v>
      </c>
      <c r="D91" s="2" t="s">
        <v>351</v>
      </c>
      <c r="E91" s="2" t="s">
        <v>375</v>
      </c>
      <c r="F91" s="2"/>
      <c r="G91" s="2" t="s">
        <v>240</v>
      </c>
      <c r="H91" s="2" t="str">
        <f aca="false">IF(LEFT(B91,10)="Arsenal v ",MID(B91,11,100),LEFT(B91,FIND(" v ",B91)-1))</f>
        <v>Millwall</v>
      </c>
      <c r="I91" s="2" t="str">
        <f aca="false">IF(F91&lt;&gt;"","N",IF(LEFT(B91,10)="Arsenal v ","H","A"))</f>
        <v>H</v>
      </c>
      <c r="J91" s="2"/>
    </row>
    <row r="92" customFormat="false" ht="15" hidden="false" customHeight="false" outlineLevel="0" collapsed="false">
      <c r="A92" s="3" t="n">
        <v>32995</v>
      </c>
      <c r="B92" s="2" t="s">
        <v>705</v>
      </c>
      <c r="C92" s="2" t="s">
        <v>702</v>
      </c>
      <c r="D92" s="2" t="s">
        <v>359</v>
      </c>
      <c r="E92" s="2" t="s">
        <v>375</v>
      </c>
      <c r="F92" s="2"/>
      <c r="G92" s="2" t="s">
        <v>240</v>
      </c>
      <c r="H92" s="2" t="str">
        <f aca="false">IF(LEFT(B92,10)="Arsenal v ",MID(B92,11,100),LEFT(B92,FIND(" v ",B92)-1))</f>
        <v>Southampton</v>
      </c>
      <c r="I92" s="2" t="str">
        <f aca="false">IF(F92&lt;&gt;"","N",IF(LEFT(B92,10)="Arsenal v ","H","A"))</f>
        <v>H</v>
      </c>
      <c r="J92" s="2"/>
    </row>
    <row r="93" customFormat="false" ht="15" hidden="false" customHeight="false" outlineLevel="0" collapsed="false">
      <c r="A93" s="3" t="n">
        <v>32998</v>
      </c>
      <c r="B93" s="2" t="s">
        <v>502</v>
      </c>
      <c r="C93" s="2" t="s">
        <v>706</v>
      </c>
      <c r="D93" s="2" t="s">
        <v>380</v>
      </c>
      <c r="E93" s="2" t="s">
        <v>375</v>
      </c>
      <c r="F93" s="2"/>
      <c r="G93" s="2" t="s">
        <v>240</v>
      </c>
      <c r="H93" s="2" t="str">
        <f aca="false">IF(LEFT(B93,10)="Arsenal v ",MID(B93,11,100),LEFT(B93,FIND(" v ",B93)-1))</f>
        <v>Norwich City</v>
      </c>
      <c r="I93" s="2" t="str">
        <f aca="false">IF(F93&lt;&gt;"","N",IF(LEFT(B93,10)="Arsenal v ","H","A"))</f>
        <v>A</v>
      </c>
      <c r="J93" s="2"/>
    </row>
    <row r="94" customFormat="false" ht="15" hidden="false" customHeight="false" outlineLevel="0" collapsed="false">
      <c r="A94" s="3" t="n">
        <v>33110</v>
      </c>
      <c r="B94" s="2" t="s">
        <v>574</v>
      </c>
      <c r="C94" s="2" t="s">
        <v>702</v>
      </c>
      <c r="D94" s="2" t="s">
        <v>363</v>
      </c>
      <c r="E94" s="2" t="s">
        <v>375</v>
      </c>
      <c r="F94" s="2"/>
      <c r="G94" s="2" t="s">
        <v>99</v>
      </c>
      <c r="H94" s="2" t="str">
        <f aca="false">IF(LEFT(B94,10)="Arsenal v ",MID(B94,11,100),LEFT(B94,FIND(" v ",B94)-1))</f>
        <v>Wimbledon</v>
      </c>
      <c r="I94" s="2" t="str">
        <f aca="false">IF(F94&lt;&gt;"","N",IF(LEFT(B94,10)="Arsenal v ","H","A"))</f>
        <v>A</v>
      </c>
      <c r="J94" s="2"/>
    </row>
    <row r="95" customFormat="false" ht="15" hidden="false" customHeight="false" outlineLevel="0" collapsed="false">
      <c r="A95" s="3" t="n">
        <v>33114</v>
      </c>
      <c r="B95" s="2" t="s">
        <v>714</v>
      </c>
      <c r="C95" s="2" t="s">
        <v>702</v>
      </c>
      <c r="D95" s="2" t="s">
        <v>359</v>
      </c>
      <c r="E95" s="2" t="s">
        <v>375</v>
      </c>
      <c r="F95" s="2"/>
      <c r="G95" s="2" t="s">
        <v>99</v>
      </c>
      <c r="H95" s="2" t="str">
        <f aca="false">IF(LEFT(B95,10)="Arsenal v ",MID(B95,11,100),LEFT(B95,FIND(" v ",B95)-1))</f>
        <v>Luton Town</v>
      </c>
      <c r="I95" s="2" t="str">
        <f aca="false">IF(F95&lt;&gt;"","N",IF(LEFT(B95,10)="Arsenal v ","H","A"))</f>
        <v>H</v>
      </c>
      <c r="J95" s="2"/>
    </row>
    <row r="96" customFormat="false" ht="15" hidden="false" customHeight="false" outlineLevel="0" collapsed="false">
      <c r="A96" s="3" t="n">
        <v>33117</v>
      </c>
      <c r="B96" s="2" t="s">
        <v>655</v>
      </c>
      <c r="C96" s="2" t="s">
        <v>706</v>
      </c>
      <c r="D96" s="2" t="s">
        <v>369</v>
      </c>
      <c r="E96" s="2" t="s">
        <v>375</v>
      </c>
      <c r="F96" s="2"/>
      <c r="G96" s="2" t="s">
        <v>99</v>
      </c>
      <c r="H96" s="2" t="str">
        <f aca="false">IF(LEFT(B96,10)="Arsenal v ",MID(B96,11,100),LEFT(B96,FIND(" v ",B96)-1))</f>
        <v>Tottenham Hotspur</v>
      </c>
      <c r="I96" s="2" t="str">
        <f aca="false">IF(F96&lt;&gt;"","N",IF(LEFT(B96,10)="Arsenal v ","H","A"))</f>
        <v>H</v>
      </c>
      <c r="J96" s="2"/>
    </row>
    <row r="97" customFormat="false" ht="15" hidden="false" customHeight="false" outlineLevel="0" collapsed="false">
      <c r="A97" s="3" t="n">
        <v>33124</v>
      </c>
      <c r="B97" s="2" t="s">
        <v>448</v>
      </c>
      <c r="C97" s="2" t="s">
        <v>706</v>
      </c>
      <c r="D97" s="2" t="s">
        <v>361</v>
      </c>
      <c r="E97" s="2" t="s">
        <v>375</v>
      </c>
      <c r="F97" s="2"/>
      <c r="G97" s="2" t="s">
        <v>99</v>
      </c>
      <c r="H97" s="2" t="str">
        <f aca="false">IF(LEFT(B97,10)="Arsenal v ",MID(B97,11,100),LEFT(B97,FIND(" v ",B97)-1))</f>
        <v>Everton</v>
      </c>
      <c r="I97" s="2" t="str">
        <f aca="false">IF(F97&lt;&gt;"","N",IF(LEFT(B97,10)="Arsenal v ","H","A"))</f>
        <v>A</v>
      </c>
      <c r="J97" s="2"/>
    </row>
    <row r="98" customFormat="false" ht="15" hidden="false" customHeight="false" outlineLevel="0" collapsed="false">
      <c r="A98" s="3" t="n">
        <v>33131</v>
      </c>
      <c r="B98" s="2" t="s">
        <v>725</v>
      </c>
      <c r="C98" s="2" t="s">
        <v>702</v>
      </c>
      <c r="D98" s="2" t="s">
        <v>397</v>
      </c>
      <c r="E98" s="2" t="s">
        <v>375</v>
      </c>
      <c r="F98" s="2"/>
      <c r="G98" s="2" t="s">
        <v>99</v>
      </c>
      <c r="H98" s="2" t="str">
        <f aca="false">IF(LEFT(B98,10)="Arsenal v ",MID(B98,11,100),LEFT(B98,FIND(" v ",B98)-1))</f>
        <v>Chelsea</v>
      </c>
      <c r="I98" s="2" t="str">
        <f aca="false">IF(F98&lt;&gt;"","N",IF(LEFT(B98,10)="Arsenal v ","H","A"))</f>
        <v>H</v>
      </c>
      <c r="J98" s="2"/>
    </row>
    <row r="99" customFormat="false" ht="15" hidden="false" customHeight="false" outlineLevel="0" collapsed="false">
      <c r="A99" s="3" t="n">
        <v>33138</v>
      </c>
      <c r="B99" s="2" t="s">
        <v>503</v>
      </c>
      <c r="C99" s="2" t="s">
        <v>702</v>
      </c>
      <c r="D99" s="2" t="s">
        <v>353</v>
      </c>
      <c r="E99" s="2" t="s">
        <v>375</v>
      </c>
      <c r="F99" s="2"/>
      <c r="G99" s="2" t="s">
        <v>99</v>
      </c>
      <c r="H99" s="2" t="str">
        <f aca="false">IF(LEFT(B99,10)="Arsenal v ",MID(B99,11,100),LEFT(B99,FIND(" v ",B99)-1))</f>
        <v>Nottingham Forest</v>
      </c>
      <c r="I99" s="2" t="str">
        <f aca="false">IF(F99&lt;&gt;"","N",IF(LEFT(B99,10)="Arsenal v ","H","A"))</f>
        <v>A</v>
      </c>
      <c r="J99" s="2"/>
    </row>
    <row r="100" customFormat="false" ht="15" hidden="false" customHeight="false" outlineLevel="0" collapsed="false">
      <c r="A100" s="3" t="n">
        <v>33141</v>
      </c>
      <c r="B100" s="2" t="s">
        <v>429</v>
      </c>
      <c r="C100" s="2" t="s">
        <v>702</v>
      </c>
      <c r="D100" s="2" t="s">
        <v>383</v>
      </c>
      <c r="E100" s="2" t="s">
        <v>379</v>
      </c>
      <c r="F100" s="2"/>
      <c r="G100" s="2" t="s">
        <v>99</v>
      </c>
      <c r="H100" s="2" t="str">
        <f aca="false">IF(LEFT(B100,10)="Arsenal v ",MID(B100,11,100),LEFT(B100,FIND(" v ",B100)-1))</f>
        <v>Chester City</v>
      </c>
      <c r="I100" s="2" t="str">
        <f aca="false">IF(F100&lt;&gt;"","N",IF(LEFT(B100,10)="Arsenal v ","H","A"))</f>
        <v>A</v>
      </c>
      <c r="J100" s="2"/>
    </row>
    <row r="101" customFormat="false" ht="15" hidden="false" customHeight="false" outlineLevel="0" collapsed="false">
      <c r="A101" s="3" t="n">
        <v>33145</v>
      </c>
      <c r="B101" s="2" t="s">
        <v>473</v>
      </c>
      <c r="C101" s="2" t="s">
        <v>706</v>
      </c>
      <c r="D101" s="2" t="s">
        <v>380</v>
      </c>
      <c r="E101" s="2" t="s">
        <v>375</v>
      </c>
      <c r="F101" s="2"/>
      <c r="G101" s="2" t="s">
        <v>99</v>
      </c>
      <c r="H101" s="2" t="str">
        <f aca="false">IF(LEFT(B101,10)="Arsenal v ",MID(B101,11,100),LEFT(B101,FIND(" v ",B101)-1))</f>
        <v>Leeds United</v>
      </c>
      <c r="I101" s="2" t="str">
        <f aca="false">IF(F101&lt;&gt;"","N",IF(LEFT(B101,10)="Arsenal v ","H","A"))</f>
        <v>A</v>
      </c>
      <c r="J101" s="2"/>
    </row>
    <row r="102" customFormat="false" ht="15" hidden="false" customHeight="false" outlineLevel="0" collapsed="false">
      <c r="A102" s="3" t="n">
        <v>33152</v>
      </c>
      <c r="B102" s="2" t="s">
        <v>720</v>
      </c>
      <c r="C102" s="2" t="s">
        <v>702</v>
      </c>
      <c r="D102" s="2" t="s">
        <v>351</v>
      </c>
      <c r="E102" s="2" t="s">
        <v>375</v>
      </c>
      <c r="F102" s="2"/>
      <c r="G102" s="2" t="s">
        <v>99</v>
      </c>
      <c r="H102" s="2" t="str">
        <f aca="false">IF(LEFT(B102,10)="Arsenal v ",MID(B102,11,100),LEFT(B102,FIND(" v ",B102)-1))</f>
        <v>Norwich City</v>
      </c>
      <c r="I102" s="2" t="str">
        <f aca="false">IF(F102&lt;&gt;"","N",IF(LEFT(B102,10)="Arsenal v ","H","A"))</f>
        <v>H</v>
      </c>
      <c r="J102" s="2"/>
    </row>
    <row r="103" customFormat="false" ht="15" hidden="false" customHeight="false" outlineLevel="0" collapsed="false">
      <c r="A103" s="3" t="n">
        <v>33155</v>
      </c>
      <c r="B103" s="2" t="s">
        <v>726</v>
      </c>
      <c r="C103" s="2" t="s">
        <v>702</v>
      </c>
      <c r="D103" s="2" t="s">
        <v>489</v>
      </c>
      <c r="E103" s="2" t="s">
        <v>379</v>
      </c>
      <c r="F103" s="2"/>
      <c r="G103" s="2" t="s">
        <v>99</v>
      </c>
      <c r="H103" s="2" t="str">
        <f aca="false">IF(LEFT(B103,10)="Arsenal v ",MID(B103,11,100),LEFT(B103,FIND(" v ",B103)-1))</f>
        <v>Chester City</v>
      </c>
      <c r="I103" s="2" t="str">
        <f aca="false">IF(F103&lt;&gt;"","N",IF(LEFT(B103,10)="Arsenal v ","H","A"))</f>
        <v>H</v>
      </c>
      <c r="J103" s="2"/>
    </row>
    <row r="104" customFormat="false" ht="15" hidden="false" customHeight="false" outlineLevel="0" collapsed="false">
      <c r="A104" s="3" t="n">
        <v>33166</v>
      </c>
      <c r="B104" s="2" t="s">
        <v>490</v>
      </c>
      <c r="C104" s="2" t="s">
        <v>702</v>
      </c>
      <c r="D104" s="2" t="s">
        <v>383</v>
      </c>
      <c r="E104" s="2" t="s">
        <v>375</v>
      </c>
      <c r="F104" s="2"/>
      <c r="G104" s="2" t="s">
        <v>99</v>
      </c>
      <c r="H104" s="2" t="str">
        <f aca="false">IF(LEFT(B104,10)="Arsenal v ",MID(B104,11,100),LEFT(B104,FIND(" v ",B104)-1))</f>
        <v>Manchester United</v>
      </c>
      <c r="I104" s="2" t="str">
        <f aca="false">IF(F104&lt;&gt;"","N",IF(LEFT(B104,10)="Arsenal v ","H","A"))</f>
        <v>A</v>
      </c>
      <c r="J104" s="2"/>
    </row>
    <row r="105" customFormat="false" ht="15" hidden="false" customHeight="false" outlineLevel="0" collapsed="false">
      <c r="A105" s="3" t="n">
        <v>33173</v>
      </c>
      <c r="B105" s="2" t="s">
        <v>727</v>
      </c>
      <c r="C105" s="2" t="s">
        <v>702</v>
      </c>
      <c r="D105" s="2" t="s">
        <v>348</v>
      </c>
      <c r="E105" s="2" t="s">
        <v>375</v>
      </c>
      <c r="F105" s="2"/>
      <c r="G105" s="2" t="s">
        <v>99</v>
      </c>
      <c r="H105" s="2" t="str">
        <f aca="false">IF(LEFT(B105,10)="Arsenal v ",MID(B105,11,100),LEFT(B105,FIND(" v ",B105)-1))</f>
        <v>Sunderland</v>
      </c>
      <c r="I105" s="2" t="str">
        <f aca="false">IF(F105&lt;&gt;"","N",IF(LEFT(B105,10)="Arsenal v ","H","A"))</f>
        <v>H</v>
      </c>
      <c r="J105" s="2"/>
    </row>
    <row r="106" customFormat="false" ht="15" hidden="false" customHeight="false" outlineLevel="0" collapsed="false">
      <c r="A106" s="3" t="n">
        <v>33176</v>
      </c>
      <c r="B106" s="2" t="s">
        <v>487</v>
      </c>
      <c r="C106" s="2" t="s">
        <v>702</v>
      </c>
      <c r="D106" s="2" t="s">
        <v>360</v>
      </c>
      <c r="E106" s="2" t="s">
        <v>379</v>
      </c>
      <c r="F106" s="2"/>
      <c r="G106" s="2" t="s">
        <v>99</v>
      </c>
      <c r="H106" s="2" t="str">
        <f aca="false">IF(LEFT(B106,10)="Arsenal v ",MID(B106,11,100),LEFT(B106,FIND(" v ",B106)-1))</f>
        <v>Manchester City</v>
      </c>
      <c r="I106" s="2" t="str">
        <f aca="false">IF(F106&lt;&gt;"","N",IF(LEFT(B106,10)="Arsenal v ","H","A"))</f>
        <v>A</v>
      </c>
      <c r="J106" s="2"/>
    </row>
    <row r="107" customFormat="false" ht="15" hidden="false" customHeight="false" outlineLevel="0" collapsed="false">
      <c r="A107" s="3" t="n">
        <v>33180</v>
      </c>
      <c r="B107" s="2" t="s">
        <v>431</v>
      </c>
      <c r="C107" s="2" t="s">
        <v>702</v>
      </c>
      <c r="D107" s="2" t="s">
        <v>353</v>
      </c>
      <c r="E107" s="2" t="s">
        <v>375</v>
      </c>
      <c r="F107" s="2"/>
      <c r="G107" s="2" t="s">
        <v>99</v>
      </c>
      <c r="H107" s="2" t="str">
        <f aca="false">IF(LEFT(B107,10)="Arsenal v ",MID(B107,11,100),LEFT(B107,FIND(" v ",B107)-1))</f>
        <v>Coventry City</v>
      </c>
      <c r="I107" s="2" t="str">
        <f aca="false">IF(F107&lt;&gt;"","N",IF(LEFT(B107,10)="Arsenal v ","H","A"))</f>
        <v>A</v>
      </c>
      <c r="J107" s="2"/>
    </row>
    <row r="108" customFormat="false" ht="15" hidden="false" customHeight="false" outlineLevel="0" collapsed="false">
      <c r="A108" s="3" t="n">
        <v>33187</v>
      </c>
      <c r="B108" s="2" t="s">
        <v>433</v>
      </c>
      <c r="C108" s="2" t="s">
        <v>706</v>
      </c>
      <c r="D108" s="2" t="s">
        <v>369</v>
      </c>
      <c r="E108" s="2" t="s">
        <v>375</v>
      </c>
      <c r="F108" s="2"/>
      <c r="G108" s="2" t="s">
        <v>99</v>
      </c>
      <c r="H108" s="2" t="str">
        <f aca="false">IF(LEFT(B108,10)="Arsenal v ",MID(B108,11,100),LEFT(B108,FIND(" v ",B108)-1))</f>
        <v>Crystal Palace</v>
      </c>
      <c r="I108" s="2" t="str">
        <f aca="false">IF(F108&lt;&gt;"","N",IF(LEFT(B108,10)="Arsenal v ","H","A"))</f>
        <v>A</v>
      </c>
      <c r="J108" s="2"/>
    </row>
    <row r="109" customFormat="false" ht="15" hidden="false" customHeight="false" outlineLevel="0" collapsed="false">
      <c r="A109" s="3" t="n">
        <v>33194</v>
      </c>
      <c r="B109" s="2" t="s">
        <v>705</v>
      </c>
      <c r="C109" s="2" t="s">
        <v>702</v>
      </c>
      <c r="D109" s="2" t="s">
        <v>354</v>
      </c>
      <c r="E109" s="2" t="s">
        <v>375</v>
      </c>
      <c r="F109" s="2"/>
      <c r="G109" s="2" t="s">
        <v>99</v>
      </c>
      <c r="H109" s="2" t="str">
        <f aca="false">IF(LEFT(B109,10)="Arsenal v ",MID(B109,11,100),LEFT(B109,FIND(" v ",B109)-1))</f>
        <v>Southampton</v>
      </c>
      <c r="I109" s="2" t="str">
        <f aca="false">IF(F109&lt;&gt;"","N",IF(LEFT(B109,10)="Arsenal v ","H","A"))</f>
        <v>H</v>
      </c>
      <c r="J109" s="2"/>
    </row>
    <row r="110" customFormat="false" ht="15" hidden="false" customHeight="false" outlineLevel="0" collapsed="false">
      <c r="A110" s="3" t="n">
        <v>33201</v>
      </c>
      <c r="B110" s="2" t="s">
        <v>524</v>
      </c>
      <c r="C110" s="2" t="s">
        <v>702</v>
      </c>
      <c r="D110" s="2" t="s">
        <v>373</v>
      </c>
      <c r="E110" s="2" t="s">
        <v>375</v>
      </c>
      <c r="F110" s="2"/>
      <c r="G110" s="2" t="s">
        <v>99</v>
      </c>
      <c r="H110" s="2" t="str">
        <f aca="false">IF(LEFT(B110,10)="Arsenal v ",MID(B110,11,100),LEFT(B110,FIND(" v ",B110)-1))</f>
        <v>Queens Park Rangers</v>
      </c>
      <c r="I110" s="2" t="str">
        <f aca="false">IF(F110&lt;&gt;"","N",IF(LEFT(B110,10)="Arsenal v ","H","A"))</f>
        <v>A</v>
      </c>
      <c r="J110" s="2"/>
    </row>
    <row r="111" customFormat="false" ht="15" hidden="false" customHeight="false" outlineLevel="0" collapsed="false">
      <c r="A111" s="3" t="n">
        <v>33205</v>
      </c>
      <c r="B111" s="2" t="s">
        <v>656</v>
      </c>
      <c r="C111" s="2" t="s">
        <v>704</v>
      </c>
      <c r="D111" s="2" t="s">
        <v>441</v>
      </c>
      <c r="E111" s="2" t="s">
        <v>379</v>
      </c>
      <c r="F111" s="2"/>
      <c r="G111" s="2" t="s">
        <v>99</v>
      </c>
      <c r="H111" s="2" t="str">
        <f aca="false">IF(LEFT(B111,10)="Arsenal v ",MID(B111,11,100),LEFT(B111,FIND(" v ",B111)-1))</f>
        <v>Manchester United</v>
      </c>
      <c r="I111" s="2" t="str">
        <f aca="false">IF(F111&lt;&gt;"","N",IF(LEFT(B111,10)="Arsenal v ","H","A"))</f>
        <v>H</v>
      </c>
      <c r="J111" s="2"/>
    </row>
    <row r="112" customFormat="false" ht="15" hidden="false" customHeight="false" outlineLevel="0" collapsed="false">
      <c r="A112" s="3" t="n">
        <v>33209</v>
      </c>
      <c r="B112" s="2" t="s">
        <v>710</v>
      </c>
      <c r="C112" s="2" t="s">
        <v>702</v>
      </c>
      <c r="D112" s="2" t="s">
        <v>434</v>
      </c>
      <c r="E112" s="2" t="s">
        <v>375</v>
      </c>
      <c r="F112" s="2"/>
      <c r="G112" s="2" t="s">
        <v>99</v>
      </c>
      <c r="H112" s="2" t="str">
        <f aca="false">IF(LEFT(B112,10)="Arsenal v ",MID(B112,11,100),LEFT(B112,FIND(" v ",B112)-1))</f>
        <v>Liverpool</v>
      </c>
      <c r="I112" s="2" t="str">
        <f aca="false">IF(F112&lt;&gt;"","N",IF(LEFT(B112,10)="Arsenal v ","H","A"))</f>
        <v>H</v>
      </c>
      <c r="J112" s="2"/>
    </row>
    <row r="113" customFormat="false" ht="15" hidden="false" customHeight="false" outlineLevel="0" collapsed="false">
      <c r="A113" s="3" t="n">
        <v>33215</v>
      </c>
      <c r="B113" s="2" t="s">
        <v>485</v>
      </c>
      <c r="C113" s="2" t="s">
        <v>706</v>
      </c>
      <c r="D113" s="2" t="s">
        <v>361</v>
      </c>
      <c r="E113" s="2" t="s">
        <v>375</v>
      </c>
      <c r="F113" s="2"/>
      <c r="G113" s="2" t="s">
        <v>99</v>
      </c>
      <c r="H113" s="2" t="str">
        <f aca="false">IF(LEFT(B113,10)="Arsenal v ",MID(B113,11,100),LEFT(B113,FIND(" v ",B113)-1))</f>
        <v>Luton Town</v>
      </c>
      <c r="I113" s="2" t="str">
        <f aca="false">IF(F113&lt;&gt;"","N",IF(LEFT(B113,10)="Arsenal v ","H","A"))</f>
        <v>A</v>
      </c>
      <c r="J113" s="2"/>
    </row>
    <row r="114" customFormat="false" ht="15" hidden="false" customHeight="false" outlineLevel="0" collapsed="false">
      <c r="A114" s="3" t="n">
        <v>33222</v>
      </c>
      <c r="B114" s="2" t="s">
        <v>722</v>
      </c>
      <c r="C114" s="2" t="s">
        <v>706</v>
      </c>
      <c r="D114" s="2" t="s">
        <v>380</v>
      </c>
      <c r="E114" s="2" t="s">
        <v>375</v>
      </c>
      <c r="F114" s="2"/>
      <c r="G114" s="2" t="s">
        <v>99</v>
      </c>
      <c r="H114" s="2" t="str">
        <f aca="false">IF(LEFT(B114,10)="Arsenal v ",MID(B114,11,100),LEFT(B114,FIND(" v ",B114)-1))</f>
        <v>Wimbledon</v>
      </c>
      <c r="I114" s="2" t="str">
        <f aca="false">IF(F114&lt;&gt;"","N",IF(LEFT(B114,10)="Arsenal v ","H","A"))</f>
        <v>H</v>
      </c>
      <c r="J114" s="2"/>
    </row>
    <row r="115" customFormat="false" ht="15" hidden="false" customHeight="false" outlineLevel="0" collapsed="false">
      <c r="A115" s="3" t="n">
        <v>33230</v>
      </c>
      <c r="B115" s="2" t="s">
        <v>376</v>
      </c>
      <c r="C115" s="2" t="s">
        <v>706</v>
      </c>
      <c r="D115" s="2" t="s">
        <v>369</v>
      </c>
      <c r="E115" s="2" t="s">
        <v>375</v>
      </c>
      <c r="F115" s="2"/>
      <c r="G115" s="2" t="s">
        <v>99</v>
      </c>
      <c r="H115" s="2" t="str">
        <f aca="false">IF(LEFT(B115,10)="Arsenal v ",MID(B115,11,100),LEFT(B115,FIND(" v ",B115)-1))</f>
        <v>Aston Villa</v>
      </c>
      <c r="I115" s="2" t="str">
        <f aca="false">IF(F115&lt;&gt;"","N",IF(LEFT(B115,10)="Arsenal v ","H","A"))</f>
        <v>A</v>
      </c>
      <c r="J115" s="2"/>
    </row>
    <row r="116" customFormat="false" ht="15" hidden="false" customHeight="false" outlineLevel="0" collapsed="false">
      <c r="A116" s="3" t="n">
        <v>33233</v>
      </c>
      <c r="B116" s="2" t="s">
        <v>721</v>
      </c>
      <c r="C116" s="2" t="s">
        <v>702</v>
      </c>
      <c r="D116" s="2" t="s">
        <v>434</v>
      </c>
      <c r="E116" s="2" t="s">
        <v>375</v>
      </c>
      <c r="F116" s="2"/>
      <c r="G116" s="2" t="s">
        <v>99</v>
      </c>
      <c r="H116" s="2" t="str">
        <f aca="false">IF(LEFT(B116,10)="Arsenal v ",MID(B116,11,100),LEFT(B116,FIND(" v ",B116)-1))</f>
        <v>Derby County</v>
      </c>
      <c r="I116" s="2" t="str">
        <f aca="false">IF(F116&lt;&gt;"","N",IF(LEFT(B116,10)="Arsenal v ","H","A"))</f>
        <v>H</v>
      </c>
      <c r="J116" s="2"/>
    </row>
    <row r="117" customFormat="false" ht="15" hidden="false" customHeight="false" outlineLevel="0" collapsed="false">
      <c r="A117" s="3" t="n">
        <v>33236</v>
      </c>
      <c r="B117" s="2" t="s">
        <v>728</v>
      </c>
      <c r="C117" s="2" t="s">
        <v>702</v>
      </c>
      <c r="D117" s="2" t="s">
        <v>397</v>
      </c>
      <c r="E117" s="2" t="s">
        <v>375</v>
      </c>
      <c r="F117" s="2"/>
      <c r="G117" s="2" t="s">
        <v>99</v>
      </c>
      <c r="H117" s="2" t="str">
        <f aca="false">IF(LEFT(B117,10)="Arsenal v ",MID(B117,11,100),LEFT(B117,FIND(" v ",B117)-1))</f>
        <v>Sheffield United</v>
      </c>
      <c r="I117" s="2" t="str">
        <f aca="false">IF(F117&lt;&gt;"","N",IF(LEFT(B117,10)="Arsenal v ","H","A"))</f>
        <v>H</v>
      </c>
      <c r="J117" s="2"/>
    </row>
    <row r="118" customFormat="false" ht="15" hidden="false" customHeight="false" outlineLevel="0" collapsed="false">
      <c r="A118" s="3" t="n">
        <v>33239</v>
      </c>
      <c r="B118" s="2" t="s">
        <v>487</v>
      </c>
      <c r="C118" s="2" t="s">
        <v>702</v>
      </c>
      <c r="D118" s="2" t="s">
        <v>383</v>
      </c>
      <c r="E118" s="2" t="s">
        <v>375</v>
      </c>
      <c r="F118" s="2"/>
      <c r="G118" s="2" t="s">
        <v>99</v>
      </c>
      <c r="H118" s="2" t="str">
        <f aca="false">IF(LEFT(B118,10)="Arsenal v ",MID(B118,11,100),LEFT(B118,FIND(" v ",B118)-1))</f>
        <v>Manchester City</v>
      </c>
      <c r="I118" s="2" t="str">
        <f aca="false">IF(F118&lt;&gt;"","N",IF(LEFT(B118,10)="Arsenal v ","H","A"))</f>
        <v>A</v>
      </c>
      <c r="J118" s="2"/>
    </row>
    <row r="119" customFormat="false" ht="15" hidden="false" customHeight="false" outlineLevel="0" collapsed="false">
      <c r="A119" s="3" t="n">
        <v>33243</v>
      </c>
      <c r="B119" s="2" t="s">
        <v>727</v>
      </c>
      <c r="C119" s="2" t="s">
        <v>702</v>
      </c>
      <c r="D119" s="2" t="s">
        <v>359</v>
      </c>
      <c r="E119" s="2" t="s">
        <v>362</v>
      </c>
      <c r="F119" s="2"/>
      <c r="G119" s="2" t="s">
        <v>99</v>
      </c>
      <c r="H119" s="2" t="str">
        <f aca="false">IF(LEFT(B119,10)="Arsenal v ",MID(B119,11,100),LEFT(B119,FIND(" v ",B119)-1))</f>
        <v>Sunderland</v>
      </c>
      <c r="I119" s="2" t="str">
        <f aca="false">IF(F119&lt;&gt;"","N",IF(LEFT(B119,10)="Arsenal v ","H","A"))</f>
        <v>H</v>
      </c>
      <c r="J119" s="2"/>
    </row>
    <row r="120" customFormat="false" ht="15" hidden="false" customHeight="false" outlineLevel="0" collapsed="false">
      <c r="A120" s="3" t="n">
        <v>33250</v>
      </c>
      <c r="B120" s="2" t="s">
        <v>561</v>
      </c>
      <c r="C120" s="2" t="s">
        <v>706</v>
      </c>
      <c r="D120" s="2" t="s">
        <v>369</v>
      </c>
      <c r="E120" s="2" t="s">
        <v>375</v>
      </c>
      <c r="F120" s="2"/>
      <c r="G120" s="2" t="s">
        <v>99</v>
      </c>
      <c r="H120" s="2" t="str">
        <f aca="false">IF(LEFT(B120,10)="Arsenal v ",MID(B120,11,100),LEFT(B120,FIND(" v ",B120)-1))</f>
        <v>Tottenham Hotspur</v>
      </c>
      <c r="I120" s="2" t="str">
        <f aca="false">IF(F120&lt;&gt;"","N",IF(LEFT(B120,10)="Arsenal v ","H","A"))</f>
        <v>A</v>
      </c>
      <c r="J120" s="2"/>
    </row>
    <row r="121" customFormat="false" ht="15" hidden="false" customHeight="false" outlineLevel="0" collapsed="false">
      <c r="A121" s="3" t="n">
        <v>33257</v>
      </c>
      <c r="B121" s="2" t="s">
        <v>718</v>
      </c>
      <c r="C121" s="2" t="s">
        <v>702</v>
      </c>
      <c r="D121" s="2" t="s">
        <v>348</v>
      </c>
      <c r="E121" s="2" t="s">
        <v>375</v>
      </c>
      <c r="F121" s="2"/>
      <c r="G121" s="2" t="s">
        <v>99</v>
      </c>
      <c r="H121" s="2" t="str">
        <f aca="false">IF(LEFT(B121,10)="Arsenal v ",MID(B121,11,100),LEFT(B121,FIND(" v ",B121)-1))</f>
        <v>Everton</v>
      </c>
      <c r="I121" s="2" t="str">
        <f aca="false">IF(F121&lt;&gt;"","N",IF(LEFT(B121,10)="Arsenal v ","H","A"))</f>
        <v>H</v>
      </c>
      <c r="J121" s="2"/>
    </row>
    <row r="122" customFormat="false" ht="15" hidden="false" customHeight="false" outlineLevel="0" collapsed="false">
      <c r="A122" s="3" t="n">
        <v>33265</v>
      </c>
      <c r="B122" s="2" t="s">
        <v>729</v>
      </c>
      <c r="C122" s="2" t="s">
        <v>706</v>
      </c>
      <c r="D122" s="2" t="s">
        <v>369</v>
      </c>
      <c r="E122" s="2" t="s">
        <v>362</v>
      </c>
      <c r="F122" s="2"/>
      <c r="G122" s="2" t="s">
        <v>99</v>
      </c>
      <c r="H122" s="2" t="str">
        <f aca="false">IF(LEFT(B122,10)="Arsenal v ",MID(B122,11,100),LEFT(B122,FIND(" v ",B122)-1))</f>
        <v>Leeds United</v>
      </c>
      <c r="I122" s="2" t="str">
        <f aca="false">IF(F122&lt;&gt;"","N",IF(LEFT(B122,10)="Arsenal v ","H","A"))</f>
        <v>H</v>
      </c>
      <c r="J122" s="2"/>
    </row>
    <row r="123" customFormat="false" ht="15" hidden="false" customHeight="false" outlineLevel="0" collapsed="false">
      <c r="A123" s="3" t="n">
        <v>33268</v>
      </c>
      <c r="B123" s="2" t="s">
        <v>473</v>
      </c>
      <c r="C123" s="2" t="s">
        <v>706</v>
      </c>
      <c r="D123" s="2" t="s">
        <v>361</v>
      </c>
      <c r="E123" s="2" t="s">
        <v>362</v>
      </c>
      <c r="F123" s="2"/>
      <c r="G123" s="2" t="s">
        <v>99</v>
      </c>
      <c r="H123" s="2" t="str">
        <f aca="false">IF(LEFT(B123,10)="Arsenal v ",MID(B123,11,100),LEFT(B123,FIND(" v ",B123)-1))</f>
        <v>Leeds United</v>
      </c>
      <c r="I123" s="2" t="str">
        <f aca="false">IF(F123&lt;&gt;"","N",IF(LEFT(B123,10)="Arsenal v ","H","A"))</f>
        <v>A</v>
      </c>
      <c r="J123" s="2"/>
    </row>
    <row r="124" customFormat="false" ht="15" hidden="false" customHeight="false" outlineLevel="0" collapsed="false">
      <c r="A124" s="3" t="n">
        <v>33271</v>
      </c>
      <c r="B124" s="2" t="s">
        <v>426</v>
      </c>
      <c r="C124" s="2" t="s">
        <v>704</v>
      </c>
      <c r="D124" s="2" t="s">
        <v>359</v>
      </c>
      <c r="E124" s="2" t="s">
        <v>375</v>
      </c>
      <c r="F124" s="2"/>
      <c r="G124" s="2" t="s">
        <v>99</v>
      </c>
      <c r="H124" s="2" t="str">
        <f aca="false">IF(LEFT(B124,10)="Arsenal v ",MID(B124,11,100),LEFT(B124,FIND(" v ",B124)-1))</f>
        <v>Chelsea</v>
      </c>
      <c r="I124" s="2" t="str">
        <f aca="false">IF(F124&lt;&gt;"","N",IF(LEFT(B124,10)="Arsenal v ","H","A"))</f>
        <v>A</v>
      </c>
      <c r="J124" s="2"/>
    </row>
    <row r="125" customFormat="false" ht="15" hidden="false" customHeight="false" outlineLevel="0" collapsed="false">
      <c r="A125" s="3" t="n">
        <v>33282</v>
      </c>
      <c r="B125" s="2" t="s">
        <v>729</v>
      </c>
      <c r="C125" s="2" t="s">
        <v>706</v>
      </c>
      <c r="D125" s="2" t="s">
        <v>369</v>
      </c>
      <c r="E125" s="2" t="s">
        <v>362</v>
      </c>
      <c r="F125" s="2"/>
      <c r="G125" s="2" t="s">
        <v>99</v>
      </c>
      <c r="H125" s="2" t="str">
        <f aca="false">IF(LEFT(B125,10)="Arsenal v ",MID(B125,11,100),LEFT(B125,FIND(" v ",B125)-1))</f>
        <v>Leeds United</v>
      </c>
      <c r="I125" s="2" t="str">
        <f aca="false">IF(F125&lt;&gt;"","N",IF(LEFT(B125,10)="Arsenal v ","H","A"))</f>
        <v>H</v>
      </c>
      <c r="J125" s="2"/>
    </row>
    <row r="126" customFormat="false" ht="15" hidden="false" customHeight="false" outlineLevel="0" collapsed="false">
      <c r="A126" s="3" t="n">
        <v>33285</v>
      </c>
      <c r="B126" s="2" t="s">
        <v>473</v>
      </c>
      <c r="C126" s="2" t="s">
        <v>702</v>
      </c>
      <c r="D126" s="2" t="s">
        <v>360</v>
      </c>
      <c r="E126" s="2" t="s">
        <v>362</v>
      </c>
      <c r="F126" s="2"/>
      <c r="G126" s="2" t="s">
        <v>99</v>
      </c>
      <c r="H126" s="2" t="str">
        <f aca="false">IF(LEFT(B126,10)="Arsenal v ",MID(B126,11,100),LEFT(B126,FIND(" v ",B126)-1))</f>
        <v>Leeds United</v>
      </c>
      <c r="I126" s="2" t="str">
        <f aca="false">IF(F126&lt;&gt;"","N",IF(LEFT(B126,10)="Arsenal v ","H","A"))</f>
        <v>A</v>
      </c>
      <c r="J126" s="2"/>
    </row>
    <row r="127" customFormat="false" ht="15" hidden="false" customHeight="false" outlineLevel="0" collapsed="false">
      <c r="A127" s="3" t="n">
        <v>33292</v>
      </c>
      <c r="B127" s="2" t="s">
        <v>724</v>
      </c>
      <c r="C127" s="2" t="s">
        <v>702</v>
      </c>
      <c r="D127" s="2" t="s">
        <v>354</v>
      </c>
      <c r="E127" s="2" t="s">
        <v>375</v>
      </c>
      <c r="F127" s="2"/>
      <c r="G127" s="2" t="s">
        <v>99</v>
      </c>
      <c r="H127" s="2" t="str">
        <f aca="false">IF(LEFT(B127,10)="Arsenal v ",MID(B127,11,100),LEFT(B127,FIND(" v ",B127)-1))</f>
        <v>Crystal Palace</v>
      </c>
      <c r="I127" s="2" t="str">
        <f aca="false">IF(F127&lt;&gt;"","N",IF(LEFT(B127,10)="Arsenal v ","H","A"))</f>
        <v>H</v>
      </c>
      <c r="J127" s="2"/>
    </row>
    <row r="128" customFormat="false" ht="15" hidden="false" customHeight="false" outlineLevel="0" collapsed="false">
      <c r="A128" s="3" t="n">
        <v>33296</v>
      </c>
      <c r="B128" s="2" t="s">
        <v>544</v>
      </c>
      <c r="C128" s="2" t="s">
        <v>702</v>
      </c>
      <c r="D128" s="2" t="s">
        <v>383</v>
      </c>
      <c r="E128" s="2" t="s">
        <v>362</v>
      </c>
      <c r="F128" s="2"/>
      <c r="G128" s="2" t="s">
        <v>99</v>
      </c>
      <c r="H128" s="2" t="str">
        <f aca="false">IF(LEFT(B128,10)="Arsenal v ",MID(B128,11,100),LEFT(B128,FIND(" v ",B128)-1))</f>
        <v>Shrewsbury Town</v>
      </c>
      <c r="I128" s="2" t="str">
        <f aca="false">IF(F128&lt;&gt;"","N",IF(LEFT(B128,10)="Arsenal v ","H","A"))</f>
        <v>A</v>
      </c>
      <c r="J128" s="2"/>
    </row>
    <row r="129" customFormat="false" ht="15" hidden="false" customHeight="false" outlineLevel="0" collapsed="false">
      <c r="A129" s="3" t="n">
        <v>33300</v>
      </c>
      <c r="B129" s="2" t="s">
        <v>477</v>
      </c>
      <c r="C129" s="2" t="s">
        <v>702</v>
      </c>
      <c r="D129" s="2" t="s">
        <v>383</v>
      </c>
      <c r="E129" s="2" t="s">
        <v>375</v>
      </c>
      <c r="F129" s="2"/>
      <c r="G129" s="2" t="s">
        <v>99</v>
      </c>
      <c r="H129" s="2" t="str">
        <f aca="false">IF(LEFT(B129,10)="Arsenal v ",MID(B129,11,100),LEFT(B129,FIND(" v ",B129)-1))</f>
        <v>Liverpool</v>
      </c>
      <c r="I129" s="2" t="str">
        <f aca="false">IF(F129&lt;&gt;"","N",IF(LEFT(B129,10)="Arsenal v ","H","A"))</f>
        <v>A</v>
      </c>
      <c r="J129" s="2"/>
    </row>
    <row r="130" customFormat="false" ht="15" hidden="false" customHeight="false" outlineLevel="0" collapsed="false">
      <c r="A130" s="3" t="n">
        <v>33306</v>
      </c>
      <c r="B130" s="2" t="s">
        <v>730</v>
      </c>
      <c r="C130" s="2" t="s">
        <v>702</v>
      </c>
      <c r="D130" s="2" t="s">
        <v>359</v>
      </c>
      <c r="E130" s="2" t="s">
        <v>362</v>
      </c>
      <c r="F130" s="2"/>
      <c r="G130" s="2" t="s">
        <v>99</v>
      </c>
      <c r="H130" s="2" t="str">
        <f aca="false">IF(LEFT(B130,10)="Arsenal v ",MID(B130,11,100),LEFT(B130,FIND(" v ",B130)-1))</f>
        <v>Cambridge United</v>
      </c>
      <c r="I130" s="2" t="str">
        <f aca="false">IF(F130&lt;&gt;"","N",IF(LEFT(B130,10)="Arsenal v ","H","A"))</f>
        <v>H</v>
      </c>
      <c r="J130" s="2"/>
    </row>
    <row r="131" customFormat="false" ht="15" hidden="false" customHeight="false" outlineLevel="0" collapsed="false">
      <c r="A131" s="3" t="n">
        <v>33314</v>
      </c>
      <c r="B131" s="2" t="s">
        <v>729</v>
      </c>
      <c r="C131" s="2" t="s">
        <v>702</v>
      </c>
      <c r="D131" s="2" t="s">
        <v>351</v>
      </c>
      <c r="E131" s="2" t="s">
        <v>375</v>
      </c>
      <c r="F131" s="2"/>
      <c r="G131" s="2" t="s">
        <v>99</v>
      </c>
      <c r="H131" s="2" t="str">
        <f aca="false">IF(LEFT(B131,10)="Arsenal v ",MID(B131,11,100),LEFT(B131,FIND(" v ",B131)-1))</f>
        <v>Leeds United</v>
      </c>
      <c r="I131" s="2" t="str">
        <f aca="false">IF(F131&lt;&gt;"","N",IF(LEFT(B131,10)="Arsenal v ","H","A"))</f>
        <v>H</v>
      </c>
      <c r="J131" s="2"/>
    </row>
    <row r="132" customFormat="false" ht="15" hidden="false" customHeight="false" outlineLevel="0" collapsed="false">
      <c r="A132" s="3" t="n">
        <v>33317</v>
      </c>
      <c r="B132" s="2" t="s">
        <v>716</v>
      </c>
      <c r="C132" s="2" t="s">
        <v>706</v>
      </c>
      <c r="D132" s="2" t="s">
        <v>361</v>
      </c>
      <c r="E132" s="2" t="s">
        <v>375</v>
      </c>
      <c r="F132" s="2"/>
      <c r="G132" s="2" t="s">
        <v>99</v>
      </c>
      <c r="H132" s="2" t="str">
        <f aca="false">IF(LEFT(B132,10)="Arsenal v ",MID(B132,11,100),LEFT(B132,FIND(" v ",B132)-1))</f>
        <v>Nottingham Forest</v>
      </c>
      <c r="I132" s="2" t="str">
        <f aca="false">IF(F132&lt;&gt;"","N",IF(LEFT(B132,10)="Arsenal v ","H","A"))</f>
        <v>H</v>
      </c>
      <c r="J132" s="2"/>
    </row>
    <row r="133" customFormat="false" ht="15" hidden="false" customHeight="false" outlineLevel="0" collapsed="false">
      <c r="A133" s="3" t="n">
        <v>33320</v>
      </c>
      <c r="B133" s="2" t="s">
        <v>502</v>
      </c>
      <c r="C133" s="2" t="s">
        <v>706</v>
      </c>
      <c r="D133" s="2" t="s">
        <v>369</v>
      </c>
      <c r="E133" s="2" t="s">
        <v>375</v>
      </c>
      <c r="F133" s="2"/>
      <c r="G133" s="2" t="s">
        <v>99</v>
      </c>
      <c r="H133" s="2" t="str">
        <f aca="false">IF(LEFT(B133,10)="Arsenal v ",MID(B133,11,100),LEFT(B133,FIND(" v ",B133)-1))</f>
        <v>Norwich City</v>
      </c>
      <c r="I133" s="2" t="str">
        <f aca="false">IF(F133&lt;&gt;"","N",IF(LEFT(B133,10)="Arsenal v ","H","A"))</f>
        <v>A</v>
      </c>
      <c r="J133" s="2"/>
    </row>
    <row r="134" customFormat="false" ht="15" hidden="false" customHeight="false" outlineLevel="0" collapsed="false">
      <c r="A134" s="3" t="n">
        <v>33327</v>
      </c>
      <c r="B134" s="2" t="s">
        <v>440</v>
      </c>
      <c r="C134" s="2" t="s">
        <v>702</v>
      </c>
      <c r="D134" s="2" t="s">
        <v>353</v>
      </c>
      <c r="E134" s="2" t="s">
        <v>375</v>
      </c>
      <c r="F134" s="2"/>
      <c r="G134" s="2" t="s">
        <v>99</v>
      </c>
      <c r="H134" s="2" t="str">
        <f aca="false">IF(LEFT(B134,10)="Arsenal v ",MID(B134,11,100),LEFT(B134,FIND(" v ",B134)-1))</f>
        <v>Derby County</v>
      </c>
      <c r="I134" s="2" t="str">
        <f aca="false">IF(F134&lt;&gt;"","N",IF(LEFT(B134,10)="Arsenal v ","H","A"))</f>
        <v>A</v>
      </c>
      <c r="J134" s="2"/>
    </row>
    <row r="135" customFormat="false" ht="15" hidden="false" customHeight="false" outlineLevel="0" collapsed="false">
      <c r="A135" s="3" t="n">
        <v>33331</v>
      </c>
      <c r="B135" s="2" t="s">
        <v>703</v>
      </c>
      <c r="C135" s="2" t="s">
        <v>702</v>
      </c>
      <c r="D135" s="2" t="s">
        <v>489</v>
      </c>
      <c r="E135" s="2" t="s">
        <v>375</v>
      </c>
      <c r="F135" s="2"/>
      <c r="G135" s="2" t="s">
        <v>99</v>
      </c>
      <c r="H135" s="2" t="str">
        <f aca="false">IF(LEFT(B135,10)="Arsenal v ",MID(B135,11,100),LEFT(B135,FIND(" v ",B135)-1))</f>
        <v>Aston Villa</v>
      </c>
      <c r="I135" s="2" t="str">
        <f aca="false">IF(F135&lt;&gt;"","N",IF(LEFT(B135,10)="Arsenal v ","H","A"))</f>
        <v>H</v>
      </c>
      <c r="J135" s="2"/>
    </row>
    <row r="136" customFormat="false" ht="15" hidden="false" customHeight="false" outlineLevel="0" collapsed="false">
      <c r="A136" s="3" t="n">
        <v>33334</v>
      </c>
      <c r="B136" s="2" t="s">
        <v>541</v>
      </c>
      <c r="C136" s="2" t="s">
        <v>702</v>
      </c>
      <c r="D136" s="2" t="s">
        <v>353</v>
      </c>
      <c r="E136" s="2" t="s">
        <v>375</v>
      </c>
      <c r="F136" s="2"/>
      <c r="G136" s="2" t="s">
        <v>99</v>
      </c>
      <c r="H136" s="2" t="str">
        <f aca="false">IF(LEFT(B136,10)="Arsenal v ",MID(B136,11,100),LEFT(B136,FIND(" v ",B136)-1))</f>
        <v>Sheffield United</v>
      </c>
      <c r="I136" s="2" t="str">
        <f aca="false">IF(F136&lt;&gt;"","N",IF(LEFT(B136,10)="Arsenal v ","H","A"))</f>
        <v>A</v>
      </c>
      <c r="J136" s="2"/>
    </row>
    <row r="137" customFormat="false" ht="15" hidden="false" customHeight="false" outlineLevel="0" collapsed="false">
      <c r="A137" s="3" t="n">
        <v>33337</v>
      </c>
      <c r="B137" s="2" t="s">
        <v>546</v>
      </c>
      <c r="C137" s="2" t="s">
        <v>706</v>
      </c>
      <c r="D137" s="2" t="s">
        <v>361</v>
      </c>
      <c r="E137" s="2" t="s">
        <v>375</v>
      </c>
      <c r="F137" s="2"/>
      <c r="G137" s="2" t="s">
        <v>99</v>
      </c>
      <c r="H137" s="2" t="str">
        <f aca="false">IF(LEFT(B137,10)="Arsenal v ",MID(B137,11,100),LEFT(B137,FIND(" v ",B137)-1))</f>
        <v>Southampton</v>
      </c>
      <c r="I137" s="2" t="str">
        <f aca="false">IF(F137&lt;&gt;"","N",IF(LEFT(B137,10)="Arsenal v ","H","A"))</f>
        <v>A</v>
      </c>
      <c r="J137" s="2"/>
    </row>
    <row r="138" customFormat="false" ht="15" hidden="false" customHeight="false" outlineLevel="0" collapsed="false">
      <c r="A138" s="3" t="n">
        <v>33342</v>
      </c>
      <c r="B138" s="2" t="s">
        <v>561</v>
      </c>
      <c r="C138" s="2" t="s">
        <v>704</v>
      </c>
      <c r="D138" s="2" t="s">
        <v>377</v>
      </c>
      <c r="E138" s="2" t="s">
        <v>362</v>
      </c>
      <c r="F138" s="2" t="s">
        <v>652</v>
      </c>
      <c r="G138" s="2" t="s">
        <v>99</v>
      </c>
      <c r="H138" s="2" t="str">
        <f aca="false">IF(LEFT(B138,10)="Arsenal v ",MID(B138,11,100),LEFT(B138,FIND(" v ",B138)-1))</f>
        <v>Tottenham Hotspur</v>
      </c>
      <c r="I138" s="2" t="str">
        <f aca="false">IF(F138&lt;&gt;"","N",IF(LEFT(B138,10)="Arsenal v ","H","A"))</f>
        <v>N</v>
      </c>
      <c r="J138" s="2"/>
    </row>
    <row r="139" customFormat="false" ht="15" hidden="false" customHeight="false" outlineLevel="0" collapsed="false">
      <c r="A139" s="3" t="n">
        <v>33345</v>
      </c>
      <c r="B139" s="2" t="s">
        <v>657</v>
      </c>
      <c r="C139" s="2" t="s">
        <v>706</v>
      </c>
      <c r="D139" s="2" t="s">
        <v>380</v>
      </c>
      <c r="E139" s="2" t="s">
        <v>375</v>
      </c>
      <c r="F139" s="2"/>
      <c r="G139" s="2" t="s">
        <v>99</v>
      </c>
      <c r="H139" s="2" t="str">
        <f aca="false">IF(LEFT(B139,10)="Arsenal v ",MID(B139,11,100),LEFT(B139,FIND(" v ",B139)-1))</f>
        <v>Manchester City</v>
      </c>
      <c r="I139" s="2" t="str">
        <f aca="false">IF(F139&lt;&gt;"","N",IF(LEFT(B139,10)="Arsenal v ","H","A"))</f>
        <v>H</v>
      </c>
      <c r="J139" s="2"/>
    </row>
    <row r="140" customFormat="false" ht="15" hidden="false" customHeight="false" outlineLevel="0" collapsed="false">
      <c r="A140" s="3" t="n">
        <v>33351</v>
      </c>
      <c r="B140" s="2" t="s">
        <v>708</v>
      </c>
      <c r="C140" s="2" t="s">
        <v>702</v>
      </c>
      <c r="D140" s="2" t="s">
        <v>351</v>
      </c>
      <c r="E140" s="2" t="s">
        <v>375</v>
      </c>
      <c r="F140" s="2"/>
      <c r="G140" s="2" t="s">
        <v>99</v>
      </c>
      <c r="H140" s="2" t="str">
        <f aca="false">IF(LEFT(B140,10)="Arsenal v ",MID(B140,11,100),LEFT(B140,FIND(" v ",B140)-1))</f>
        <v>Queens Park Rangers</v>
      </c>
      <c r="I140" s="2" t="str">
        <f aca="false">IF(F140&lt;&gt;"","N",IF(LEFT(B140,10)="Arsenal v ","H","A"))</f>
        <v>H</v>
      </c>
      <c r="J140" s="2"/>
    </row>
    <row r="141" customFormat="false" ht="15" hidden="false" customHeight="false" outlineLevel="0" collapsed="false">
      <c r="A141" s="3" t="n">
        <v>33362</v>
      </c>
      <c r="B141" s="2" t="s">
        <v>556</v>
      </c>
      <c r="C141" s="2" t="s">
        <v>706</v>
      </c>
      <c r="D141" s="2" t="s">
        <v>369</v>
      </c>
      <c r="E141" s="2" t="s">
        <v>375</v>
      </c>
      <c r="F141" s="2"/>
      <c r="G141" s="2" t="s">
        <v>99</v>
      </c>
      <c r="H141" s="2" t="str">
        <f aca="false">IF(LEFT(B141,10)="Arsenal v ",MID(B141,11,100),LEFT(B141,FIND(" v ",B141)-1))</f>
        <v>Sunderland</v>
      </c>
      <c r="I141" s="2" t="str">
        <f aca="false">IF(F141&lt;&gt;"","N",IF(LEFT(B141,10)="Arsenal v ","H","A"))</f>
        <v>A</v>
      </c>
      <c r="J141" s="2"/>
    </row>
    <row r="142" customFormat="false" ht="15" hidden="false" customHeight="false" outlineLevel="0" collapsed="false">
      <c r="A142" s="3" t="n">
        <v>33364</v>
      </c>
      <c r="B142" s="2" t="s">
        <v>656</v>
      </c>
      <c r="C142" s="2" t="s">
        <v>702</v>
      </c>
      <c r="D142" s="2" t="s">
        <v>377</v>
      </c>
      <c r="E142" s="2" t="s">
        <v>375</v>
      </c>
      <c r="F142" s="2"/>
      <c r="G142" s="2" t="s">
        <v>99</v>
      </c>
      <c r="H142" s="2" t="str">
        <f aca="false">IF(LEFT(B142,10)="Arsenal v ",MID(B142,11,100),LEFT(B142,FIND(" v ",B142)-1))</f>
        <v>Manchester United</v>
      </c>
      <c r="I142" s="2" t="str">
        <f aca="false">IF(F142&lt;&gt;"","N",IF(LEFT(B142,10)="Arsenal v ","H","A"))</f>
        <v>H</v>
      </c>
      <c r="J142" s="2"/>
    </row>
    <row r="143" customFormat="false" ht="15" hidden="false" customHeight="false" outlineLevel="0" collapsed="false">
      <c r="A143" s="3" t="n">
        <v>33369</v>
      </c>
      <c r="B143" s="2" t="s">
        <v>709</v>
      </c>
      <c r="C143" s="2" t="s">
        <v>702</v>
      </c>
      <c r="D143" s="2" t="s">
        <v>491</v>
      </c>
      <c r="E143" s="2" t="s">
        <v>375</v>
      </c>
      <c r="F143" s="2"/>
      <c r="G143" s="2" t="s">
        <v>99</v>
      </c>
      <c r="H143" s="2" t="str">
        <f aca="false">IF(LEFT(B143,10)="Arsenal v ",MID(B143,11,100),LEFT(B143,FIND(" v ",B143)-1))</f>
        <v>Coventry City</v>
      </c>
      <c r="I143" s="2" t="str">
        <f aca="false">IF(F143&lt;&gt;"","N",IF(LEFT(B143,10)="Arsenal v ","H","A"))</f>
        <v>H</v>
      </c>
      <c r="J143" s="2"/>
    </row>
    <row r="144" customFormat="false" ht="15" hidden="false" customHeight="false" outlineLevel="0" collapsed="false">
      <c r="A144" s="3" t="n">
        <v>33460</v>
      </c>
      <c r="B144" s="2" t="s">
        <v>655</v>
      </c>
      <c r="C144" s="2" t="s">
        <v>706</v>
      </c>
      <c r="D144" s="2" t="s">
        <v>369</v>
      </c>
      <c r="E144" s="2" t="s">
        <v>478</v>
      </c>
      <c r="F144" s="2"/>
      <c r="G144" s="2" t="s">
        <v>38</v>
      </c>
      <c r="H144" s="2" t="str">
        <f aca="false">IF(LEFT(B144,10)="Arsenal v ",MID(B144,11,100),LEFT(B144,FIND(" v ",B144)-1))</f>
        <v>Tottenham Hotspur</v>
      </c>
      <c r="I144" s="2" t="str">
        <f aca="false">IF(F144&lt;&gt;"","N",IF(LEFT(B144,10)="Arsenal v ","H","A"))</f>
        <v>H</v>
      </c>
      <c r="J144" s="2"/>
    </row>
    <row r="145" customFormat="false" ht="15" hidden="false" customHeight="false" outlineLevel="0" collapsed="false">
      <c r="A145" s="3" t="n">
        <v>33467</v>
      </c>
      <c r="B145" s="2" t="s">
        <v>708</v>
      </c>
      <c r="C145" s="2" t="s">
        <v>706</v>
      </c>
      <c r="D145" s="2" t="s">
        <v>361</v>
      </c>
      <c r="E145" s="2" t="s">
        <v>375</v>
      </c>
      <c r="F145" s="2"/>
      <c r="G145" s="2" t="s">
        <v>38</v>
      </c>
      <c r="H145" s="2" t="str">
        <f aca="false">IF(LEFT(B145,10)="Arsenal v ",MID(B145,11,100),LEFT(B145,FIND(" v ",B145)-1))</f>
        <v>Queens Park Rangers</v>
      </c>
      <c r="I145" s="2" t="str">
        <f aca="false">IF(F145&lt;&gt;"","N",IF(LEFT(B145,10)="Arsenal v ","H","A"))</f>
        <v>H</v>
      </c>
      <c r="J145" s="2"/>
    </row>
    <row r="146" customFormat="false" ht="15" hidden="false" customHeight="false" outlineLevel="0" collapsed="false">
      <c r="A146" s="3" t="n">
        <v>33470</v>
      </c>
      <c r="B146" s="2" t="s">
        <v>448</v>
      </c>
      <c r="C146" s="2" t="s">
        <v>704</v>
      </c>
      <c r="D146" s="2" t="s">
        <v>377</v>
      </c>
      <c r="E146" s="2" t="s">
        <v>375</v>
      </c>
      <c r="F146" s="2"/>
      <c r="G146" s="2" t="s">
        <v>38</v>
      </c>
      <c r="H146" s="2" t="str">
        <f aca="false">IF(LEFT(B146,10)="Arsenal v ",MID(B146,11,100),LEFT(B146,FIND(" v ",B146)-1))</f>
        <v>Everton</v>
      </c>
      <c r="I146" s="2" t="str">
        <f aca="false">IF(F146&lt;&gt;"","N",IF(LEFT(B146,10)="Arsenal v ","H","A"))</f>
        <v>A</v>
      </c>
      <c r="J146" s="2"/>
    </row>
    <row r="147" customFormat="false" ht="15" hidden="false" customHeight="false" outlineLevel="0" collapsed="false">
      <c r="A147" s="3" t="n">
        <v>33474</v>
      </c>
      <c r="B147" s="2" t="s">
        <v>376</v>
      </c>
      <c r="C147" s="2" t="s">
        <v>704</v>
      </c>
      <c r="D147" s="2" t="s">
        <v>377</v>
      </c>
      <c r="E147" s="2" t="s">
        <v>375</v>
      </c>
      <c r="F147" s="2"/>
      <c r="G147" s="2" t="s">
        <v>38</v>
      </c>
      <c r="H147" s="2" t="str">
        <f aca="false">IF(LEFT(B147,10)="Arsenal v ",MID(B147,11,100),LEFT(B147,FIND(" v ",B147)-1))</f>
        <v>Aston Villa</v>
      </c>
      <c r="I147" s="2" t="str">
        <f aca="false">IF(F147&lt;&gt;"","N",IF(LEFT(B147,10)="Arsenal v ","H","A"))</f>
        <v>A</v>
      </c>
      <c r="J147" s="2"/>
    </row>
    <row r="148" customFormat="false" ht="15" hidden="false" customHeight="false" outlineLevel="0" collapsed="false">
      <c r="A148" s="3" t="n">
        <v>33477</v>
      </c>
      <c r="B148" s="2" t="s">
        <v>714</v>
      </c>
      <c r="C148" s="2" t="s">
        <v>702</v>
      </c>
      <c r="D148" s="2" t="s">
        <v>351</v>
      </c>
      <c r="E148" s="2" t="s">
        <v>375</v>
      </c>
      <c r="F148" s="2"/>
      <c r="G148" s="2" t="s">
        <v>38</v>
      </c>
      <c r="H148" s="2" t="str">
        <f aca="false">IF(LEFT(B148,10)="Arsenal v ",MID(B148,11,100),LEFT(B148,FIND(" v ",B148)-1))</f>
        <v>Luton Town</v>
      </c>
      <c r="I148" s="2" t="str">
        <f aca="false">IF(F148&lt;&gt;"","N",IF(LEFT(B148,10)="Arsenal v ","H","A"))</f>
        <v>H</v>
      </c>
      <c r="J148" s="2"/>
    </row>
    <row r="149" customFormat="false" ht="15" hidden="false" customHeight="false" outlineLevel="0" collapsed="false">
      <c r="A149" s="3" t="n">
        <v>33481</v>
      </c>
      <c r="B149" s="2" t="s">
        <v>657</v>
      </c>
      <c r="C149" s="2" t="s">
        <v>702</v>
      </c>
      <c r="D149" s="2" t="s">
        <v>359</v>
      </c>
      <c r="E149" s="2" t="s">
        <v>375</v>
      </c>
      <c r="F149" s="2"/>
      <c r="G149" s="2" t="s">
        <v>38</v>
      </c>
      <c r="H149" s="2" t="str">
        <f aca="false">IF(LEFT(B149,10)="Arsenal v ",MID(B149,11,100),LEFT(B149,FIND(" v ",B149)-1))</f>
        <v>Manchester City</v>
      </c>
      <c r="I149" s="2" t="str">
        <f aca="false">IF(F149&lt;&gt;"","N",IF(LEFT(B149,10)="Arsenal v ","H","A"))</f>
        <v>H</v>
      </c>
      <c r="J149" s="2"/>
    </row>
    <row r="150" customFormat="false" ht="15" hidden="false" customHeight="false" outlineLevel="0" collapsed="false">
      <c r="A150" s="3" t="n">
        <v>33484</v>
      </c>
      <c r="B150" s="2" t="s">
        <v>473</v>
      </c>
      <c r="C150" s="2" t="s">
        <v>706</v>
      </c>
      <c r="D150" s="2" t="s">
        <v>380</v>
      </c>
      <c r="E150" s="2" t="s">
        <v>375</v>
      </c>
      <c r="F150" s="2"/>
      <c r="G150" s="2" t="s">
        <v>38</v>
      </c>
      <c r="H150" s="2" t="str">
        <f aca="false">IF(LEFT(B150,10)="Arsenal v ",MID(B150,11,100),LEFT(B150,FIND(" v ",B150)-1))</f>
        <v>Leeds United</v>
      </c>
      <c r="I150" s="2" t="str">
        <f aca="false">IF(F150&lt;&gt;"","N",IF(LEFT(B150,10)="Arsenal v ","H","A"))</f>
        <v>A</v>
      </c>
      <c r="J150" s="2"/>
    </row>
    <row r="151" customFormat="false" ht="15" hidden="false" customHeight="false" outlineLevel="0" collapsed="false">
      <c r="A151" s="3" t="n">
        <v>33488</v>
      </c>
      <c r="B151" s="2" t="s">
        <v>709</v>
      </c>
      <c r="C151" s="2" t="s">
        <v>704</v>
      </c>
      <c r="D151" s="2" t="s">
        <v>360</v>
      </c>
      <c r="E151" s="2" t="s">
        <v>375</v>
      </c>
      <c r="F151" s="2"/>
      <c r="G151" s="2" t="s">
        <v>38</v>
      </c>
      <c r="H151" s="2" t="str">
        <f aca="false">IF(LEFT(B151,10)="Arsenal v ",MID(B151,11,100),LEFT(B151,FIND(" v ",B151)-1))</f>
        <v>Coventry City</v>
      </c>
      <c r="I151" s="2" t="str">
        <f aca="false">IF(F151&lt;&gt;"","N",IF(LEFT(B151,10)="Arsenal v ","H","A"))</f>
        <v>H</v>
      </c>
      <c r="J151" s="2"/>
    </row>
    <row r="152" customFormat="false" ht="15" hidden="false" customHeight="false" outlineLevel="0" collapsed="false">
      <c r="A152" s="3" t="n">
        <v>33495</v>
      </c>
      <c r="B152" s="2" t="s">
        <v>433</v>
      </c>
      <c r="C152" s="2" t="s">
        <v>702</v>
      </c>
      <c r="D152" s="2" t="s">
        <v>407</v>
      </c>
      <c r="E152" s="2" t="s">
        <v>375</v>
      </c>
      <c r="F152" s="2"/>
      <c r="G152" s="2" t="s">
        <v>38</v>
      </c>
      <c r="H152" s="2" t="str">
        <f aca="false">IF(LEFT(B152,10)="Arsenal v ",MID(B152,11,100),LEFT(B152,FIND(" v ",B152)-1))</f>
        <v>Crystal Palace</v>
      </c>
      <c r="I152" s="2" t="str">
        <f aca="false">IF(F152&lt;&gt;"","N",IF(LEFT(B152,10)="Arsenal v ","H","A"))</f>
        <v>A</v>
      </c>
      <c r="J152" s="2"/>
    </row>
    <row r="153" customFormat="false" ht="15" hidden="false" customHeight="false" outlineLevel="0" collapsed="false">
      <c r="A153" s="3" t="n">
        <v>33499</v>
      </c>
      <c r="B153" s="2" t="s">
        <v>731</v>
      </c>
      <c r="C153" s="2" t="s">
        <v>702</v>
      </c>
      <c r="D153" s="2" t="s">
        <v>491</v>
      </c>
      <c r="E153" s="2" t="s">
        <v>391</v>
      </c>
      <c r="F153" s="2"/>
      <c r="G153" s="2" t="s">
        <v>38</v>
      </c>
      <c r="H153" s="2" t="str">
        <f aca="false">IF(LEFT(B153,10)="Arsenal v ",MID(B153,11,100),LEFT(B153,FIND(" v ",B153)-1))</f>
        <v>Austria Wien</v>
      </c>
      <c r="I153" s="2" t="str">
        <f aca="false">IF(F153&lt;&gt;"","N",IF(LEFT(B153,10)="Arsenal v ","H","A"))</f>
        <v>H</v>
      </c>
      <c r="J153" s="2"/>
    </row>
    <row r="154" customFormat="false" ht="15" hidden="false" customHeight="false" outlineLevel="0" collapsed="false">
      <c r="A154" s="3" t="n">
        <v>33502</v>
      </c>
      <c r="B154" s="2" t="s">
        <v>728</v>
      </c>
      <c r="C154" s="2" t="s">
        <v>702</v>
      </c>
      <c r="D154" s="2" t="s">
        <v>732</v>
      </c>
      <c r="E154" s="2" t="s">
        <v>375</v>
      </c>
      <c r="F154" s="2"/>
      <c r="G154" s="2" t="s">
        <v>38</v>
      </c>
      <c r="H154" s="2" t="str">
        <f aca="false">IF(LEFT(B154,10)="Arsenal v ",MID(B154,11,100),LEFT(B154,FIND(" v ",B154)-1))</f>
        <v>Sheffield United</v>
      </c>
      <c r="I154" s="2" t="str">
        <f aca="false">IF(F154&lt;&gt;"","N",IF(LEFT(B154,10)="Arsenal v ","H","A"))</f>
        <v>H</v>
      </c>
      <c r="J154" s="2"/>
    </row>
    <row r="155" customFormat="false" ht="15" hidden="false" customHeight="false" outlineLevel="0" collapsed="false">
      <c r="A155" s="3" t="n">
        <v>33506</v>
      </c>
      <c r="B155" s="2" t="s">
        <v>474</v>
      </c>
      <c r="C155" s="2" t="s">
        <v>706</v>
      </c>
      <c r="D155" s="2" t="s">
        <v>361</v>
      </c>
      <c r="E155" s="2" t="s">
        <v>379</v>
      </c>
      <c r="F155" s="2"/>
      <c r="G155" s="2" t="s">
        <v>38</v>
      </c>
      <c r="H155" s="2" t="str">
        <f aca="false">IF(LEFT(B155,10)="Arsenal v ",MID(B155,11,100),LEFT(B155,FIND(" v ",B155)-1))</f>
        <v>Leicester City</v>
      </c>
      <c r="I155" s="2" t="str">
        <f aca="false">IF(F155&lt;&gt;"","N",IF(LEFT(B155,10)="Arsenal v ","H","A"))</f>
        <v>A</v>
      </c>
      <c r="J155" s="2"/>
    </row>
    <row r="156" customFormat="false" ht="15" hidden="false" customHeight="false" outlineLevel="0" collapsed="false">
      <c r="A156" s="3" t="n">
        <v>33509</v>
      </c>
      <c r="B156" s="2" t="s">
        <v>546</v>
      </c>
      <c r="C156" s="2" t="s">
        <v>702</v>
      </c>
      <c r="D156" s="2" t="s">
        <v>365</v>
      </c>
      <c r="E156" s="2" t="s">
        <v>375</v>
      </c>
      <c r="F156" s="2"/>
      <c r="G156" s="2" t="s">
        <v>38</v>
      </c>
      <c r="H156" s="2" t="str">
        <f aca="false">IF(LEFT(B156,10)="Arsenal v ",MID(B156,11,100),LEFT(B156,FIND(" v ",B156)-1))</f>
        <v>Southampton</v>
      </c>
      <c r="I156" s="2" t="str">
        <f aca="false">IF(F156&lt;&gt;"","N",IF(LEFT(B156,10)="Arsenal v ","H","A"))</f>
        <v>A</v>
      </c>
      <c r="J156" s="2"/>
    </row>
    <row r="157" customFormat="false" ht="15" hidden="false" customHeight="false" outlineLevel="0" collapsed="false">
      <c r="A157" s="3" t="n">
        <v>33513</v>
      </c>
      <c r="B157" s="2" t="s">
        <v>392</v>
      </c>
      <c r="C157" s="2" t="s">
        <v>704</v>
      </c>
      <c r="D157" s="2" t="s">
        <v>348</v>
      </c>
      <c r="E157" s="2" t="s">
        <v>391</v>
      </c>
      <c r="F157" s="2"/>
      <c r="G157" s="2" t="s">
        <v>38</v>
      </c>
      <c r="H157" s="2" t="str">
        <f aca="false">IF(LEFT(B157,10)="Arsenal v ",MID(B157,11,100),LEFT(B157,FIND(" v ",B157)-1))</f>
        <v>Austria Wien</v>
      </c>
      <c r="I157" s="2" t="str">
        <f aca="false">IF(F157&lt;&gt;"","N",IF(LEFT(B157,10)="Arsenal v ","H","A"))</f>
        <v>A</v>
      </c>
      <c r="J157" s="2"/>
    </row>
    <row r="158" customFormat="false" ht="15" hidden="false" customHeight="false" outlineLevel="0" collapsed="false">
      <c r="A158" s="3" t="n">
        <v>33516</v>
      </c>
      <c r="B158" s="2" t="s">
        <v>725</v>
      </c>
      <c r="C158" s="2" t="s">
        <v>702</v>
      </c>
      <c r="D158" s="2" t="s">
        <v>382</v>
      </c>
      <c r="E158" s="2" t="s">
        <v>375</v>
      </c>
      <c r="F158" s="2"/>
      <c r="G158" s="2" t="s">
        <v>38</v>
      </c>
      <c r="H158" s="2" t="str">
        <f aca="false">IF(LEFT(B158,10)="Arsenal v ",MID(B158,11,100),LEFT(B158,FIND(" v ",B158)-1))</f>
        <v>Chelsea</v>
      </c>
      <c r="I158" s="2" t="str">
        <f aca="false">IF(F158&lt;&gt;"","N",IF(LEFT(B158,10)="Arsenal v ","H","A"))</f>
        <v>H</v>
      </c>
      <c r="J158" s="2"/>
    </row>
    <row r="159" customFormat="false" ht="15" hidden="false" customHeight="false" outlineLevel="0" collapsed="false">
      <c r="A159" s="3" t="n">
        <v>33519</v>
      </c>
      <c r="B159" s="2" t="s">
        <v>733</v>
      </c>
      <c r="C159" s="2" t="s">
        <v>702</v>
      </c>
      <c r="D159" s="2" t="s">
        <v>351</v>
      </c>
      <c r="E159" s="2" t="s">
        <v>379</v>
      </c>
      <c r="F159" s="2"/>
      <c r="G159" s="2" t="s">
        <v>38</v>
      </c>
      <c r="H159" s="2" t="str">
        <f aca="false">IF(LEFT(B159,10)="Arsenal v ",MID(B159,11,100),LEFT(B159,FIND(" v ",B159)-1))</f>
        <v>Leicester City</v>
      </c>
      <c r="I159" s="2" t="str">
        <f aca="false">IF(F159&lt;&gt;"","N",IF(LEFT(B159,10)="Arsenal v ","H","A"))</f>
        <v>H</v>
      </c>
      <c r="J159" s="2"/>
    </row>
    <row r="160" customFormat="false" ht="15" hidden="false" customHeight="false" outlineLevel="0" collapsed="false">
      <c r="A160" s="3" t="n">
        <v>33530</v>
      </c>
      <c r="B160" s="2" t="s">
        <v>490</v>
      </c>
      <c r="C160" s="2" t="s">
        <v>706</v>
      </c>
      <c r="D160" s="2" t="s">
        <v>361</v>
      </c>
      <c r="E160" s="2" t="s">
        <v>375</v>
      </c>
      <c r="F160" s="2"/>
      <c r="G160" s="2" t="s">
        <v>38</v>
      </c>
      <c r="H160" s="2" t="str">
        <f aca="false">IF(LEFT(B160,10)="Arsenal v ",MID(B160,11,100),LEFT(B160,FIND(" v ",B160)-1))</f>
        <v>Manchester United</v>
      </c>
      <c r="I160" s="2" t="str">
        <f aca="false">IF(F160&lt;&gt;"","N",IF(LEFT(B160,10)="Arsenal v ","H","A"))</f>
        <v>A</v>
      </c>
      <c r="J160" s="2"/>
    </row>
    <row r="161" customFormat="false" ht="15" hidden="false" customHeight="false" outlineLevel="0" collapsed="false">
      <c r="A161" s="3" t="n">
        <v>33534</v>
      </c>
      <c r="B161" s="2" t="s">
        <v>403</v>
      </c>
      <c r="C161" s="2" t="s">
        <v>706</v>
      </c>
      <c r="D161" s="2" t="s">
        <v>361</v>
      </c>
      <c r="E161" s="2" t="s">
        <v>391</v>
      </c>
      <c r="F161" s="2"/>
      <c r="G161" s="2" t="s">
        <v>38</v>
      </c>
      <c r="H161" s="2" t="str">
        <f aca="false">IF(LEFT(B161,10)="Arsenal v ",MID(B161,11,100),LEFT(B161,FIND(" v ",B161)-1))</f>
        <v>Benfica</v>
      </c>
      <c r="I161" s="2" t="str">
        <f aca="false">IF(F161&lt;&gt;"","N",IF(LEFT(B161,10)="Arsenal v ","H","A"))</f>
        <v>A</v>
      </c>
      <c r="J161" s="2"/>
    </row>
    <row r="162" customFormat="false" ht="15" hidden="false" customHeight="false" outlineLevel="0" collapsed="false">
      <c r="A162" s="3" t="n">
        <v>33537</v>
      </c>
      <c r="B162" s="2" t="s">
        <v>734</v>
      </c>
      <c r="C162" s="2" t="s">
        <v>702</v>
      </c>
      <c r="D162" s="2" t="s">
        <v>351</v>
      </c>
      <c r="E162" s="2" t="s">
        <v>375</v>
      </c>
      <c r="F162" s="2"/>
      <c r="G162" s="2" t="s">
        <v>38</v>
      </c>
      <c r="H162" s="2" t="str">
        <f aca="false">IF(LEFT(B162,10)="Arsenal v ",MID(B162,11,100),LEFT(B162,FIND(" v ",B162)-1))</f>
        <v>Notts County</v>
      </c>
      <c r="I162" s="2" t="str">
        <f aca="false">IF(F162&lt;&gt;"","N",IF(LEFT(B162,10)="Arsenal v ","H","A"))</f>
        <v>H</v>
      </c>
      <c r="J162" s="2"/>
    </row>
    <row r="163" customFormat="false" ht="15" hidden="false" customHeight="false" outlineLevel="0" collapsed="false">
      <c r="A163" s="3" t="n">
        <v>33541</v>
      </c>
      <c r="B163" s="2" t="s">
        <v>431</v>
      </c>
      <c r="C163" s="2" t="s">
        <v>704</v>
      </c>
      <c r="D163" s="2" t="s">
        <v>348</v>
      </c>
      <c r="E163" s="2" t="s">
        <v>379</v>
      </c>
      <c r="F163" s="2"/>
      <c r="G163" s="2" t="s">
        <v>38</v>
      </c>
      <c r="H163" s="2" t="str">
        <f aca="false">IF(LEFT(B163,10)="Arsenal v ",MID(B163,11,100),LEFT(B163,FIND(" v ",B163)-1))</f>
        <v>Coventry City</v>
      </c>
      <c r="I163" s="2" t="str">
        <f aca="false">IF(F163&lt;&gt;"","N",IF(LEFT(B163,10)="Arsenal v ","H","A"))</f>
        <v>A</v>
      </c>
      <c r="J163" s="2"/>
    </row>
    <row r="164" customFormat="false" ht="15" hidden="false" customHeight="false" outlineLevel="0" collapsed="false">
      <c r="A164" s="3" t="n">
        <v>33544</v>
      </c>
      <c r="B164" s="2" t="s">
        <v>712</v>
      </c>
      <c r="C164" s="2" t="s">
        <v>704</v>
      </c>
      <c r="D164" s="2" t="s">
        <v>383</v>
      </c>
      <c r="E164" s="2" t="s">
        <v>375</v>
      </c>
      <c r="F164" s="2"/>
      <c r="G164" s="2" t="s">
        <v>38</v>
      </c>
      <c r="H164" s="2" t="str">
        <f aca="false">IF(LEFT(B164,10)="Arsenal v ",MID(B164,11,100),LEFT(B164,FIND(" v ",B164)-1))</f>
        <v>West Ham United</v>
      </c>
      <c r="I164" s="2" t="str">
        <f aca="false">IF(F164&lt;&gt;"","N",IF(LEFT(B164,10)="Arsenal v ","H","A"))</f>
        <v>H</v>
      </c>
      <c r="J164" s="2"/>
    </row>
    <row r="165" customFormat="false" ht="15" hidden="false" customHeight="false" outlineLevel="0" collapsed="false">
      <c r="A165" s="3" t="n">
        <v>33548</v>
      </c>
      <c r="B165" s="2" t="s">
        <v>670</v>
      </c>
      <c r="C165" s="2" t="s">
        <v>704</v>
      </c>
      <c r="D165" s="2" t="s">
        <v>373</v>
      </c>
      <c r="E165" s="2" t="s">
        <v>391</v>
      </c>
      <c r="F165" s="2"/>
      <c r="G165" s="2" t="s">
        <v>38</v>
      </c>
      <c r="H165" s="2" t="str">
        <f aca="false">IF(LEFT(B165,10)="Arsenal v ",MID(B165,11,100),LEFT(B165,FIND(" v ",B165)-1))</f>
        <v>Benfica</v>
      </c>
      <c r="I165" s="2" t="str">
        <f aca="false">IF(F165&lt;&gt;"","N",IF(LEFT(B165,10)="Arsenal v ","H","A"))</f>
        <v>H</v>
      </c>
      <c r="J165" s="2"/>
    </row>
    <row r="166" customFormat="false" ht="15" hidden="false" customHeight="false" outlineLevel="0" collapsed="false">
      <c r="A166" s="3" t="n">
        <v>33558</v>
      </c>
      <c r="B166" s="2" t="s">
        <v>506</v>
      </c>
      <c r="C166" s="2" t="s">
        <v>706</v>
      </c>
      <c r="D166" s="2" t="s">
        <v>361</v>
      </c>
      <c r="E166" s="2" t="s">
        <v>375</v>
      </c>
      <c r="F166" s="2"/>
      <c r="G166" s="2" t="s">
        <v>38</v>
      </c>
      <c r="H166" s="2" t="str">
        <f aca="false">IF(LEFT(B166,10)="Arsenal v ",MID(B166,11,100),LEFT(B166,FIND(" v ",B166)-1))</f>
        <v>Oldham Athletic</v>
      </c>
      <c r="I166" s="2" t="str">
        <f aca="false">IF(F166&lt;&gt;"","N",IF(LEFT(B166,10)="Arsenal v ","H","A"))</f>
        <v>A</v>
      </c>
      <c r="J166" s="2"/>
    </row>
    <row r="167" customFormat="false" ht="15" hidden="false" customHeight="false" outlineLevel="0" collapsed="false">
      <c r="A167" s="3" t="n">
        <v>33565</v>
      </c>
      <c r="B167" s="2" t="s">
        <v>543</v>
      </c>
      <c r="C167" s="2" t="s">
        <v>706</v>
      </c>
      <c r="D167" s="2" t="s">
        <v>361</v>
      </c>
      <c r="E167" s="2" t="s">
        <v>375</v>
      </c>
      <c r="F167" s="2"/>
      <c r="G167" s="2" t="s">
        <v>38</v>
      </c>
      <c r="H167" s="2" t="str">
        <f aca="false">IF(LEFT(B167,10)="Arsenal v ",MID(B167,11,100),LEFT(B167,FIND(" v ",B167)-1))</f>
        <v>Sheffield Wednesday</v>
      </c>
      <c r="I167" s="2" t="str">
        <f aca="false">IF(F167&lt;&gt;"","N",IF(LEFT(B167,10)="Arsenal v ","H","A"))</f>
        <v>A</v>
      </c>
      <c r="J167" s="2"/>
    </row>
    <row r="168" customFormat="false" ht="15" hidden="false" customHeight="false" outlineLevel="0" collapsed="false">
      <c r="A168" s="3" t="n">
        <v>33573</v>
      </c>
      <c r="B168" s="2" t="s">
        <v>655</v>
      </c>
      <c r="C168" s="2" t="s">
        <v>702</v>
      </c>
      <c r="D168" s="2" t="s">
        <v>351</v>
      </c>
      <c r="E168" s="2" t="s">
        <v>375</v>
      </c>
      <c r="F168" s="2"/>
      <c r="G168" s="2" t="s">
        <v>38</v>
      </c>
      <c r="H168" s="2" t="str">
        <f aca="false">IF(LEFT(B168,10)="Arsenal v ",MID(B168,11,100),LEFT(B168,FIND(" v ",B168)-1))</f>
        <v>Tottenham Hotspur</v>
      </c>
      <c r="I168" s="2" t="str">
        <f aca="false">IF(F168&lt;&gt;"","N",IF(LEFT(B168,10)="Arsenal v ","H","A"))</f>
        <v>H</v>
      </c>
      <c r="J168" s="2"/>
    </row>
    <row r="169" customFormat="false" ht="15" hidden="false" customHeight="false" outlineLevel="0" collapsed="false">
      <c r="A169" s="3" t="n">
        <v>33580</v>
      </c>
      <c r="B169" s="2" t="s">
        <v>503</v>
      </c>
      <c r="C169" s="2" t="s">
        <v>704</v>
      </c>
      <c r="D169" s="2" t="s">
        <v>382</v>
      </c>
      <c r="E169" s="2" t="s">
        <v>375</v>
      </c>
      <c r="F169" s="2"/>
      <c r="G169" s="2" t="s">
        <v>38</v>
      </c>
      <c r="H169" s="2" t="str">
        <f aca="false">IF(LEFT(B169,10)="Arsenal v ",MID(B169,11,100),LEFT(B169,FIND(" v ",B169)-1))</f>
        <v>Nottingham Forest</v>
      </c>
      <c r="I169" s="2" t="str">
        <f aca="false">IF(F169&lt;&gt;"","N",IF(LEFT(B169,10)="Arsenal v ","H","A"))</f>
        <v>A</v>
      </c>
      <c r="J169" s="2"/>
    </row>
    <row r="170" customFormat="false" ht="15" hidden="false" customHeight="false" outlineLevel="0" collapsed="false">
      <c r="A170" s="3" t="n">
        <v>33593</v>
      </c>
      <c r="B170" s="2" t="s">
        <v>718</v>
      </c>
      <c r="C170" s="2" t="s">
        <v>702</v>
      </c>
      <c r="D170" s="2" t="s">
        <v>479</v>
      </c>
      <c r="E170" s="2" t="s">
        <v>375</v>
      </c>
      <c r="F170" s="2"/>
      <c r="G170" s="2" t="s">
        <v>38</v>
      </c>
      <c r="H170" s="2" t="str">
        <f aca="false">IF(LEFT(B170,10)="Arsenal v ",MID(B170,11,100),LEFT(B170,FIND(" v ",B170)-1))</f>
        <v>Everton</v>
      </c>
      <c r="I170" s="2" t="str">
        <f aca="false">IF(F170&lt;&gt;"","N",IF(LEFT(B170,10)="Arsenal v ","H","A"))</f>
        <v>H</v>
      </c>
      <c r="J170" s="2"/>
    </row>
    <row r="171" customFormat="false" ht="15" hidden="false" customHeight="false" outlineLevel="0" collapsed="false">
      <c r="A171" s="3" t="n">
        <v>33598</v>
      </c>
      <c r="B171" s="2" t="s">
        <v>485</v>
      </c>
      <c r="C171" s="2" t="s">
        <v>704</v>
      </c>
      <c r="D171" s="2" t="s">
        <v>348</v>
      </c>
      <c r="E171" s="2" t="s">
        <v>375</v>
      </c>
      <c r="F171" s="2"/>
      <c r="G171" s="2" t="s">
        <v>38</v>
      </c>
      <c r="H171" s="2" t="str">
        <f aca="false">IF(LEFT(B171,10)="Arsenal v ",MID(B171,11,100),LEFT(B171,FIND(" v ",B171)-1))</f>
        <v>Luton Town</v>
      </c>
      <c r="I171" s="2" t="str">
        <f aca="false">IF(F171&lt;&gt;"","N",IF(LEFT(B171,10)="Arsenal v ","H","A"))</f>
        <v>A</v>
      </c>
      <c r="J171" s="2"/>
    </row>
    <row r="172" customFormat="false" ht="15" hidden="false" customHeight="false" outlineLevel="0" collapsed="false">
      <c r="A172" s="3" t="n">
        <v>33600</v>
      </c>
      <c r="B172" s="2" t="s">
        <v>487</v>
      </c>
      <c r="C172" s="2" t="s">
        <v>704</v>
      </c>
      <c r="D172" s="2" t="s">
        <v>348</v>
      </c>
      <c r="E172" s="2" t="s">
        <v>375</v>
      </c>
      <c r="F172" s="2"/>
      <c r="G172" s="2" t="s">
        <v>38</v>
      </c>
      <c r="H172" s="2" t="str">
        <f aca="false">IF(LEFT(B172,10)="Arsenal v ",MID(B172,11,100),LEFT(B172,FIND(" v ",B172)-1))</f>
        <v>Manchester City</v>
      </c>
      <c r="I172" s="2" t="str">
        <f aca="false">IF(F172&lt;&gt;"","N",IF(LEFT(B172,10)="Arsenal v ","H","A"))</f>
        <v>A</v>
      </c>
      <c r="J172" s="2"/>
    </row>
    <row r="173" customFormat="false" ht="15" hidden="false" customHeight="false" outlineLevel="0" collapsed="false">
      <c r="A173" s="3" t="n">
        <v>33604</v>
      </c>
      <c r="B173" s="2" t="s">
        <v>722</v>
      </c>
      <c r="C173" s="2" t="s">
        <v>706</v>
      </c>
      <c r="D173" s="2" t="s">
        <v>361</v>
      </c>
      <c r="E173" s="2" t="s">
        <v>375</v>
      </c>
      <c r="F173" s="2"/>
      <c r="G173" s="2" t="s">
        <v>38</v>
      </c>
      <c r="H173" s="2" t="str">
        <f aca="false">IF(LEFT(B173,10)="Arsenal v ",MID(B173,11,100),LEFT(B173,FIND(" v ",B173)-1))</f>
        <v>Wimbledon</v>
      </c>
      <c r="I173" s="2" t="str">
        <f aca="false">IF(F173&lt;&gt;"","N",IF(LEFT(B173,10)="Arsenal v ","H","A"))</f>
        <v>H</v>
      </c>
      <c r="J173" s="2"/>
    </row>
    <row r="174" customFormat="false" ht="15" hidden="false" customHeight="false" outlineLevel="0" collapsed="false">
      <c r="A174" s="3" t="n">
        <v>33607</v>
      </c>
      <c r="B174" s="2" t="s">
        <v>576</v>
      </c>
      <c r="C174" s="2" t="s">
        <v>704</v>
      </c>
      <c r="D174" s="2" t="s">
        <v>359</v>
      </c>
      <c r="E174" s="2" t="s">
        <v>362</v>
      </c>
      <c r="F174" s="2"/>
      <c r="G174" s="2" t="s">
        <v>38</v>
      </c>
      <c r="H174" s="2" t="str">
        <f aca="false">IF(LEFT(B174,10)="Arsenal v ",MID(B174,11,100),LEFT(B174,FIND(" v ",B174)-1))</f>
        <v>Wrexham</v>
      </c>
      <c r="I174" s="2" t="str">
        <f aca="false">IF(F174&lt;&gt;"","N",IF(LEFT(B174,10)="Arsenal v ","H","A"))</f>
        <v>A</v>
      </c>
      <c r="J174" s="2"/>
    </row>
    <row r="175" customFormat="false" ht="15" hidden="false" customHeight="false" outlineLevel="0" collapsed="false">
      <c r="A175" s="3" t="n">
        <v>33614</v>
      </c>
      <c r="B175" s="2" t="s">
        <v>703</v>
      </c>
      <c r="C175" s="2" t="s">
        <v>706</v>
      </c>
      <c r="D175" s="2" t="s">
        <v>369</v>
      </c>
      <c r="E175" s="2" t="s">
        <v>375</v>
      </c>
      <c r="F175" s="2"/>
      <c r="G175" s="2" t="s">
        <v>38</v>
      </c>
      <c r="H175" s="2" t="str">
        <f aca="false">IF(LEFT(B175,10)="Arsenal v ",MID(B175,11,100),LEFT(B175,FIND(" v ",B175)-1))</f>
        <v>Aston Villa</v>
      </c>
      <c r="I175" s="2" t="str">
        <f aca="false">IF(F175&lt;&gt;"","N",IF(LEFT(B175,10)="Arsenal v ","H","A"))</f>
        <v>H</v>
      </c>
      <c r="J175" s="2"/>
    </row>
    <row r="176" customFormat="false" ht="15" hidden="false" customHeight="false" outlineLevel="0" collapsed="false">
      <c r="A176" s="3" t="n">
        <v>33621</v>
      </c>
      <c r="B176" s="2" t="s">
        <v>524</v>
      </c>
      <c r="C176" s="2" t="s">
        <v>706</v>
      </c>
      <c r="D176" s="2" t="s">
        <v>369</v>
      </c>
      <c r="E176" s="2" t="s">
        <v>375</v>
      </c>
      <c r="F176" s="2"/>
      <c r="G176" s="2" t="s">
        <v>38</v>
      </c>
      <c r="H176" s="2" t="str">
        <f aca="false">IF(LEFT(B176,10)="Arsenal v ",MID(B176,11,100),LEFT(B176,FIND(" v ",B176)-1))</f>
        <v>Queens Park Rangers</v>
      </c>
      <c r="I176" s="2" t="str">
        <f aca="false">IF(F176&lt;&gt;"","N",IF(LEFT(B176,10)="Arsenal v ","H","A"))</f>
        <v>A</v>
      </c>
      <c r="J176" s="2"/>
    </row>
    <row r="177" customFormat="false" ht="15" hidden="false" customHeight="false" outlineLevel="0" collapsed="false">
      <c r="A177" s="3" t="n">
        <v>33632</v>
      </c>
      <c r="B177" s="2" t="s">
        <v>477</v>
      </c>
      <c r="C177" s="2" t="s">
        <v>704</v>
      </c>
      <c r="D177" s="2" t="s">
        <v>351</v>
      </c>
      <c r="E177" s="2" t="s">
        <v>375</v>
      </c>
      <c r="F177" s="2"/>
      <c r="G177" s="2" t="s">
        <v>38</v>
      </c>
      <c r="H177" s="2" t="str">
        <f aca="false">IF(LEFT(B177,10)="Arsenal v ",MID(B177,11,100),LEFT(B177,FIND(" v ",B177)-1))</f>
        <v>Liverpool</v>
      </c>
      <c r="I177" s="2" t="str">
        <f aca="false">IF(F177&lt;&gt;"","N",IF(LEFT(B177,10)="Arsenal v ","H","A"))</f>
        <v>A</v>
      </c>
      <c r="J177" s="2"/>
    </row>
    <row r="178" customFormat="false" ht="15" hidden="false" customHeight="false" outlineLevel="0" collapsed="false">
      <c r="A178" s="3" t="n">
        <v>33635</v>
      </c>
      <c r="B178" s="2" t="s">
        <v>656</v>
      </c>
      <c r="C178" s="2" t="s">
        <v>706</v>
      </c>
      <c r="D178" s="2" t="s">
        <v>361</v>
      </c>
      <c r="E178" s="2" t="s">
        <v>375</v>
      </c>
      <c r="F178" s="2"/>
      <c r="G178" s="2" t="s">
        <v>38</v>
      </c>
      <c r="H178" s="2" t="str">
        <f aca="false">IF(LEFT(B178,10)="Arsenal v ",MID(B178,11,100),LEFT(B178,FIND(" v ",B178)-1))</f>
        <v>Manchester United</v>
      </c>
      <c r="I178" s="2" t="str">
        <f aca="false">IF(F178&lt;&gt;"","N",IF(LEFT(B178,10)="Arsenal v ","H","A"))</f>
        <v>H</v>
      </c>
      <c r="J178" s="2"/>
    </row>
    <row r="179" customFormat="false" ht="15" hidden="false" customHeight="false" outlineLevel="0" collapsed="false">
      <c r="A179" s="3" t="n">
        <v>33642</v>
      </c>
      <c r="B179" s="2" t="s">
        <v>504</v>
      </c>
      <c r="C179" s="2" t="s">
        <v>702</v>
      </c>
      <c r="D179" s="2" t="s">
        <v>383</v>
      </c>
      <c r="E179" s="2" t="s">
        <v>375</v>
      </c>
      <c r="F179" s="2"/>
      <c r="G179" s="2" t="s">
        <v>38</v>
      </c>
      <c r="H179" s="2" t="str">
        <f aca="false">IF(LEFT(B179,10)="Arsenal v ",MID(B179,11,100),LEFT(B179,FIND(" v ",B179)-1))</f>
        <v>Notts County</v>
      </c>
      <c r="I179" s="2" t="str">
        <f aca="false">IF(F179&lt;&gt;"","N",IF(LEFT(B179,10)="Arsenal v ","H","A"))</f>
        <v>A</v>
      </c>
      <c r="J179" s="2"/>
    </row>
    <row r="180" customFormat="false" ht="15" hidden="false" customHeight="false" outlineLevel="0" collapsed="false">
      <c r="A180" s="3" t="n">
        <v>33645</v>
      </c>
      <c r="B180" s="2" t="s">
        <v>720</v>
      </c>
      <c r="C180" s="2" t="s">
        <v>706</v>
      </c>
      <c r="D180" s="2" t="s">
        <v>361</v>
      </c>
      <c r="E180" s="2" t="s">
        <v>375</v>
      </c>
      <c r="F180" s="2"/>
      <c r="G180" s="2" t="s">
        <v>38</v>
      </c>
      <c r="H180" s="2" t="str">
        <f aca="false">IF(LEFT(B180,10)="Arsenal v ",MID(B180,11,100),LEFT(B180,FIND(" v ",B180)-1))</f>
        <v>Norwich City</v>
      </c>
      <c r="I180" s="2" t="str">
        <f aca="false">IF(F180&lt;&gt;"","N",IF(LEFT(B180,10)="Arsenal v ","H","A"))</f>
        <v>H</v>
      </c>
      <c r="J180" s="2"/>
    </row>
    <row r="181" customFormat="false" ht="15" hidden="false" customHeight="false" outlineLevel="0" collapsed="false">
      <c r="A181" s="3" t="n">
        <v>33649</v>
      </c>
      <c r="B181" s="2" t="s">
        <v>713</v>
      </c>
      <c r="C181" s="2" t="s">
        <v>702</v>
      </c>
      <c r="D181" s="2" t="s">
        <v>735</v>
      </c>
      <c r="E181" s="2" t="s">
        <v>375</v>
      </c>
      <c r="F181" s="2"/>
      <c r="G181" s="2" t="s">
        <v>38</v>
      </c>
      <c r="H181" s="2" t="str">
        <f aca="false">IF(LEFT(B181,10)="Arsenal v ",MID(B181,11,100),LEFT(B181,FIND(" v ",B181)-1))</f>
        <v>Sheffield Wednesday</v>
      </c>
      <c r="I181" s="2" t="str">
        <f aca="false">IF(F181&lt;&gt;"","N",IF(LEFT(B181,10)="Arsenal v ","H","A"))</f>
        <v>H</v>
      </c>
      <c r="J181" s="2"/>
    </row>
    <row r="182" customFormat="false" ht="15" hidden="false" customHeight="false" outlineLevel="0" collapsed="false">
      <c r="A182" s="3" t="n">
        <v>33656</v>
      </c>
      <c r="B182" s="2" t="s">
        <v>561</v>
      </c>
      <c r="C182" s="2" t="s">
        <v>706</v>
      </c>
      <c r="D182" s="2" t="s">
        <v>361</v>
      </c>
      <c r="E182" s="2" t="s">
        <v>375</v>
      </c>
      <c r="F182" s="2"/>
      <c r="G182" s="2" t="s">
        <v>38</v>
      </c>
      <c r="H182" s="2" t="str">
        <f aca="false">IF(LEFT(B182,10)="Arsenal v ",MID(B182,11,100),LEFT(B182,FIND(" v ",B182)-1))</f>
        <v>Tottenham Hotspur</v>
      </c>
      <c r="I182" s="2" t="str">
        <f aca="false">IF(F182&lt;&gt;"","N",IF(LEFT(B182,10)="Arsenal v ","H","A"))</f>
        <v>A</v>
      </c>
      <c r="J182" s="2"/>
    </row>
    <row r="183" customFormat="false" ht="15" hidden="false" customHeight="false" outlineLevel="0" collapsed="false">
      <c r="A183" s="3" t="n">
        <v>33673</v>
      </c>
      <c r="B183" s="2" t="s">
        <v>736</v>
      </c>
      <c r="C183" s="2" t="s">
        <v>702</v>
      </c>
      <c r="D183" s="2" t="s">
        <v>359</v>
      </c>
      <c r="E183" s="2" t="s">
        <v>375</v>
      </c>
      <c r="F183" s="2"/>
      <c r="G183" s="2" t="s">
        <v>38</v>
      </c>
      <c r="H183" s="2" t="str">
        <f aca="false">IF(LEFT(B183,10)="Arsenal v ",MID(B183,11,100),LEFT(B183,FIND(" v ",B183)-1))</f>
        <v>Oldham Athletic</v>
      </c>
      <c r="I183" s="2" t="str">
        <f aca="false">IF(F183&lt;&gt;"","N",IF(LEFT(B183,10)="Arsenal v ","H","A"))</f>
        <v>H</v>
      </c>
      <c r="J183" s="2"/>
    </row>
    <row r="184" customFormat="false" ht="15" hidden="false" customHeight="false" outlineLevel="0" collapsed="false">
      <c r="A184" s="3" t="n">
        <v>33677</v>
      </c>
      <c r="B184" s="2" t="s">
        <v>572</v>
      </c>
      <c r="C184" s="2" t="s">
        <v>702</v>
      </c>
      <c r="D184" s="2" t="s">
        <v>353</v>
      </c>
      <c r="E184" s="2" t="s">
        <v>375</v>
      </c>
      <c r="F184" s="2"/>
      <c r="G184" s="2" t="s">
        <v>38</v>
      </c>
      <c r="H184" s="2" t="str">
        <f aca="false">IF(LEFT(B184,10)="Arsenal v ",MID(B184,11,100),LEFT(B184,FIND(" v ",B184)-1))</f>
        <v>West Ham United</v>
      </c>
      <c r="I184" s="2" t="str">
        <f aca="false">IF(F184&lt;&gt;"","N",IF(LEFT(B184,10)="Arsenal v ","H","A"))</f>
        <v>A</v>
      </c>
      <c r="J184" s="2"/>
    </row>
    <row r="185" customFormat="false" ht="15" hidden="false" customHeight="false" outlineLevel="0" collapsed="false">
      <c r="A185" s="3" t="n">
        <v>33685</v>
      </c>
      <c r="B185" s="2" t="s">
        <v>729</v>
      </c>
      <c r="C185" s="2" t="s">
        <v>706</v>
      </c>
      <c r="D185" s="2" t="s">
        <v>361</v>
      </c>
      <c r="E185" s="2" t="s">
        <v>375</v>
      </c>
      <c r="F185" s="2"/>
      <c r="G185" s="2" t="s">
        <v>38</v>
      </c>
      <c r="H185" s="2" t="str">
        <f aca="false">IF(LEFT(B185,10)="Arsenal v ",MID(B185,11,100),LEFT(B185,FIND(" v ",B185)-1))</f>
        <v>Leeds United</v>
      </c>
      <c r="I185" s="2" t="str">
        <f aca="false">IF(F185&lt;&gt;"","N",IF(LEFT(B185,10)="Arsenal v ","H","A"))</f>
        <v>H</v>
      </c>
      <c r="J185" s="2"/>
    </row>
    <row r="186" customFormat="false" ht="15" hidden="false" customHeight="false" outlineLevel="0" collapsed="false">
      <c r="A186" s="3" t="n">
        <v>33691</v>
      </c>
      <c r="B186" s="2" t="s">
        <v>574</v>
      </c>
      <c r="C186" s="2" t="s">
        <v>702</v>
      </c>
      <c r="D186" s="2" t="s">
        <v>373</v>
      </c>
      <c r="E186" s="2" t="s">
        <v>375</v>
      </c>
      <c r="F186" s="2"/>
      <c r="G186" s="2" t="s">
        <v>38</v>
      </c>
      <c r="H186" s="2" t="str">
        <f aca="false">IF(LEFT(B186,10)="Arsenal v ",MID(B186,11,100),LEFT(B186,FIND(" v ",B186)-1))</f>
        <v>Wimbledon</v>
      </c>
      <c r="I186" s="2" t="str">
        <f aca="false">IF(F186&lt;&gt;"","N",IF(LEFT(B186,10)="Arsenal v ","H","A"))</f>
        <v>A</v>
      </c>
      <c r="J186" s="2"/>
    </row>
    <row r="187" customFormat="false" ht="15" hidden="false" customHeight="false" outlineLevel="0" collapsed="false">
      <c r="A187" s="3" t="n">
        <v>33694</v>
      </c>
      <c r="B187" s="2" t="s">
        <v>716</v>
      </c>
      <c r="C187" s="2" t="s">
        <v>706</v>
      </c>
      <c r="D187" s="2" t="s">
        <v>358</v>
      </c>
      <c r="E187" s="2" t="s">
        <v>375</v>
      </c>
      <c r="F187" s="2"/>
      <c r="G187" s="2" t="s">
        <v>38</v>
      </c>
      <c r="H187" s="2" t="str">
        <f aca="false">IF(LEFT(B187,10)="Arsenal v ",MID(B187,11,100),LEFT(B187,FIND(" v ",B187)-1))</f>
        <v>Nottingham Forest</v>
      </c>
      <c r="I187" s="2" t="str">
        <f aca="false">IF(F187&lt;&gt;"","N",IF(LEFT(B187,10)="Arsenal v ","H","A"))</f>
        <v>H</v>
      </c>
      <c r="J187" s="2"/>
    </row>
    <row r="188" customFormat="false" ht="15" hidden="false" customHeight="false" outlineLevel="0" collapsed="false">
      <c r="A188" s="3" t="n">
        <v>33698</v>
      </c>
      <c r="B188" s="2" t="s">
        <v>431</v>
      </c>
      <c r="C188" s="2" t="s">
        <v>702</v>
      </c>
      <c r="D188" s="2" t="s">
        <v>383</v>
      </c>
      <c r="E188" s="2" t="s">
        <v>375</v>
      </c>
      <c r="F188" s="2"/>
      <c r="G188" s="2" t="s">
        <v>38</v>
      </c>
      <c r="H188" s="2" t="str">
        <f aca="false">IF(LEFT(B188,10)="Arsenal v ",MID(B188,11,100),LEFT(B188,FIND(" v ",B188)-1))</f>
        <v>Coventry City</v>
      </c>
      <c r="I188" s="2" t="str">
        <f aca="false">IF(F188&lt;&gt;"","N",IF(LEFT(B188,10)="Arsenal v ","H","A"))</f>
        <v>A</v>
      </c>
      <c r="J188" s="2"/>
    </row>
    <row r="189" customFormat="false" ht="15" hidden="false" customHeight="false" outlineLevel="0" collapsed="false">
      <c r="A189" s="3" t="n">
        <v>33702</v>
      </c>
      <c r="B189" s="2" t="s">
        <v>502</v>
      </c>
      <c r="C189" s="2" t="s">
        <v>702</v>
      </c>
      <c r="D189" s="2" t="s">
        <v>373</v>
      </c>
      <c r="E189" s="2" t="s">
        <v>375</v>
      </c>
      <c r="F189" s="2"/>
      <c r="G189" s="2" t="s">
        <v>38</v>
      </c>
      <c r="H189" s="2" t="str">
        <f aca="false">IF(LEFT(B189,10)="Arsenal v ",MID(B189,11,100),LEFT(B189,FIND(" v ",B189)-1))</f>
        <v>Norwich City</v>
      </c>
      <c r="I189" s="2" t="str">
        <f aca="false">IF(F189&lt;&gt;"","N",IF(LEFT(B189,10)="Arsenal v ","H","A"))</f>
        <v>A</v>
      </c>
      <c r="J189" s="2"/>
    </row>
    <row r="190" customFormat="false" ht="15" hidden="false" customHeight="false" outlineLevel="0" collapsed="false">
      <c r="A190" s="3" t="n">
        <v>33705</v>
      </c>
      <c r="B190" s="2" t="s">
        <v>724</v>
      </c>
      <c r="C190" s="2" t="s">
        <v>702</v>
      </c>
      <c r="D190" s="2" t="s">
        <v>397</v>
      </c>
      <c r="E190" s="2" t="s">
        <v>375</v>
      </c>
      <c r="F190" s="2"/>
      <c r="G190" s="2" t="s">
        <v>38</v>
      </c>
      <c r="H190" s="2" t="str">
        <f aca="false">IF(LEFT(B190,10)="Arsenal v ",MID(B190,11,100),LEFT(B190,FIND(" v ",B190)-1))</f>
        <v>Crystal Palace</v>
      </c>
      <c r="I190" s="2" t="str">
        <f aca="false">IF(F190&lt;&gt;"","N",IF(LEFT(B190,10)="Arsenal v ","H","A"))</f>
        <v>H</v>
      </c>
      <c r="J190" s="2"/>
    </row>
    <row r="191" customFormat="false" ht="15" hidden="false" customHeight="false" outlineLevel="0" collapsed="false">
      <c r="A191" s="3" t="n">
        <v>33712</v>
      </c>
      <c r="B191" s="2" t="s">
        <v>541</v>
      </c>
      <c r="C191" s="2" t="s">
        <v>706</v>
      </c>
      <c r="D191" s="2" t="s">
        <v>361</v>
      </c>
      <c r="E191" s="2" t="s">
        <v>375</v>
      </c>
      <c r="F191" s="2"/>
      <c r="G191" s="2" t="s">
        <v>38</v>
      </c>
      <c r="H191" s="2" t="str">
        <f aca="false">IF(LEFT(B191,10)="Arsenal v ",MID(B191,11,100),LEFT(B191,FIND(" v ",B191)-1))</f>
        <v>Sheffield United</v>
      </c>
      <c r="I191" s="2" t="str">
        <f aca="false">IF(F191&lt;&gt;"","N",IF(LEFT(B191,10)="Arsenal v ","H","A"))</f>
        <v>A</v>
      </c>
      <c r="J191" s="2"/>
    </row>
    <row r="192" customFormat="false" ht="15" hidden="false" customHeight="false" outlineLevel="0" collapsed="false">
      <c r="A192" s="3" t="n">
        <v>33714</v>
      </c>
      <c r="B192" s="2" t="s">
        <v>710</v>
      </c>
      <c r="C192" s="2" t="s">
        <v>702</v>
      </c>
      <c r="D192" s="2" t="s">
        <v>354</v>
      </c>
      <c r="E192" s="2" t="s">
        <v>375</v>
      </c>
      <c r="F192" s="2"/>
      <c r="G192" s="2" t="s">
        <v>38</v>
      </c>
      <c r="H192" s="2" t="str">
        <f aca="false">IF(LEFT(B192,10)="Arsenal v ",MID(B192,11,100),LEFT(B192,FIND(" v ",B192)-1))</f>
        <v>Liverpool</v>
      </c>
      <c r="I192" s="2" t="str">
        <f aca="false">IF(F192&lt;&gt;"","N",IF(LEFT(B192,10)="Arsenal v ","H","A"))</f>
        <v>H</v>
      </c>
      <c r="J192" s="2"/>
    </row>
    <row r="193" customFormat="false" ht="15" hidden="false" customHeight="false" outlineLevel="0" collapsed="false">
      <c r="A193" s="3" t="n">
        <v>33719</v>
      </c>
      <c r="B193" s="2" t="s">
        <v>426</v>
      </c>
      <c r="C193" s="2" t="s">
        <v>706</v>
      </c>
      <c r="D193" s="2" t="s">
        <v>361</v>
      </c>
      <c r="E193" s="2" t="s">
        <v>375</v>
      </c>
      <c r="F193" s="2"/>
      <c r="G193" s="2" t="s">
        <v>38</v>
      </c>
      <c r="H193" s="2" t="str">
        <f aca="false">IF(LEFT(B193,10)="Arsenal v ",MID(B193,11,100),LEFT(B193,FIND(" v ",B193)-1))</f>
        <v>Chelsea</v>
      </c>
      <c r="I193" s="2" t="str">
        <f aca="false">IF(F193&lt;&gt;"","N",IF(LEFT(B193,10)="Arsenal v ","H","A"))</f>
        <v>A</v>
      </c>
      <c r="J193" s="2"/>
    </row>
    <row r="194" customFormat="false" ht="15" hidden="false" customHeight="false" outlineLevel="0" collapsed="false">
      <c r="A194" s="3" t="n">
        <v>33726</v>
      </c>
      <c r="B194" s="2" t="s">
        <v>705</v>
      </c>
      <c r="C194" s="2" t="s">
        <v>702</v>
      </c>
      <c r="D194" s="2" t="s">
        <v>401</v>
      </c>
      <c r="E194" s="2" t="s">
        <v>375</v>
      </c>
      <c r="F194" s="2"/>
      <c r="G194" s="2" t="s">
        <v>38</v>
      </c>
      <c r="H194" s="2" t="str">
        <f aca="false">IF(LEFT(B194,10)="Arsenal v ",MID(B194,11,100),LEFT(B194,FIND(" v ",B194)-1))</f>
        <v>Southampton</v>
      </c>
      <c r="I194" s="2" t="str">
        <f aca="false">IF(F194&lt;&gt;"","N",IF(LEFT(B194,10)="Arsenal v ","H","A"))</f>
        <v>H</v>
      </c>
      <c r="J194" s="2"/>
    </row>
    <row r="195" customFormat="false" ht="15" hidden="false" customHeight="false" outlineLevel="0" collapsed="false">
      <c r="A195" s="3" t="n">
        <v>33831</v>
      </c>
      <c r="B195" s="2" t="s">
        <v>720</v>
      </c>
      <c r="C195" s="2" t="s">
        <v>704</v>
      </c>
      <c r="D195" s="2" t="s">
        <v>384</v>
      </c>
      <c r="E195" s="2" t="s">
        <v>356</v>
      </c>
      <c r="F195" s="2"/>
      <c r="G195" s="2" t="s">
        <v>267</v>
      </c>
      <c r="H195" s="2" t="str">
        <f aca="false">IF(LEFT(B195,10)="Arsenal v ",MID(B195,11,100),LEFT(B195,FIND(" v ",B195)-1))</f>
        <v>Norwich City</v>
      </c>
      <c r="I195" s="2" t="str">
        <f aca="false">IF(F195&lt;&gt;"","N",IF(LEFT(B195,10)="Arsenal v ","H","A"))</f>
        <v>H</v>
      </c>
      <c r="J195" s="2"/>
    </row>
    <row r="196" customFormat="false" ht="15" hidden="false" customHeight="false" outlineLevel="0" collapsed="false">
      <c r="A196" s="3" t="n">
        <v>33834</v>
      </c>
      <c r="B196" s="2" t="s">
        <v>406</v>
      </c>
      <c r="C196" s="2" t="s">
        <v>704</v>
      </c>
      <c r="D196" s="2" t="s">
        <v>348</v>
      </c>
      <c r="E196" s="2" t="s">
        <v>356</v>
      </c>
      <c r="F196" s="2"/>
      <c r="G196" s="2" t="s">
        <v>267</v>
      </c>
      <c r="H196" s="2" t="str">
        <f aca="false">IF(LEFT(B196,10)="Arsenal v ",MID(B196,11,100),LEFT(B196,FIND(" v ",B196)-1))</f>
        <v>Blackburn Rovers</v>
      </c>
      <c r="I196" s="2" t="str">
        <f aca="false">IF(F196&lt;&gt;"","N",IF(LEFT(B196,10)="Arsenal v ","H","A"))</f>
        <v>A</v>
      </c>
      <c r="J196" s="2"/>
    </row>
    <row r="197" customFormat="false" ht="15" hidden="false" customHeight="false" outlineLevel="0" collapsed="false">
      <c r="A197" s="3" t="n">
        <v>33839</v>
      </c>
      <c r="B197" s="2" t="s">
        <v>477</v>
      </c>
      <c r="C197" s="2" t="s">
        <v>702</v>
      </c>
      <c r="D197" s="2" t="s">
        <v>353</v>
      </c>
      <c r="E197" s="2" t="s">
        <v>356</v>
      </c>
      <c r="F197" s="2"/>
      <c r="G197" s="2" t="s">
        <v>267</v>
      </c>
      <c r="H197" s="2" t="str">
        <f aca="false">IF(LEFT(B197,10)="Arsenal v ",MID(B197,11,100),LEFT(B197,FIND(" v ",B197)-1))</f>
        <v>Liverpool</v>
      </c>
      <c r="I197" s="2" t="str">
        <f aca="false">IF(F197&lt;&gt;"","N",IF(LEFT(B197,10)="Arsenal v ","H","A"))</f>
        <v>A</v>
      </c>
      <c r="J197" s="2"/>
    </row>
    <row r="198" customFormat="false" ht="15" hidden="false" customHeight="false" outlineLevel="0" collapsed="false">
      <c r="A198" s="3" t="n">
        <v>33842</v>
      </c>
      <c r="B198" s="2" t="s">
        <v>736</v>
      </c>
      <c r="C198" s="2" t="s">
        <v>702</v>
      </c>
      <c r="D198" s="2" t="s">
        <v>351</v>
      </c>
      <c r="E198" s="2" t="s">
        <v>356</v>
      </c>
      <c r="F198" s="2"/>
      <c r="G198" s="2" t="s">
        <v>267</v>
      </c>
      <c r="H198" s="2" t="str">
        <f aca="false">IF(LEFT(B198,10)="Arsenal v ",MID(B198,11,100),LEFT(B198,FIND(" v ",B198)-1))</f>
        <v>Oldham Athletic</v>
      </c>
      <c r="I198" s="2" t="str">
        <f aca="false">IF(F198&lt;&gt;"","N",IF(LEFT(B198,10)="Arsenal v ","H","A"))</f>
        <v>H</v>
      </c>
      <c r="J198" s="2"/>
    </row>
    <row r="199" customFormat="false" ht="15" hidden="false" customHeight="false" outlineLevel="0" collapsed="false">
      <c r="A199" s="3" t="n">
        <v>33845</v>
      </c>
      <c r="B199" s="2" t="s">
        <v>713</v>
      </c>
      <c r="C199" s="2" t="s">
        <v>702</v>
      </c>
      <c r="D199" s="2" t="s">
        <v>359</v>
      </c>
      <c r="E199" s="2" t="s">
        <v>356</v>
      </c>
      <c r="F199" s="2"/>
      <c r="G199" s="2" t="s">
        <v>267</v>
      </c>
      <c r="H199" s="2" t="str">
        <f aca="false">IF(LEFT(B199,10)="Arsenal v ",MID(B199,11,100),LEFT(B199,FIND(" v ",B199)-1))</f>
        <v>Sheffield Wednesday</v>
      </c>
      <c r="I199" s="2" t="str">
        <f aca="false">IF(F199&lt;&gt;"","N",IF(LEFT(B199,10)="Arsenal v ","H","A"))</f>
        <v>H</v>
      </c>
      <c r="J199" s="2"/>
    </row>
    <row r="200" customFormat="false" ht="15" hidden="false" customHeight="false" outlineLevel="0" collapsed="false">
      <c r="A200" s="3" t="n">
        <v>33849</v>
      </c>
      <c r="B200" s="2" t="s">
        <v>524</v>
      </c>
      <c r="C200" s="2" t="s">
        <v>706</v>
      </c>
      <c r="D200" s="2" t="s">
        <v>369</v>
      </c>
      <c r="E200" s="2" t="s">
        <v>356</v>
      </c>
      <c r="F200" s="2"/>
      <c r="G200" s="2" t="s">
        <v>267</v>
      </c>
      <c r="H200" s="2" t="str">
        <f aca="false">IF(LEFT(B200,10)="Arsenal v ",MID(B200,11,100),LEFT(B200,FIND(" v ",B200)-1))</f>
        <v>Queens Park Rangers</v>
      </c>
      <c r="I200" s="2" t="str">
        <f aca="false">IF(F200&lt;&gt;"","N",IF(LEFT(B200,10)="Arsenal v ","H","A"))</f>
        <v>A</v>
      </c>
      <c r="J200" s="2"/>
    </row>
    <row r="201" customFormat="false" ht="15" hidden="false" customHeight="false" outlineLevel="0" collapsed="false">
      <c r="A201" s="3" t="n">
        <v>33852</v>
      </c>
      <c r="B201" s="2" t="s">
        <v>574</v>
      </c>
      <c r="C201" s="2" t="s">
        <v>704</v>
      </c>
      <c r="D201" s="2" t="s">
        <v>382</v>
      </c>
      <c r="E201" s="2" t="s">
        <v>356</v>
      </c>
      <c r="F201" s="2"/>
      <c r="G201" s="2" t="s">
        <v>267</v>
      </c>
      <c r="H201" s="2" t="str">
        <f aca="false">IF(LEFT(B201,10)="Arsenal v ",MID(B201,11,100),LEFT(B201,FIND(" v ",B201)-1))</f>
        <v>Wimbledon</v>
      </c>
      <c r="I201" s="2" t="str">
        <f aca="false">IF(F201&lt;&gt;"","N",IF(LEFT(B201,10)="Arsenal v ","H","A"))</f>
        <v>A</v>
      </c>
      <c r="J201" s="2"/>
    </row>
    <row r="202" customFormat="false" ht="15" hidden="false" customHeight="false" outlineLevel="0" collapsed="false">
      <c r="A202" s="3" t="n">
        <v>33859</v>
      </c>
      <c r="B202" s="2" t="s">
        <v>737</v>
      </c>
      <c r="C202" s="2" t="s">
        <v>704</v>
      </c>
      <c r="D202" s="2" t="s">
        <v>383</v>
      </c>
      <c r="E202" s="2" t="s">
        <v>356</v>
      </c>
      <c r="F202" s="2"/>
      <c r="G202" s="2" t="s">
        <v>267</v>
      </c>
      <c r="H202" s="2" t="str">
        <f aca="false">IF(LEFT(B202,10)="Arsenal v ",MID(B202,11,100),LEFT(B202,FIND(" v ",B202)-1))</f>
        <v>Blackburn Rovers</v>
      </c>
      <c r="I202" s="2" t="str">
        <f aca="false">IF(F202&lt;&gt;"","N",IF(LEFT(B202,10)="Arsenal v ","H","A"))</f>
        <v>H</v>
      </c>
      <c r="J202" s="2"/>
    </row>
    <row r="203" customFormat="false" ht="15" hidden="false" customHeight="false" outlineLevel="0" collapsed="false">
      <c r="A203" s="3" t="n">
        <v>33866</v>
      </c>
      <c r="B203" s="2" t="s">
        <v>541</v>
      </c>
      <c r="C203" s="2" t="s">
        <v>706</v>
      </c>
      <c r="D203" s="2" t="s">
        <v>361</v>
      </c>
      <c r="E203" s="2" t="s">
        <v>356</v>
      </c>
      <c r="F203" s="2"/>
      <c r="G203" s="2" t="s">
        <v>267</v>
      </c>
      <c r="H203" s="2" t="str">
        <f aca="false">IF(LEFT(B203,10)="Arsenal v ",MID(B203,11,100),LEFT(B203,FIND(" v ",B203)-1))</f>
        <v>Sheffield United</v>
      </c>
      <c r="I203" s="2" t="str">
        <f aca="false">IF(F203&lt;&gt;"","N",IF(LEFT(B203,10)="Arsenal v ","H","A"))</f>
        <v>A</v>
      </c>
      <c r="J203" s="2"/>
    </row>
    <row r="204" customFormat="false" ht="15" hidden="false" customHeight="false" outlineLevel="0" collapsed="false">
      <c r="A204" s="3" t="n">
        <v>33869</v>
      </c>
      <c r="B204" s="2" t="s">
        <v>715</v>
      </c>
      <c r="C204" s="2" t="s">
        <v>706</v>
      </c>
      <c r="D204" s="2" t="s">
        <v>361</v>
      </c>
      <c r="E204" s="2" t="s">
        <v>379</v>
      </c>
      <c r="F204" s="2"/>
      <c r="G204" s="2" t="s">
        <v>267</v>
      </c>
      <c r="H204" s="2" t="str">
        <f aca="false">IF(LEFT(B204,10)="Arsenal v ",MID(B204,11,100),LEFT(B204,FIND(" v ",B204)-1))</f>
        <v>Millwall</v>
      </c>
      <c r="I204" s="2" t="str">
        <f aca="false">IF(F204&lt;&gt;"","N",IF(LEFT(B204,10)="Arsenal v ","H","A"))</f>
        <v>H</v>
      </c>
      <c r="J204" s="2"/>
    </row>
    <row r="205" customFormat="false" ht="15" hidden="false" customHeight="false" outlineLevel="0" collapsed="false">
      <c r="A205" s="3" t="n">
        <v>33875</v>
      </c>
      <c r="B205" s="2" t="s">
        <v>657</v>
      </c>
      <c r="C205" s="2" t="s">
        <v>702</v>
      </c>
      <c r="D205" s="2" t="s">
        <v>348</v>
      </c>
      <c r="E205" s="2" t="s">
        <v>356</v>
      </c>
      <c r="F205" s="2"/>
      <c r="G205" s="2" t="s">
        <v>267</v>
      </c>
      <c r="H205" s="2" t="str">
        <f aca="false">IF(LEFT(B205,10)="Arsenal v ",MID(B205,11,100),LEFT(B205,FIND(" v ",B205)-1))</f>
        <v>Manchester City</v>
      </c>
      <c r="I205" s="2" t="str">
        <f aca="false">IF(F205&lt;&gt;"","N",IF(LEFT(B205,10)="Arsenal v ","H","A"))</f>
        <v>H</v>
      </c>
      <c r="J205" s="2"/>
    </row>
    <row r="206" customFormat="false" ht="15" hidden="false" customHeight="false" outlineLevel="0" collapsed="false">
      <c r="A206" s="3" t="n">
        <v>33880</v>
      </c>
      <c r="B206" s="2" t="s">
        <v>725</v>
      </c>
      <c r="C206" s="2" t="s">
        <v>702</v>
      </c>
      <c r="D206" s="2" t="s">
        <v>359</v>
      </c>
      <c r="E206" s="2" t="s">
        <v>356</v>
      </c>
      <c r="F206" s="2"/>
      <c r="G206" s="2" t="s">
        <v>267</v>
      </c>
      <c r="H206" s="2" t="str">
        <f aca="false">IF(LEFT(B206,10)="Arsenal v ",MID(B206,11,100),LEFT(B206,FIND(" v ",B206)-1))</f>
        <v>Chelsea</v>
      </c>
      <c r="I206" s="2" t="str">
        <f aca="false">IF(F206&lt;&gt;"","N",IF(LEFT(B206,10)="Arsenal v ","H","A"))</f>
        <v>H</v>
      </c>
      <c r="J206" s="2"/>
    </row>
    <row r="207" customFormat="false" ht="15" hidden="false" customHeight="false" outlineLevel="0" collapsed="false">
      <c r="A207" s="3" t="n">
        <v>33884</v>
      </c>
      <c r="B207" s="2" t="s">
        <v>496</v>
      </c>
      <c r="C207" s="2" t="s">
        <v>706</v>
      </c>
      <c r="D207" s="2" t="s">
        <v>361</v>
      </c>
      <c r="E207" s="2" t="s">
        <v>379</v>
      </c>
      <c r="F207" s="2"/>
      <c r="G207" s="2" t="s">
        <v>267</v>
      </c>
      <c r="H207" s="2" t="str">
        <f aca="false">IF(LEFT(B207,10)="Arsenal v ",MID(B207,11,100),LEFT(B207,FIND(" v ",B207)-1))</f>
        <v>Millwall</v>
      </c>
      <c r="I207" s="2" t="str">
        <f aca="false">IF(F207&lt;&gt;"","N",IF(LEFT(B207,10)="Arsenal v ","H","A"))</f>
        <v>A</v>
      </c>
      <c r="J207" s="2"/>
    </row>
    <row r="208" customFormat="false" ht="15" hidden="false" customHeight="false" outlineLevel="0" collapsed="false">
      <c r="A208" s="3" t="n">
        <v>33894</v>
      </c>
      <c r="B208" s="2" t="s">
        <v>503</v>
      </c>
      <c r="C208" s="2" t="s">
        <v>702</v>
      </c>
      <c r="D208" s="2" t="s">
        <v>383</v>
      </c>
      <c r="E208" s="2" t="s">
        <v>356</v>
      </c>
      <c r="F208" s="2"/>
      <c r="G208" s="2" t="s">
        <v>267</v>
      </c>
      <c r="H208" s="2" t="str">
        <f aca="false">IF(LEFT(B208,10)="Arsenal v ",MID(B208,11,100),LEFT(B208,FIND(" v ",B208)-1))</f>
        <v>Nottingham Forest</v>
      </c>
      <c r="I208" s="2" t="str">
        <f aca="false">IF(F208&lt;&gt;"","N",IF(LEFT(B208,10)="Arsenal v ","H","A"))</f>
        <v>A</v>
      </c>
      <c r="J208" s="2"/>
    </row>
    <row r="209" customFormat="false" ht="15" hidden="false" customHeight="false" outlineLevel="0" collapsed="false">
      <c r="A209" s="3" t="n">
        <v>33901</v>
      </c>
      <c r="B209" s="2" t="s">
        <v>718</v>
      </c>
      <c r="C209" s="2" t="s">
        <v>702</v>
      </c>
      <c r="D209" s="2" t="s">
        <v>351</v>
      </c>
      <c r="E209" s="2" t="s">
        <v>356</v>
      </c>
      <c r="F209" s="2"/>
      <c r="G209" s="2" t="s">
        <v>267</v>
      </c>
      <c r="H209" s="2" t="str">
        <f aca="false">IF(LEFT(B209,10)="Arsenal v ",MID(B209,11,100),LEFT(B209,FIND(" v ",B209)-1))</f>
        <v>Everton</v>
      </c>
      <c r="I209" s="2" t="str">
        <f aca="false">IF(F209&lt;&gt;"","N",IF(LEFT(B209,10)="Arsenal v ","H","A"))</f>
        <v>H</v>
      </c>
      <c r="J209" s="2"/>
    </row>
    <row r="210" customFormat="false" ht="15" hidden="false" customHeight="false" outlineLevel="0" collapsed="false">
      <c r="A210" s="3" t="n">
        <v>33905</v>
      </c>
      <c r="B210" s="2" t="s">
        <v>440</v>
      </c>
      <c r="C210" s="2" t="s">
        <v>706</v>
      </c>
      <c r="D210" s="2" t="s">
        <v>361</v>
      </c>
      <c r="E210" s="2" t="s">
        <v>379</v>
      </c>
      <c r="F210" s="2"/>
      <c r="G210" s="2" t="s">
        <v>267</v>
      </c>
      <c r="H210" s="2" t="str">
        <f aca="false">IF(LEFT(B210,10)="Arsenal v ",MID(B210,11,100),LEFT(B210,FIND(" v ",B210)-1))</f>
        <v>Derby County</v>
      </c>
      <c r="I210" s="2" t="str">
        <f aca="false">IF(F210&lt;&gt;"","N",IF(LEFT(B210,10)="Arsenal v ","H","A"))</f>
        <v>A</v>
      </c>
      <c r="J210" s="2"/>
    </row>
    <row r="211" customFormat="false" ht="15" hidden="false" customHeight="false" outlineLevel="0" collapsed="false">
      <c r="A211" s="3" t="n">
        <v>33910</v>
      </c>
      <c r="B211" s="2" t="s">
        <v>433</v>
      </c>
      <c r="C211" s="2" t="s">
        <v>702</v>
      </c>
      <c r="D211" s="2" t="s">
        <v>360</v>
      </c>
      <c r="E211" s="2" t="s">
        <v>356</v>
      </c>
      <c r="F211" s="2"/>
      <c r="G211" s="2" t="s">
        <v>267</v>
      </c>
      <c r="H211" s="2" t="str">
        <f aca="false">IF(LEFT(B211,10)="Arsenal v ",MID(B211,11,100),LEFT(B211,FIND(" v ",B211)-1))</f>
        <v>Crystal Palace</v>
      </c>
      <c r="I211" s="2" t="str">
        <f aca="false">IF(F211&lt;&gt;"","N",IF(LEFT(B211,10)="Arsenal v ","H","A"))</f>
        <v>A</v>
      </c>
      <c r="J211" s="2"/>
    </row>
    <row r="212" customFormat="false" ht="15" hidden="false" customHeight="false" outlineLevel="0" collapsed="false">
      <c r="A212" s="3" t="n">
        <v>33915</v>
      </c>
      <c r="B212" s="2" t="s">
        <v>709</v>
      </c>
      <c r="C212" s="2" t="s">
        <v>702</v>
      </c>
      <c r="D212" s="2" t="s">
        <v>434</v>
      </c>
      <c r="E212" s="2" t="s">
        <v>356</v>
      </c>
      <c r="F212" s="2"/>
      <c r="G212" s="2" t="s">
        <v>267</v>
      </c>
      <c r="H212" s="2" t="str">
        <f aca="false">IF(LEFT(B212,10)="Arsenal v ",MID(B212,11,100),LEFT(B212,FIND(" v ",B212)-1))</f>
        <v>Coventry City</v>
      </c>
      <c r="I212" s="2" t="str">
        <f aca="false">IF(F212&lt;&gt;"","N",IF(LEFT(B212,10)="Arsenal v ","H","A"))</f>
        <v>H</v>
      </c>
      <c r="J212" s="2"/>
    </row>
    <row r="213" customFormat="false" ht="15" hidden="false" customHeight="false" outlineLevel="0" collapsed="false">
      <c r="A213" s="3" t="n">
        <v>33929</v>
      </c>
      <c r="B213" s="2" t="s">
        <v>473</v>
      </c>
      <c r="C213" s="2" t="s">
        <v>704</v>
      </c>
      <c r="D213" s="2" t="s">
        <v>434</v>
      </c>
      <c r="E213" s="2" t="s">
        <v>356</v>
      </c>
      <c r="F213" s="2"/>
      <c r="G213" s="2" t="s">
        <v>267</v>
      </c>
      <c r="H213" s="2" t="str">
        <f aca="false">IF(LEFT(B213,10)="Arsenal v ",MID(B213,11,100),LEFT(B213,FIND(" v ",B213)-1))</f>
        <v>Leeds United</v>
      </c>
      <c r="I213" s="2" t="str">
        <f aca="false">IF(F213&lt;&gt;"","N",IF(LEFT(B213,10)="Arsenal v ","H","A"))</f>
        <v>A</v>
      </c>
      <c r="J213" s="2"/>
    </row>
    <row r="214" customFormat="false" ht="15" hidden="false" customHeight="false" outlineLevel="0" collapsed="false">
      <c r="A214" s="3" t="n">
        <v>33936</v>
      </c>
      <c r="B214" s="2" t="s">
        <v>656</v>
      </c>
      <c r="C214" s="2" t="s">
        <v>704</v>
      </c>
      <c r="D214" s="2" t="s">
        <v>383</v>
      </c>
      <c r="E214" s="2" t="s">
        <v>356</v>
      </c>
      <c r="F214" s="2"/>
      <c r="G214" s="2" t="s">
        <v>267</v>
      </c>
      <c r="H214" s="2" t="str">
        <f aca="false">IF(LEFT(B214,10)="Arsenal v ",MID(B214,11,100),LEFT(B214,FIND(" v ",B214)-1))</f>
        <v>Manchester United</v>
      </c>
      <c r="I214" s="2" t="str">
        <f aca="false">IF(F214&lt;&gt;"","N",IF(LEFT(B214,10)="Arsenal v ","H","A"))</f>
        <v>H</v>
      </c>
      <c r="J214" s="2"/>
    </row>
    <row r="215" customFormat="false" ht="15" hidden="false" customHeight="false" outlineLevel="0" collapsed="false">
      <c r="A215" s="3" t="n">
        <v>33939</v>
      </c>
      <c r="B215" s="2" t="s">
        <v>721</v>
      </c>
      <c r="C215" s="2" t="s">
        <v>702</v>
      </c>
      <c r="D215" s="2" t="s">
        <v>359</v>
      </c>
      <c r="E215" s="2" t="s">
        <v>379</v>
      </c>
      <c r="F215" s="2"/>
      <c r="G215" s="2" t="s">
        <v>267</v>
      </c>
      <c r="H215" s="2" t="str">
        <f aca="false">IF(LEFT(B215,10)="Arsenal v ",MID(B215,11,100),LEFT(B215,FIND(" v ",B215)-1))</f>
        <v>Derby County</v>
      </c>
      <c r="I215" s="2" t="str">
        <f aca="false">IF(F215&lt;&gt;"","N",IF(LEFT(B215,10)="Arsenal v ","H","A"))</f>
        <v>H</v>
      </c>
      <c r="J215" s="2"/>
    </row>
    <row r="216" customFormat="false" ht="15" hidden="false" customHeight="false" outlineLevel="0" collapsed="false">
      <c r="A216" s="3" t="n">
        <v>33943</v>
      </c>
      <c r="B216" s="2" t="s">
        <v>546</v>
      </c>
      <c r="C216" s="2" t="s">
        <v>704</v>
      </c>
      <c r="D216" s="2" t="s">
        <v>351</v>
      </c>
      <c r="E216" s="2" t="s">
        <v>356</v>
      </c>
      <c r="F216" s="2"/>
      <c r="G216" s="2" t="s">
        <v>267</v>
      </c>
      <c r="H216" s="2" t="str">
        <f aca="false">IF(LEFT(B216,10)="Arsenal v ",MID(B216,11,100),LEFT(B216,FIND(" v ",B216)-1))</f>
        <v>Southampton</v>
      </c>
      <c r="I216" s="2" t="str">
        <f aca="false">IF(F216&lt;&gt;"","N",IF(LEFT(B216,10)="Arsenal v ","H","A"))</f>
        <v>A</v>
      </c>
      <c r="J216" s="2"/>
    </row>
    <row r="217" customFormat="false" ht="15" hidden="false" customHeight="false" outlineLevel="0" collapsed="false">
      <c r="A217" s="3" t="n">
        <v>33950</v>
      </c>
      <c r="B217" s="2" t="s">
        <v>561</v>
      </c>
      <c r="C217" s="2" t="s">
        <v>704</v>
      </c>
      <c r="D217" s="2" t="s">
        <v>348</v>
      </c>
      <c r="E217" s="2" t="s">
        <v>356</v>
      </c>
      <c r="F217" s="2"/>
      <c r="G217" s="2" t="s">
        <v>267</v>
      </c>
      <c r="H217" s="2" t="str">
        <f aca="false">IF(LEFT(B217,10)="Arsenal v ",MID(B217,11,100),LEFT(B217,FIND(" v ",B217)-1))</f>
        <v>Tottenham Hotspur</v>
      </c>
      <c r="I217" s="2" t="str">
        <f aca="false">IF(F217&lt;&gt;"","N",IF(LEFT(B217,10)="Arsenal v ","H","A"))</f>
        <v>A</v>
      </c>
      <c r="J217" s="2"/>
    </row>
    <row r="218" customFormat="false" ht="15" hidden="false" customHeight="false" outlineLevel="0" collapsed="false">
      <c r="A218" s="3" t="n">
        <v>33957</v>
      </c>
      <c r="B218" s="2" t="s">
        <v>711</v>
      </c>
      <c r="C218" s="2" t="s">
        <v>706</v>
      </c>
      <c r="D218" s="2" t="s">
        <v>361</v>
      </c>
      <c r="E218" s="2" t="s">
        <v>356</v>
      </c>
      <c r="F218" s="2"/>
      <c r="G218" s="2" t="s">
        <v>267</v>
      </c>
      <c r="H218" s="2" t="str">
        <f aca="false">IF(LEFT(B218,10)="Arsenal v ",MID(B218,11,100),LEFT(B218,FIND(" v ",B218)-1))</f>
        <v>Middlesbrough</v>
      </c>
      <c r="I218" s="2" t="str">
        <f aca="false">IF(F218&lt;&gt;"","N",IF(LEFT(B218,10)="Arsenal v ","H","A"))</f>
        <v>H</v>
      </c>
      <c r="J218" s="2"/>
    </row>
    <row r="219" customFormat="false" ht="15" hidden="false" customHeight="false" outlineLevel="0" collapsed="false">
      <c r="A219" s="3" t="n">
        <v>33964</v>
      </c>
      <c r="B219" s="2" t="s">
        <v>738</v>
      </c>
      <c r="C219" s="2" t="s">
        <v>706</v>
      </c>
      <c r="D219" s="2" t="s">
        <v>369</v>
      </c>
      <c r="E219" s="2" t="s">
        <v>356</v>
      </c>
      <c r="F219" s="2"/>
      <c r="G219" s="2" t="s">
        <v>267</v>
      </c>
      <c r="H219" s="2" t="str">
        <f aca="false">IF(LEFT(B219,10)="Arsenal v ",MID(B219,11,100),LEFT(B219,FIND(" v ",B219)-1))</f>
        <v>Ipswich Town</v>
      </c>
      <c r="I219" s="2" t="str">
        <f aca="false">IF(F219&lt;&gt;"","N",IF(LEFT(B219,10)="Arsenal v ","H","A"))</f>
        <v>H</v>
      </c>
      <c r="J219" s="2"/>
    </row>
    <row r="220" customFormat="false" ht="15" hidden="false" customHeight="false" outlineLevel="0" collapsed="false">
      <c r="A220" s="3" t="n">
        <v>33966</v>
      </c>
      <c r="B220" s="2" t="s">
        <v>376</v>
      </c>
      <c r="C220" s="2" t="s">
        <v>704</v>
      </c>
      <c r="D220" s="2" t="s">
        <v>348</v>
      </c>
      <c r="E220" s="2" t="s">
        <v>356</v>
      </c>
      <c r="F220" s="2"/>
      <c r="G220" s="2" t="s">
        <v>267</v>
      </c>
      <c r="H220" s="2" t="str">
        <f aca="false">IF(LEFT(B220,10)="Arsenal v ",MID(B220,11,100),LEFT(B220,FIND(" v ",B220)-1))</f>
        <v>Aston Villa</v>
      </c>
      <c r="I220" s="2" t="str">
        <f aca="false">IF(F220&lt;&gt;"","N",IF(LEFT(B220,10)="Arsenal v ","H","A"))</f>
        <v>A</v>
      </c>
      <c r="J220" s="2"/>
    </row>
    <row r="221" customFormat="false" ht="15" hidden="false" customHeight="false" outlineLevel="0" collapsed="false">
      <c r="A221" s="3" t="n">
        <v>33971</v>
      </c>
      <c r="B221" s="2" t="s">
        <v>577</v>
      </c>
      <c r="C221" s="2" t="s">
        <v>702</v>
      </c>
      <c r="D221" s="2" t="s">
        <v>373</v>
      </c>
      <c r="E221" s="2" t="s">
        <v>362</v>
      </c>
      <c r="F221" s="2"/>
      <c r="G221" s="2" t="s">
        <v>267</v>
      </c>
      <c r="H221" s="2" t="str">
        <f aca="false">IF(LEFT(B221,10)="Arsenal v ",MID(B221,11,100),LEFT(B221,FIND(" v ",B221)-1))</f>
        <v>Yeovil Town</v>
      </c>
      <c r="I221" s="2" t="str">
        <f aca="false">IF(F221&lt;&gt;"","N",IF(LEFT(B221,10)="Arsenal v ","H","A"))</f>
        <v>A</v>
      </c>
      <c r="J221" s="2"/>
    </row>
    <row r="222" customFormat="false" ht="15" hidden="false" customHeight="false" outlineLevel="0" collapsed="false">
      <c r="A222" s="3" t="n">
        <v>33975</v>
      </c>
      <c r="B222" s="2" t="s">
        <v>537</v>
      </c>
      <c r="C222" s="2" t="s">
        <v>702</v>
      </c>
      <c r="D222" s="2" t="s">
        <v>383</v>
      </c>
      <c r="E222" s="2" t="s">
        <v>379</v>
      </c>
      <c r="F222" s="2"/>
      <c r="G222" s="2" t="s">
        <v>267</v>
      </c>
      <c r="H222" s="2" t="str">
        <f aca="false">IF(LEFT(B222,10)="Arsenal v ",MID(B222,11,100),LEFT(B222,FIND(" v ",B222)-1))</f>
        <v>Scarborough</v>
      </c>
      <c r="I222" s="2" t="str">
        <f aca="false">IF(F222&lt;&gt;"","N",IF(LEFT(B222,10)="Arsenal v ","H","A"))</f>
        <v>A</v>
      </c>
      <c r="J222" s="2"/>
    </row>
    <row r="223" customFormat="false" ht="15" hidden="false" customHeight="false" outlineLevel="0" collapsed="false">
      <c r="A223" s="3" t="n">
        <v>33978</v>
      </c>
      <c r="B223" s="2" t="s">
        <v>728</v>
      </c>
      <c r="C223" s="2" t="s">
        <v>706</v>
      </c>
      <c r="D223" s="2" t="s">
        <v>361</v>
      </c>
      <c r="E223" s="2" t="s">
        <v>356</v>
      </c>
      <c r="F223" s="2"/>
      <c r="G223" s="2" t="s">
        <v>267</v>
      </c>
      <c r="H223" s="2" t="str">
        <f aca="false">IF(LEFT(B223,10)="Arsenal v ",MID(B223,11,100),LEFT(B223,FIND(" v ",B223)-1))</f>
        <v>Sheffield United</v>
      </c>
      <c r="I223" s="2" t="str">
        <f aca="false">IF(F223&lt;&gt;"","N",IF(LEFT(B223,10)="Arsenal v ","H","A"))</f>
        <v>H</v>
      </c>
      <c r="J223" s="2"/>
    </row>
    <row r="224" customFormat="false" ht="15" hidden="false" customHeight="false" outlineLevel="0" collapsed="false">
      <c r="A224" s="3" t="n">
        <v>33981</v>
      </c>
      <c r="B224" s="2" t="s">
        <v>716</v>
      </c>
      <c r="C224" s="2" t="s">
        <v>702</v>
      </c>
      <c r="D224" s="2" t="s">
        <v>351</v>
      </c>
      <c r="E224" s="2" t="s">
        <v>379</v>
      </c>
      <c r="F224" s="2"/>
      <c r="G224" s="2" t="s">
        <v>267</v>
      </c>
      <c r="H224" s="2" t="str">
        <f aca="false">IF(LEFT(B224,10)="Arsenal v ",MID(B224,11,100),LEFT(B224,FIND(" v ",B224)-1))</f>
        <v>Nottingham Forest</v>
      </c>
      <c r="I224" s="2" t="str">
        <f aca="false">IF(F224&lt;&gt;"","N",IF(LEFT(B224,10)="Arsenal v ","H","A"))</f>
        <v>H</v>
      </c>
      <c r="J224" s="2"/>
    </row>
    <row r="225" customFormat="false" ht="15" hidden="false" customHeight="false" outlineLevel="0" collapsed="false">
      <c r="A225" s="3" t="n">
        <v>33985</v>
      </c>
      <c r="B225" s="2" t="s">
        <v>487</v>
      </c>
      <c r="C225" s="2" t="s">
        <v>702</v>
      </c>
      <c r="D225" s="2" t="s">
        <v>383</v>
      </c>
      <c r="E225" s="2" t="s">
        <v>356</v>
      </c>
      <c r="F225" s="2"/>
      <c r="G225" s="2" t="s">
        <v>267</v>
      </c>
      <c r="H225" s="2" t="str">
        <f aca="false">IF(LEFT(B225,10)="Arsenal v ",MID(B225,11,100),LEFT(B225,FIND(" v ",B225)-1))</f>
        <v>Manchester City</v>
      </c>
      <c r="I225" s="2" t="str">
        <f aca="false">IF(F225&lt;&gt;"","N",IF(LEFT(B225,10)="Arsenal v ","H","A"))</f>
        <v>A</v>
      </c>
      <c r="J225" s="2"/>
    </row>
    <row r="226" customFormat="false" ht="15" hidden="false" customHeight="false" outlineLevel="0" collapsed="false">
      <c r="A226" s="3" t="n">
        <v>33994</v>
      </c>
      <c r="B226" s="2" t="s">
        <v>729</v>
      </c>
      <c r="C226" s="2" t="s">
        <v>706</v>
      </c>
      <c r="D226" s="2" t="s">
        <v>380</v>
      </c>
      <c r="E226" s="2" t="s">
        <v>362</v>
      </c>
      <c r="F226" s="2"/>
      <c r="G226" s="2" t="s">
        <v>267</v>
      </c>
      <c r="H226" s="2" t="str">
        <f aca="false">IF(LEFT(B226,10)="Arsenal v ",MID(B226,11,100),LEFT(B226,FIND(" v ",B226)-1))</f>
        <v>Leeds United</v>
      </c>
      <c r="I226" s="2" t="str">
        <f aca="false">IF(F226&lt;&gt;"","N",IF(LEFT(B226,10)="Arsenal v ","H","A"))</f>
        <v>H</v>
      </c>
      <c r="J226" s="2"/>
    </row>
    <row r="227" customFormat="false" ht="15" hidden="false" customHeight="false" outlineLevel="0" collapsed="false">
      <c r="A227" s="3" t="n">
        <v>34000</v>
      </c>
      <c r="B227" s="2" t="s">
        <v>710</v>
      </c>
      <c r="C227" s="2" t="s">
        <v>704</v>
      </c>
      <c r="D227" s="2" t="s">
        <v>383</v>
      </c>
      <c r="E227" s="2" t="s">
        <v>356</v>
      </c>
      <c r="F227" s="2"/>
      <c r="G227" s="2" t="s">
        <v>267</v>
      </c>
      <c r="H227" s="2" t="str">
        <f aca="false">IF(LEFT(B227,10)="Arsenal v ",MID(B227,11,100),LEFT(B227,FIND(" v ",B227)-1))</f>
        <v>Liverpool</v>
      </c>
      <c r="I227" s="2" t="str">
        <f aca="false">IF(F227&lt;&gt;"","N",IF(LEFT(B227,10)="Arsenal v ","H","A"))</f>
        <v>H</v>
      </c>
      <c r="J227" s="2"/>
    </row>
    <row r="228" customFormat="false" ht="15" hidden="false" customHeight="false" outlineLevel="0" collapsed="false">
      <c r="A228" s="3" t="n">
        <v>34003</v>
      </c>
      <c r="B228" s="2" t="s">
        <v>473</v>
      </c>
      <c r="C228" s="2" t="s">
        <v>702</v>
      </c>
      <c r="D228" s="2" t="s">
        <v>366</v>
      </c>
      <c r="E228" s="2" t="s">
        <v>362</v>
      </c>
      <c r="F228" s="2"/>
      <c r="G228" s="2" t="s">
        <v>267</v>
      </c>
      <c r="H228" s="2" t="str">
        <f aca="false">IF(LEFT(B228,10)="Arsenal v ",MID(B228,11,100),LEFT(B228,FIND(" v ",B228)-1))</f>
        <v>Leeds United</v>
      </c>
      <c r="I228" s="2" t="str">
        <f aca="false">IF(F228&lt;&gt;"","N",IF(LEFT(B228,10)="Arsenal v ","H","A"))</f>
        <v>A</v>
      </c>
      <c r="J228" s="2"/>
    </row>
    <row r="229" customFormat="false" ht="15" hidden="false" customHeight="false" outlineLevel="0" collapsed="false">
      <c r="A229" s="3" t="n">
        <v>34007</v>
      </c>
      <c r="B229" s="2" t="s">
        <v>433</v>
      </c>
      <c r="C229" s="2" t="s">
        <v>702</v>
      </c>
      <c r="D229" s="2" t="s">
        <v>373</v>
      </c>
      <c r="E229" s="2" t="s">
        <v>379</v>
      </c>
      <c r="F229" s="2"/>
      <c r="G229" s="2" t="s">
        <v>267</v>
      </c>
      <c r="H229" s="2" t="str">
        <f aca="false">IF(LEFT(B229,10)="Arsenal v ",MID(B229,11,100),LEFT(B229,FIND(" v ",B229)-1))</f>
        <v>Crystal Palace</v>
      </c>
      <c r="I229" s="2" t="str">
        <f aca="false">IF(F229&lt;&gt;"","N",IF(LEFT(B229,10)="Arsenal v ","H","A"))</f>
        <v>A</v>
      </c>
      <c r="J229" s="2"/>
    </row>
    <row r="230" customFormat="false" ht="15" hidden="false" customHeight="false" outlineLevel="0" collapsed="false">
      <c r="A230" s="3" t="n">
        <v>34010</v>
      </c>
      <c r="B230" s="2" t="s">
        <v>722</v>
      </c>
      <c r="C230" s="2" t="s">
        <v>704</v>
      </c>
      <c r="D230" s="2" t="s">
        <v>383</v>
      </c>
      <c r="E230" s="2" t="s">
        <v>356</v>
      </c>
      <c r="F230" s="2"/>
      <c r="G230" s="2" t="s">
        <v>267</v>
      </c>
      <c r="H230" s="2" t="str">
        <f aca="false">IF(LEFT(B230,10)="Arsenal v ",MID(B230,11,100),LEFT(B230,FIND(" v ",B230)-1))</f>
        <v>Wimbledon</v>
      </c>
      <c r="I230" s="2" t="str">
        <f aca="false">IF(F230&lt;&gt;"","N",IF(LEFT(B230,10)="Arsenal v ","H","A"))</f>
        <v>H</v>
      </c>
      <c r="J230" s="2"/>
    </row>
    <row r="231" customFormat="false" ht="15" hidden="false" customHeight="false" outlineLevel="0" collapsed="false">
      <c r="A231" s="3" t="n">
        <v>34013</v>
      </c>
      <c r="B231" s="2" t="s">
        <v>716</v>
      </c>
      <c r="C231" s="2" t="s">
        <v>702</v>
      </c>
      <c r="D231" s="2" t="s">
        <v>351</v>
      </c>
      <c r="E231" s="2" t="s">
        <v>362</v>
      </c>
      <c r="F231" s="2"/>
      <c r="G231" s="2" t="s">
        <v>267</v>
      </c>
      <c r="H231" s="2" t="str">
        <f aca="false">IF(LEFT(B231,10)="Arsenal v ",MID(B231,11,100),LEFT(B231,FIND(" v ",B231)-1))</f>
        <v>Nottingham Forest</v>
      </c>
      <c r="I231" s="2" t="str">
        <f aca="false">IF(F231&lt;&gt;"","N",IF(LEFT(B231,10)="Arsenal v ","H","A"))</f>
        <v>H</v>
      </c>
      <c r="J231" s="2"/>
    </row>
    <row r="232" customFormat="false" ht="15" hidden="false" customHeight="false" outlineLevel="0" collapsed="false">
      <c r="A232" s="3" t="n">
        <v>34020</v>
      </c>
      <c r="B232" s="2" t="s">
        <v>506</v>
      </c>
      <c r="C232" s="2" t="s">
        <v>702</v>
      </c>
      <c r="D232" s="2" t="s">
        <v>383</v>
      </c>
      <c r="E232" s="2" t="s">
        <v>356</v>
      </c>
      <c r="F232" s="2"/>
      <c r="G232" s="2" t="s">
        <v>267</v>
      </c>
      <c r="H232" s="2" t="str">
        <f aca="false">IF(LEFT(B232,10)="Arsenal v ",MID(B232,11,100),LEFT(B232,FIND(" v ",B232)-1))</f>
        <v>Oldham Athletic</v>
      </c>
      <c r="I232" s="2" t="str">
        <f aca="false">IF(F232&lt;&gt;"","N",IF(LEFT(B232,10)="Arsenal v ","H","A"))</f>
        <v>A</v>
      </c>
      <c r="J232" s="2"/>
    </row>
    <row r="233" customFormat="false" ht="15" hidden="false" customHeight="false" outlineLevel="0" collapsed="false">
      <c r="A233" s="3" t="n">
        <v>34024</v>
      </c>
      <c r="B233" s="2" t="s">
        <v>729</v>
      </c>
      <c r="C233" s="2" t="s">
        <v>706</v>
      </c>
      <c r="D233" s="2" t="s">
        <v>369</v>
      </c>
      <c r="E233" s="2" t="s">
        <v>356</v>
      </c>
      <c r="F233" s="2"/>
      <c r="G233" s="2" t="s">
        <v>267</v>
      </c>
      <c r="H233" s="2" t="str">
        <f aca="false">IF(LEFT(B233,10)="Arsenal v ",MID(B233,11,100),LEFT(B233,FIND(" v ",B233)-1))</f>
        <v>Leeds United</v>
      </c>
      <c r="I233" s="2" t="str">
        <f aca="false">IF(F233&lt;&gt;"","N",IF(LEFT(B233,10)="Arsenal v ","H","A"))</f>
        <v>H</v>
      </c>
      <c r="J233" s="2"/>
    </row>
    <row r="234" customFormat="false" ht="15" hidden="false" customHeight="false" outlineLevel="0" collapsed="false">
      <c r="A234" s="3" t="n">
        <v>34029</v>
      </c>
      <c r="B234" s="2" t="s">
        <v>426</v>
      </c>
      <c r="C234" s="2" t="s">
        <v>704</v>
      </c>
      <c r="D234" s="2" t="s">
        <v>348</v>
      </c>
      <c r="E234" s="2" t="s">
        <v>356</v>
      </c>
      <c r="F234" s="2"/>
      <c r="G234" s="2" t="s">
        <v>267</v>
      </c>
      <c r="H234" s="2" t="str">
        <f aca="false">IF(LEFT(B234,10)="Arsenal v ",MID(B234,11,100),LEFT(B234,FIND(" v ",B234)-1))</f>
        <v>Chelsea</v>
      </c>
      <c r="I234" s="2" t="str">
        <f aca="false">IF(F234&lt;&gt;"","N",IF(LEFT(B234,10)="Arsenal v ","H","A"))</f>
        <v>A</v>
      </c>
      <c r="J234" s="2"/>
    </row>
    <row r="235" customFormat="false" ht="15" hidden="false" customHeight="false" outlineLevel="0" collapsed="false">
      <c r="A235" s="3" t="n">
        <v>34031</v>
      </c>
      <c r="B235" s="2" t="s">
        <v>502</v>
      </c>
      <c r="C235" s="2" t="s">
        <v>706</v>
      </c>
      <c r="D235" s="2" t="s">
        <v>361</v>
      </c>
      <c r="E235" s="2" t="s">
        <v>356</v>
      </c>
      <c r="F235" s="2"/>
      <c r="G235" s="2" t="s">
        <v>267</v>
      </c>
      <c r="H235" s="2" t="str">
        <f aca="false">IF(LEFT(B235,10)="Arsenal v ",MID(B235,11,100),LEFT(B235,FIND(" v ",B235)-1))</f>
        <v>Norwich City</v>
      </c>
      <c r="I235" s="2" t="str">
        <f aca="false">IF(F235&lt;&gt;"","N",IF(LEFT(B235,10)="Arsenal v ","H","A"))</f>
        <v>A</v>
      </c>
      <c r="J235" s="2"/>
    </row>
    <row r="236" customFormat="false" ht="15" hidden="false" customHeight="false" outlineLevel="0" collapsed="false">
      <c r="A236" s="3" t="n">
        <v>34034</v>
      </c>
      <c r="B236" s="2" t="s">
        <v>470</v>
      </c>
      <c r="C236" s="2" t="s">
        <v>702</v>
      </c>
      <c r="D236" s="2" t="s">
        <v>384</v>
      </c>
      <c r="E236" s="2" t="s">
        <v>362</v>
      </c>
      <c r="F236" s="2"/>
      <c r="G236" s="2" t="s">
        <v>267</v>
      </c>
      <c r="H236" s="2" t="str">
        <f aca="false">IF(LEFT(B236,10)="Arsenal v ",MID(B236,11,100),LEFT(B236,FIND(" v ",B236)-1))</f>
        <v>Ipswich Town</v>
      </c>
      <c r="I236" s="2" t="str">
        <f aca="false">IF(F236&lt;&gt;"","N",IF(LEFT(B236,10)="Arsenal v ","H","A"))</f>
        <v>A</v>
      </c>
      <c r="J236" s="2"/>
    </row>
    <row r="237" customFormat="false" ht="15" hidden="false" customHeight="false" outlineLevel="0" collapsed="false">
      <c r="A237" s="3" t="n">
        <v>34038</v>
      </c>
      <c r="B237" s="2" t="s">
        <v>724</v>
      </c>
      <c r="C237" s="2" t="s">
        <v>702</v>
      </c>
      <c r="D237" s="2" t="s">
        <v>351</v>
      </c>
      <c r="E237" s="2" t="s">
        <v>379</v>
      </c>
      <c r="F237" s="2"/>
      <c r="G237" s="2" t="s">
        <v>267</v>
      </c>
      <c r="H237" s="2" t="str">
        <f aca="false">IF(LEFT(B237,10)="Arsenal v ",MID(B237,11,100),LEFT(B237,FIND(" v ",B237)-1))</f>
        <v>Crystal Palace</v>
      </c>
      <c r="I237" s="2" t="str">
        <f aca="false">IF(F237&lt;&gt;"","N",IF(LEFT(B237,10)="Arsenal v ","H","A"))</f>
        <v>H</v>
      </c>
      <c r="J237" s="2"/>
    </row>
    <row r="238" customFormat="false" ht="15" hidden="false" customHeight="false" outlineLevel="0" collapsed="false">
      <c r="A238" s="3" t="n">
        <v>34041</v>
      </c>
      <c r="B238" s="2" t="s">
        <v>431</v>
      </c>
      <c r="C238" s="2" t="s">
        <v>702</v>
      </c>
      <c r="D238" s="2" t="s">
        <v>353</v>
      </c>
      <c r="E238" s="2" t="s">
        <v>356</v>
      </c>
      <c r="F238" s="2"/>
      <c r="G238" s="2" t="s">
        <v>267</v>
      </c>
      <c r="H238" s="2" t="str">
        <f aca="false">IF(LEFT(B238,10)="Arsenal v ",MID(B238,11,100),LEFT(B238,FIND(" v ",B238)-1))</f>
        <v>Coventry City</v>
      </c>
      <c r="I238" s="2" t="str">
        <f aca="false">IF(F238&lt;&gt;"","N",IF(LEFT(B238,10)="Arsenal v ","H","A"))</f>
        <v>A</v>
      </c>
      <c r="J238" s="2"/>
    </row>
    <row r="239" customFormat="false" ht="15" hidden="false" customHeight="false" outlineLevel="0" collapsed="false">
      <c r="A239" s="3" t="n">
        <v>34048</v>
      </c>
      <c r="B239" s="2" t="s">
        <v>705</v>
      </c>
      <c r="C239" s="2" t="s">
        <v>702</v>
      </c>
      <c r="D239" s="2" t="s">
        <v>408</v>
      </c>
      <c r="E239" s="2" t="s">
        <v>356</v>
      </c>
      <c r="F239" s="2"/>
      <c r="G239" s="2" t="s">
        <v>267</v>
      </c>
      <c r="H239" s="2" t="str">
        <f aca="false">IF(LEFT(B239,10)="Arsenal v ",MID(B239,11,100),LEFT(B239,FIND(" v ",B239)-1))</f>
        <v>Southampton</v>
      </c>
      <c r="I239" s="2" t="str">
        <f aca="false">IF(F239&lt;&gt;"","N",IF(LEFT(B239,10)="Arsenal v ","H","A"))</f>
        <v>H</v>
      </c>
      <c r="J239" s="2"/>
    </row>
    <row r="240" customFormat="false" ht="15" hidden="false" customHeight="false" outlineLevel="0" collapsed="false">
      <c r="A240" s="3" t="n">
        <v>34052</v>
      </c>
      <c r="B240" s="2" t="s">
        <v>490</v>
      </c>
      <c r="C240" s="2" t="s">
        <v>706</v>
      </c>
      <c r="D240" s="2" t="s">
        <v>369</v>
      </c>
      <c r="E240" s="2" t="s">
        <v>356</v>
      </c>
      <c r="F240" s="2"/>
      <c r="G240" s="2" t="s">
        <v>267</v>
      </c>
      <c r="H240" s="2" t="str">
        <f aca="false">IF(LEFT(B240,10)="Arsenal v ",MID(B240,11,100),LEFT(B240,FIND(" v ",B240)-1))</f>
        <v>Manchester United</v>
      </c>
      <c r="I240" s="2" t="str">
        <f aca="false">IF(F240&lt;&gt;"","N",IF(LEFT(B240,10)="Arsenal v ","H","A"))</f>
        <v>A</v>
      </c>
      <c r="J240" s="2"/>
    </row>
    <row r="241" customFormat="false" ht="15" hidden="false" customHeight="false" outlineLevel="0" collapsed="false">
      <c r="A241" s="3" t="n">
        <v>34063</v>
      </c>
      <c r="B241" s="2" t="s">
        <v>655</v>
      </c>
      <c r="C241" s="2" t="s">
        <v>702</v>
      </c>
      <c r="D241" s="2" t="s">
        <v>348</v>
      </c>
      <c r="E241" s="2" t="s">
        <v>362</v>
      </c>
      <c r="F241" s="2" t="s">
        <v>652</v>
      </c>
      <c r="G241" s="2" t="s">
        <v>267</v>
      </c>
      <c r="H241" s="2" t="str">
        <f aca="false">IF(LEFT(B241,10)="Arsenal v ",MID(B241,11,100),LEFT(B241,FIND(" v ",B241)-1))</f>
        <v>Tottenham Hotspur</v>
      </c>
      <c r="I241" s="2" t="str">
        <f aca="false">IF(F241&lt;&gt;"","N",IF(LEFT(B241,10)="Arsenal v ","H","A"))</f>
        <v>N</v>
      </c>
      <c r="J241" s="2"/>
    </row>
    <row r="242" customFormat="false" ht="15" hidden="false" customHeight="false" outlineLevel="0" collapsed="false">
      <c r="A242" s="3" t="n">
        <v>34065</v>
      </c>
      <c r="B242" s="2" t="s">
        <v>494</v>
      </c>
      <c r="C242" s="2" t="s">
        <v>704</v>
      </c>
      <c r="D242" s="2" t="s">
        <v>348</v>
      </c>
      <c r="E242" s="2" t="s">
        <v>356</v>
      </c>
      <c r="F242" s="2"/>
      <c r="G242" s="2" t="s">
        <v>267</v>
      </c>
      <c r="H242" s="2" t="str">
        <f aca="false">IF(LEFT(B242,10)="Arsenal v ",MID(B242,11,100),LEFT(B242,FIND(" v ",B242)-1))</f>
        <v>Middlesbrough</v>
      </c>
      <c r="I242" s="2" t="str">
        <f aca="false">IF(F242&lt;&gt;"","N",IF(LEFT(B242,10)="Arsenal v ","H","A"))</f>
        <v>A</v>
      </c>
      <c r="J242" s="2"/>
    </row>
    <row r="243" customFormat="false" ht="15" hidden="false" customHeight="false" outlineLevel="0" collapsed="false">
      <c r="A243" s="3" t="n">
        <v>34069</v>
      </c>
      <c r="B243" s="2" t="s">
        <v>470</v>
      </c>
      <c r="C243" s="2" t="s">
        <v>702</v>
      </c>
      <c r="D243" s="2" t="s">
        <v>360</v>
      </c>
      <c r="E243" s="2" t="s">
        <v>356</v>
      </c>
      <c r="F243" s="2"/>
      <c r="G243" s="2" t="s">
        <v>267</v>
      </c>
      <c r="H243" s="2" t="str">
        <f aca="false">IF(LEFT(B243,10)="Arsenal v ",MID(B243,11,100),LEFT(B243,FIND(" v ",B243)-1))</f>
        <v>Ipswich Town</v>
      </c>
      <c r="I243" s="2" t="str">
        <f aca="false">IF(F243&lt;&gt;"","N",IF(LEFT(B243,10)="Arsenal v ","H","A"))</f>
        <v>A</v>
      </c>
      <c r="J243" s="2"/>
    </row>
    <row r="244" customFormat="false" ht="15" hidden="false" customHeight="false" outlineLevel="0" collapsed="false">
      <c r="A244" s="3" t="n">
        <v>34071</v>
      </c>
      <c r="B244" s="2" t="s">
        <v>703</v>
      </c>
      <c r="C244" s="2" t="s">
        <v>704</v>
      </c>
      <c r="D244" s="2" t="s">
        <v>383</v>
      </c>
      <c r="E244" s="2" t="s">
        <v>356</v>
      </c>
      <c r="F244" s="2"/>
      <c r="G244" s="2" t="s">
        <v>267</v>
      </c>
      <c r="H244" s="2" t="str">
        <f aca="false">IF(LEFT(B244,10)="Arsenal v ",MID(B244,11,100),LEFT(B244,FIND(" v ",B244)-1))</f>
        <v>Aston Villa</v>
      </c>
      <c r="I244" s="2" t="str">
        <f aca="false">IF(F244&lt;&gt;"","N",IF(LEFT(B244,10)="Arsenal v ","H","A"))</f>
        <v>H</v>
      </c>
      <c r="J244" s="2"/>
    </row>
    <row r="245" customFormat="false" ht="15" hidden="false" customHeight="false" outlineLevel="0" collapsed="false">
      <c r="A245" s="3" t="n">
        <v>34077</v>
      </c>
      <c r="B245" s="2" t="s">
        <v>713</v>
      </c>
      <c r="C245" s="2" t="s">
        <v>702</v>
      </c>
      <c r="D245" s="2" t="s">
        <v>359</v>
      </c>
      <c r="E245" s="2" t="s">
        <v>379</v>
      </c>
      <c r="F245" s="2" t="s">
        <v>652</v>
      </c>
      <c r="G245" s="2" t="s">
        <v>267</v>
      </c>
      <c r="H245" s="2" t="str">
        <f aca="false">IF(LEFT(B245,10)="Arsenal v ",MID(B245,11,100),LEFT(B245,FIND(" v ",B245)-1))</f>
        <v>Sheffield Wednesday</v>
      </c>
      <c r="I245" s="2" t="str">
        <f aca="false">IF(F245&lt;&gt;"","N",IF(LEFT(B245,10)="Arsenal v ","H","A"))</f>
        <v>N</v>
      </c>
      <c r="J245" s="2"/>
    </row>
    <row r="246" customFormat="false" ht="15" hidden="false" customHeight="false" outlineLevel="0" collapsed="false">
      <c r="A246" s="3" t="n">
        <v>34080</v>
      </c>
      <c r="B246" s="2" t="s">
        <v>716</v>
      </c>
      <c r="C246" s="2" t="s">
        <v>706</v>
      </c>
      <c r="D246" s="2" t="s">
        <v>361</v>
      </c>
      <c r="E246" s="2" t="s">
        <v>356</v>
      </c>
      <c r="F246" s="2"/>
      <c r="G246" s="2" t="s">
        <v>267</v>
      </c>
      <c r="H246" s="2" t="str">
        <f aca="false">IF(LEFT(B246,10)="Arsenal v ",MID(B246,11,100),LEFT(B246,FIND(" v ",B246)-1))</f>
        <v>Nottingham Forest</v>
      </c>
      <c r="I246" s="2" t="str">
        <f aca="false">IF(F246&lt;&gt;"","N",IF(LEFT(B246,10)="Arsenal v ","H","A"))</f>
        <v>H</v>
      </c>
      <c r="J246" s="2"/>
    </row>
    <row r="247" customFormat="false" ht="15" hidden="false" customHeight="false" outlineLevel="0" collapsed="false">
      <c r="A247" s="3" t="n">
        <v>34090</v>
      </c>
      <c r="B247" s="2" t="s">
        <v>448</v>
      </c>
      <c r="C247" s="2" t="s">
        <v>706</v>
      </c>
      <c r="D247" s="2" t="s">
        <v>369</v>
      </c>
      <c r="E247" s="2" t="s">
        <v>356</v>
      </c>
      <c r="F247" s="2"/>
      <c r="G247" s="2" t="s">
        <v>267</v>
      </c>
      <c r="H247" s="2" t="str">
        <f aca="false">IF(LEFT(B247,10)="Arsenal v ",MID(B247,11,100),LEFT(B247,FIND(" v ",B247)-1))</f>
        <v>Everton</v>
      </c>
      <c r="I247" s="2" t="str">
        <f aca="false">IF(F247&lt;&gt;"","N",IF(LEFT(B247,10)="Arsenal v ","H","A"))</f>
        <v>A</v>
      </c>
      <c r="J247" s="2"/>
    </row>
    <row r="248" customFormat="false" ht="15" hidden="false" customHeight="false" outlineLevel="0" collapsed="false">
      <c r="A248" s="3" t="n">
        <v>34093</v>
      </c>
      <c r="B248" s="2" t="s">
        <v>708</v>
      </c>
      <c r="C248" s="2" t="s">
        <v>706</v>
      </c>
      <c r="D248" s="2" t="s">
        <v>369</v>
      </c>
      <c r="E248" s="2" t="s">
        <v>356</v>
      </c>
      <c r="F248" s="2"/>
      <c r="G248" s="2" t="s">
        <v>267</v>
      </c>
      <c r="H248" s="2" t="str">
        <f aca="false">IF(LEFT(B248,10)="Arsenal v ",MID(B248,11,100),LEFT(B248,FIND(" v ",B248)-1))</f>
        <v>Queens Park Rangers</v>
      </c>
      <c r="I248" s="2" t="str">
        <f aca="false">IF(F248&lt;&gt;"","N",IF(LEFT(B248,10)="Arsenal v ","H","A"))</f>
        <v>H</v>
      </c>
      <c r="J248" s="2"/>
    </row>
    <row r="249" customFormat="false" ht="15" hidden="false" customHeight="false" outlineLevel="0" collapsed="false">
      <c r="A249" s="3" t="n">
        <v>34095</v>
      </c>
      <c r="B249" s="2" t="s">
        <v>543</v>
      </c>
      <c r="C249" s="2" t="s">
        <v>704</v>
      </c>
      <c r="D249" s="2" t="s">
        <v>348</v>
      </c>
      <c r="E249" s="2" t="s">
        <v>356</v>
      </c>
      <c r="F249" s="2"/>
      <c r="G249" s="2" t="s">
        <v>267</v>
      </c>
      <c r="H249" s="2" t="str">
        <f aca="false">IF(LEFT(B249,10)="Arsenal v ",MID(B249,11,100),LEFT(B249,FIND(" v ",B249)-1))</f>
        <v>Sheffield Wednesday</v>
      </c>
      <c r="I249" s="2" t="str">
        <f aca="false">IF(F249&lt;&gt;"","N",IF(LEFT(B249,10)="Arsenal v ","H","A"))</f>
        <v>A</v>
      </c>
      <c r="J249" s="2"/>
    </row>
    <row r="250" customFormat="false" ht="15" hidden="false" customHeight="false" outlineLevel="0" collapsed="false">
      <c r="A250" s="3" t="n">
        <v>34097</v>
      </c>
      <c r="B250" s="2" t="s">
        <v>724</v>
      </c>
      <c r="C250" s="2" t="s">
        <v>702</v>
      </c>
      <c r="D250" s="2" t="s">
        <v>434</v>
      </c>
      <c r="E250" s="2" t="s">
        <v>356</v>
      </c>
      <c r="F250" s="2"/>
      <c r="G250" s="2" t="s">
        <v>267</v>
      </c>
      <c r="H250" s="2" t="str">
        <f aca="false">IF(LEFT(B250,10)="Arsenal v ",MID(B250,11,100),LEFT(B250,FIND(" v ",B250)-1))</f>
        <v>Crystal Palace</v>
      </c>
      <c r="I250" s="2" t="str">
        <f aca="false">IF(F250&lt;&gt;"","N",IF(LEFT(B250,10)="Arsenal v ","H","A"))</f>
        <v>H</v>
      </c>
      <c r="J250" s="2"/>
    </row>
    <row r="251" customFormat="false" ht="15" hidden="false" customHeight="false" outlineLevel="0" collapsed="false">
      <c r="A251" s="3" t="n">
        <v>34100</v>
      </c>
      <c r="B251" s="2" t="s">
        <v>655</v>
      </c>
      <c r="C251" s="2" t="s">
        <v>704</v>
      </c>
      <c r="D251" s="2" t="s">
        <v>373</v>
      </c>
      <c r="E251" s="2" t="s">
        <v>356</v>
      </c>
      <c r="F251" s="2"/>
      <c r="G251" s="2" t="s">
        <v>267</v>
      </c>
      <c r="H251" s="2" t="str">
        <f aca="false">IF(LEFT(B251,10)="Arsenal v ",MID(B251,11,100),LEFT(B251,FIND(" v ",B251)-1))</f>
        <v>Tottenham Hotspur</v>
      </c>
      <c r="I251" s="2" t="str">
        <f aca="false">IF(F251&lt;&gt;"","N",IF(LEFT(B251,10)="Arsenal v ","H","A"))</f>
        <v>H</v>
      </c>
      <c r="J251" s="2"/>
    </row>
    <row r="252" customFormat="false" ht="15" hidden="false" customHeight="false" outlineLevel="0" collapsed="false">
      <c r="A252" s="3" t="n">
        <v>34104</v>
      </c>
      <c r="B252" s="2" t="s">
        <v>713</v>
      </c>
      <c r="C252" s="2" t="s">
        <v>706</v>
      </c>
      <c r="D252" s="2" t="s">
        <v>361</v>
      </c>
      <c r="E252" s="2" t="s">
        <v>362</v>
      </c>
      <c r="F252" s="2" t="s">
        <v>652</v>
      </c>
      <c r="G252" s="2" t="s">
        <v>267</v>
      </c>
      <c r="H252" s="2" t="str">
        <f aca="false">IF(LEFT(B252,10)="Arsenal v ",MID(B252,11,100),LEFT(B252,FIND(" v ",B252)-1))</f>
        <v>Sheffield Wednesday</v>
      </c>
      <c r="I252" s="2" t="str">
        <f aca="false">IF(F252&lt;&gt;"","N",IF(LEFT(B252,10)="Arsenal v ","H","A"))</f>
        <v>N</v>
      </c>
      <c r="J252" s="2"/>
    </row>
    <row r="253" customFormat="false" ht="15" hidden="false" customHeight="false" outlineLevel="0" collapsed="false">
      <c r="A253" s="3" t="n">
        <v>34109</v>
      </c>
      <c r="B253" s="2" t="s">
        <v>713</v>
      </c>
      <c r="C253" s="2" t="s">
        <v>702</v>
      </c>
      <c r="D253" s="2" t="s">
        <v>359</v>
      </c>
      <c r="E253" s="2" t="s">
        <v>362</v>
      </c>
      <c r="F253" s="2" t="s">
        <v>652</v>
      </c>
      <c r="G253" s="2" t="s">
        <v>267</v>
      </c>
      <c r="H253" s="2" t="str">
        <f aca="false">IF(LEFT(B253,10)="Arsenal v ",MID(B253,11,100),LEFT(B253,FIND(" v ",B253)-1))</f>
        <v>Sheffield Wednesday</v>
      </c>
      <c r="I253" s="2" t="str">
        <f aca="false">IF(F253&lt;&gt;"","N",IF(LEFT(B253,10)="Arsenal v ","H","A"))</f>
        <v>N</v>
      </c>
      <c r="J253" s="2"/>
    </row>
    <row r="254" customFormat="false" ht="15" hidden="false" customHeight="false" outlineLevel="0" collapsed="false">
      <c r="A254" s="3" t="n">
        <v>34188</v>
      </c>
      <c r="B254" s="2" t="s">
        <v>656</v>
      </c>
      <c r="C254" s="2" t="s">
        <v>704</v>
      </c>
      <c r="D254" s="2" t="s">
        <v>739</v>
      </c>
      <c r="E254" s="2" t="s">
        <v>478</v>
      </c>
      <c r="F254" s="2"/>
      <c r="G254" s="2" t="s">
        <v>218</v>
      </c>
      <c r="H254" s="2" t="str">
        <f aca="false">IF(LEFT(B254,10)="Arsenal v ",MID(B254,11,100),LEFT(B254,FIND(" v ",B254)-1))</f>
        <v>Manchester United</v>
      </c>
      <c r="I254" s="2" t="str">
        <f aca="false">IF(F254&lt;&gt;"","N",IF(LEFT(B254,10)="Arsenal v ","H","A"))</f>
        <v>H</v>
      </c>
      <c r="J254" s="2"/>
    </row>
    <row r="255" customFormat="false" ht="15" hidden="false" customHeight="false" outlineLevel="0" collapsed="false">
      <c r="A255" s="3" t="n">
        <v>34195</v>
      </c>
      <c r="B255" s="2" t="s">
        <v>709</v>
      </c>
      <c r="C255" s="2" t="s">
        <v>704</v>
      </c>
      <c r="D255" s="2" t="s">
        <v>363</v>
      </c>
      <c r="E255" s="2" t="s">
        <v>356</v>
      </c>
      <c r="F255" s="2"/>
      <c r="G255" s="2" t="s">
        <v>218</v>
      </c>
      <c r="H255" s="2" t="str">
        <f aca="false">IF(LEFT(B255,10)="Arsenal v ",MID(B255,11,100),LEFT(B255,FIND(" v ",B255)-1))</f>
        <v>Coventry City</v>
      </c>
      <c r="I255" s="2" t="str">
        <f aca="false">IF(F255&lt;&gt;"","N",IF(LEFT(B255,10)="Arsenal v ","H","A"))</f>
        <v>H</v>
      </c>
      <c r="J255" s="2"/>
    </row>
    <row r="256" customFormat="false" ht="15" hidden="false" customHeight="false" outlineLevel="0" collapsed="false">
      <c r="A256" s="3" t="n">
        <v>34197</v>
      </c>
      <c r="B256" s="2" t="s">
        <v>561</v>
      </c>
      <c r="C256" s="2" t="s">
        <v>702</v>
      </c>
      <c r="D256" s="2" t="s">
        <v>383</v>
      </c>
      <c r="E256" s="2" t="s">
        <v>356</v>
      </c>
      <c r="F256" s="2"/>
      <c r="G256" s="2" t="s">
        <v>218</v>
      </c>
      <c r="H256" s="2" t="str">
        <f aca="false">IF(LEFT(B256,10)="Arsenal v ",MID(B256,11,100),LEFT(B256,FIND(" v ",B256)-1))</f>
        <v>Tottenham Hotspur</v>
      </c>
      <c r="I256" s="2" t="str">
        <f aca="false">IF(F256&lt;&gt;"","N",IF(LEFT(B256,10)="Arsenal v ","H","A"))</f>
        <v>A</v>
      </c>
      <c r="J256" s="2"/>
    </row>
    <row r="257" customFormat="false" ht="15" hidden="false" customHeight="false" outlineLevel="0" collapsed="false">
      <c r="A257" s="3" t="n">
        <v>34202</v>
      </c>
      <c r="B257" s="2" t="s">
        <v>543</v>
      </c>
      <c r="C257" s="2" t="s">
        <v>702</v>
      </c>
      <c r="D257" s="2" t="s">
        <v>383</v>
      </c>
      <c r="E257" s="2" t="s">
        <v>356</v>
      </c>
      <c r="F257" s="2"/>
      <c r="G257" s="2" t="s">
        <v>218</v>
      </c>
      <c r="H257" s="2" t="str">
        <f aca="false">IF(LEFT(B257,10)="Arsenal v ",MID(B257,11,100),LEFT(B257,FIND(" v ",B257)-1))</f>
        <v>Sheffield Wednesday</v>
      </c>
      <c r="I257" s="2" t="str">
        <f aca="false">IF(F257&lt;&gt;"","N",IF(LEFT(B257,10)="Arsenal v ","H","A"))</f>
        <v>A</v>
      </c>
      <c r="J257" s="2"/>
    </row>
    <row r="258" customFormat="false" ht="15" hidden="false" customHeight="false" outlineLevel="0" collapsed="false">
      <c r="A258" s="3" t="n">
        <v>34205</v>
      </c>
      <c r="B258" s="2" t="s">
        <v>729</v>
      </c>
      <c r="C258" s="2" t="s">
        <v>702</v>
      </c>
      <c r="D258" s="2" t="s">
        <v>359</v>
      </c>
      <c r="E258" s="2" t="s">
        <v>356</v>
      </c>
      <c r="F258" s="2"/>
      <c r="G258" s="2" t="s">
        <v>218</v>
      </c>
      <c r="H258" s="2" t="str">
        <f aca="false">IF(LEFT(B258,10)="Arsenal v ",MID(B258,11,100),LEFT(B258,FIND(" v ",B258)-1))</f>
        <v>Leeds United</v>
      </c>
      <c r="I258" s="2" t="str">
        <f aca="false">IF(F258&lt;&gt;"","N",IF(LEFT(B258,10)="Arsenal v ","H","A"))</f>
        <v>H</v>
      </c>
      <c r="J258" s="2"/>
    </row>
    <row r="259" customFormat="false" ht="15" hidden="false" customHeight="false" outlineLevel="0" collapsed="false">
      <c r="A259" s="3" t="n">
        <v>34209</v>
      </c>
      <c r="B259" s="2" t="s">
        <v>718</v>
      </c>
      <c r="C259" s="2" t="s">
        <v>702</v>
      </c>
      <c r="D259" s="2" t="s">
        <v>351</v>
      </c>
      <c r="E259" s="2" t="s">
        <v>356</v>
      </c>
      <c r="F259" s="2"/>
      <c r="G259" s="2" t="s">
        <v>218</v>
      </c>
      <c r="H259" s="2" t="str">
        <f aca="false">IF(LEFT(B259,10)="Arsenal v ",MID(B259,11,100),LEFT(B259,FIND(" v ",B259)-1))</f>
        <v>Everton</v>
      </c>
      <c r="I259" s="2" t="str">
        <f aca="false">IF(F259&lt;&gt;"","N",IF(LEFT(B259,10)="Arsenal v ","H","A"))</f>
        <v>H</v>
      </c>
      <c r="J259" s="2"/>
    </row>
    <row r="260" customFormat="false" ht="15" hidden="false" customHeight="false" outlineLevel="0" collapsed="false">
      <c r="A260" s="3" t="n">
        <v>34213</v>
      </c>
      <c r="B260" s="2" t="s">
        <v>406</v>
      </c>
      <c r="C260" s="2" t="s">
        <v>706</v>
      </c>
      <c r="D260" s="2" t="s">
        <v>361</v>
      </c>
      <c r="E260" s="2" t="s">
        <v>356</v>
      </c>
      <c r="F260" s="2"/>
      <c r="G260" s="2" t="s">
        <v>218</v>
      </c>
      <c r="H260" s="2" t="str">
        <f aca="false">IF(LEFT(B260,10)="Arsenal v ",MID(B260,11,100),LEFT(B260,FIND(" v ",B260)-1))</f>
        <v>Blackburn Rovers</v>
      </c>
      <c r="I260" s="2" t="str">
        <f aca="false">IF(F260&lt;&gt;"","N",IF(LEFT(B260,10)="Arsenal v ","H","A"))</f>
        <v>A</v>
      </c>
      <c r="J260" s="2"/>
    </row>
    <row r="261" customFormat="false" ht="15" hidden="false" customHeight="false" outlineLevel="0" collapsed="false">
      <c r="A261" s="3" t="n">
        <v>34223</v>
      </c>
      <c r="B261" s="2" t="s">
        <v>738</v>
      </c>
      <c r="C261" s="2" t="s">
        <v>702</v>
      </c>
      <c r="D261" s="2" t="s">
        <v>354</v>
      </c>
      <c r="E261" s="2" t="s">
        <v>356</v>
      </c>
      <c r="F261" s="2"/>
      <c r="G261" s="2" t="s">
        <v>218</v>
      </c>
      <c r="H261" s="2" t="str">
        <f aca="false">IF(LEFT(B261,10)="Arsenal v ",MID(B261,11,100),LEFT(B261,FIND(" v ",B261)-1))</f>
        <v>Ipswich Town</v>
      </c>
      <c r="I261" s="2" t="str">
        <f aca="false">IF(F261&lt;&gt;"","N",IF(LEFT(B261,10)="Arsenal v ","H","A"))</f>
        <v>H</v>
      </c>
      <c r="J261" s="2"/>
    </row>
    <row r="262" customFormat="false" ht="15" hidden="false" customHeight="false" outlineLevel="0" collapsed="false">
      <c r="A262" s="3" t="n">
        <v>34227</v>
      </c>
      <c r="B262" s="2" t="s">
        <v>505</v>
      </c>
      <c r="C262" s="2" t="s">
        <v>702</v>
      </c>
      <c r="D262" s="2" t="s">
        <v>360</v>
      </c>
      <c r="E262" s="2" t="s">
        <v>393</v>
      </c>
      <c r="F262" s="2"/>
      <c r="G262" s="2" t="s">
        <v>218</v>
      </c>
      <c r="H262" s="2" t="str">
        <f aca="false">IF(LEFT(B262,10)="Arsenal v ",MID(B262,11,100),LEFT(B262,FIND(" v ",B262)-1))</f>
        <v>OB Odense</v>
      </c>
      <c r="I262" s="2" t="str">
        <f aca="false">IF(F262&lt;&gt;"","N",IF(LEFT(B262,10)="Arsenal v ","H","A"))</f>
        <v>A</v>
      </c>
      <c r="J262" s="2"/>
    </row>
    <row r="263" customFormat="false" ht="15" hidden="false" customHeight="false" outlineLevel="0" collapsed="false">
      <c r="A263" s="3" t="n">
        <v>34231</v>
      </c>
      <c r="B263" s="2" t="s">
        <v>490</v>
      </c>
      <c r="C263" s="2" t="s">
        <v>704</v>
      </c>
      <c r="D263" s="2" t="s">
        <v>348</v>
      </c>
      <c r="E263" s="2" t="s">
        <v>356</v>
      </c>
      <c r="F263" s="2"/>
      <c r="G263" s="2" t="s">
        <v>218</v>
      </c>
      <c r="H263" s="2" t="str">
        <f aca="false">IF(LEFT(B263,10)="Arsenal v ",MID(B263,11,100),LEFT(B263,FIND(" v ",B263)-1))</f>
        <v>Manchester United</v>
      </c>
      <c r="I263" s="2" t="str">
        <f aca="false">IF(F263&lt;&gt;"","N",IF(LEFT(B263,10)="Arsenal v ","H","A"))</f>
        <v>A</v>
      </c>
      <c r="J263" s="2"/>
    </row>
    <row r="264" customFormat="false" ht="15" hidden="false" customHeight="false" outlineLevel="0" collapsed="false">
      <c r="A264" s="3" t="n">
        <v>34233</v>
      </c>
      <c r="B264" s="2" t="s">
        <v>466</v>
      </c>
      <c r="C264" s="2" t="s">
        <v>702</v>
      </c>
      <c r="D264" s="2" t="s">
        <v>420</v>
      </c>
      <c r="E264" s="2" t="s">
        <v>379</v>
      </c>
      <c r="F264" s="2"/>
      <c r="G264" s="2" t="s">
        <v>218</v>
      </c>
      <c r="H264" s="2" t="str">
        <f aca="false">IF(LEFT(B264,10)="Arsenal v ",MID(B264,11,100),LEFT(B264,FIND(" v ",B264)-1))</f>
        <v>Huddersfield Town</v>
      </c>
      <c r="I264" s="2" t="str">
        <f aca="false">IF(F264&lt;&gt;"","N",IF(LEFT(B264,10)="Arsenal v ","H","A"))</f>
        <v>A</v>
      </c>
      <c r="J264" s="2"/>
    </row>
    <row r="265" customFormat="false" ht="15" hidden="false" customHeight="false" outlineLevel="0" collapsed="false">
      <c r="A265" s="3" t="n">
        <v>34237</v>
      </c>
      <c r="B265" s="2" t="s">
        <v>705</v>
      </c>
      <c r="C265" s="2" t="s">
        <v>702</v>
      </c>
      <c r="D265" s="2" t="s">
        <v>348</v>
      </c>
      <c r="E265" s="2" t="s">
        <v>356</v>
      </c>
      <c r="F265" s="2"/>
      <c r="G265" s="2" t="s">
        <v>218</v>
      </c>
      <c r="H265" s="2" t="str">
        <f aca="false">IF(LEFT(B265,10)="Arsenal v ",MID(B265,11,100),LEFT(B265,FIND(" v ",B265)-1))</f>
        <v>Southampton</v>
      </c>
      <c r="I265" s="2" t="str">
        <f aca="false">IF(F265&lt;&gt;"","N",IF(LEFT(B265,10)="Arsenal v ","H","A"))</f>
        <v>H</v>
      </c>
      <c r="J265" s="2"/>
    </row>
    <row r="266" customFormat="false" ht="15" hidden="false" customHeight="false" outlineLevel="0" collapsed="false">
      <c r="A266" s="3" t="n">
        <v>34241</v>
      </c>
      <c r="B266" s="2" t="s">
        <v>740</v>
      </c>
      <c r="C266" s="2" t="s">
        <v>706</v>
      </c>
      <c r="D266" s="2" t="s">
        <v>361</v>
      </c>
      <c r="E266" s="2" t="s">
        <v>393</v>
      </c>
      <c r="F266" s="2"/>
      <c r="G266" s="2" t="s">
        <v>218</v>
      </c>
      <c r="H266" s="2" t="str">
        <f aca="false">IF(LEFT(B266,10)="Arsenal v ",MID(B266,11,100),LEFT(B266,FIND(" v ",B266)-1))</f>
        <v>OB Odense</v>
      </c>
      <c r="I266" s="2" t="str">
        <f aca="false">IF(F266&lt;&gt;"","N",IF(LEFT(B266,10)="Arsenal v ","H","A"))</f>
        <v>H</v>
      </c>
      <c r="J266" s="2"/>
    </row>
    <row r="267" customFormat="false" ht="15" hidden="false" customHeight="false" outlineLevel="0" collapsed="false">
      <c r="A267" s="3" t="n">
        <v>34244</v>
      </c>
      <c r="B267" s="2" t="s">
        <v>477</v>
      </c>
      <c r="C267" s="2" t="s">
        <v>706</v>
      </c>
      <c r="D267" s="2" t="s">
        <v>369</v>
      </c>
      <c r="E267" s="2" t="s">
        <v>356</v>
      </c>
      <c r="F267" s="2"/>
      <c r="G267" s="2" t="s">
        <v>218</v>
      </c>
      <c r="H267" s="2" t="str">
        <f aca="false">IF(LEFT(B267,10)="Arsenal v ",MID(B267,11,100),LEFT(B267,FIND(" v ",B267)-1))</f>
        <v>Liverpool</v>
      </c>
      <c r="I267" s="2" t="str">
        <f aca="false">IF(F267&lt;&gt;"","N",IF(LEFT(B267,10)="Arsenal v ","H","A"))</f>
        <v>A</v>
      </c>
      <c r="J267" s="2"/>
    </row>
    <row r="268" customFormat="false" ht="15" hidden="false" customHeight="false" outlineLevel="0" collapsed="false">
      <c r="A268" s="3" t="n">
        <v>34247</v>
      </c>
      <c r="B268" s="2" t="s">
        <v>741</v>
      </c>
      <c r="C268" s="2" t="s">
        <v>706</v>
      </c>
      <c r="D268" s="2" t="s">
        <v>361</v>
      </c>
      <c r="E268" s="2" t="s">
        <v>379</v>
      </c>
      <c r="F268" s="2"/>
      <c r="G268" s="2" t="s">
        <v>218</v>
      </c>
      <c r="H268" s="2" t="str">
        <f aca="false">IF(LEFT(B268,10)="Arsenal v ",MID(B268,11,100),LEFT(B268,FIND(" v ",B268)-1))</f>
        <v>Huddersfield Town</v>
      </c>
      <c r="I268" s="2" t="str">
        <f aca="false">IF(F268&lt;&gt;"","N",IF(LEFT(B268,10)="Arsenal v ","H","A"))</f>
        <v>H</v>
      </c>
      <c r="J268" s="2"/>
    </row>
    <row r="269" customFormat="false" ht="15" hidden="false" customHeight="false" outlineLevel="0" collapsed="false">
      <c r="A269" s="3" t="n">
        <v>34258</v>
      </c>
      <c r="B269" s="2" t="s">
        <v>657</v>
      </c>
      <c r="C269" s="2" t="s">
        <v>706</v>
      </c>
      <c r="D269" s="2" t="s">
        <v>369</v>
      </c>
      <c r="E269" s="2" t="s">
        <v>356</v>
      </c>
      <c r="F269" s="2"/>
      <c r="G269" s="2" t="s">
        <v>218</v>
      </c>
      <c r="H269" s="2" t="str">
        <f aca="false">IF(LEFT(B269,10)="Arsenal v ",MID(B269,11,100),LEFT(B269,FIND(" v ",B269)-1))</f>
        <v>Manchester City</v>
      </c>
      <c r="I269" s="2" t="str">
        <f aca="false">IF(F269&lt;&gt;"","N",IF(LEFT(B269,10)="Arsenal v ","H","A"))</f>
        <v>H</v>
      </c>
      <c r="J269" s="2"/>
    </row>
    <row r="270" customFormat="false" ht="15" hidden="false" customHeight="false" outlineLevel="0" collapsed="false">
      <c r="A270" s="3" t="n">
        <v>34262</v>
      </c>
      <c r="B270" s="2" t="s">
        <v>742</v>
      </c>
      <c r="C270" s="2" t="s">
        <v>702</v>
      </c>
      <c r="D270" s="2" t="s">
        <v>434</v>
      </c>
      <c r="E270" s="2" t="s">
        <v>393</v>
      </c>
      <c r="F270" s="2"/>
      <c r="G270" s="2" t="s">
        <v>218</v>
      </c>
      <c r="H270" s="2" t="str">
        <f aca="false">IF(LEFT(B270,10)="Arsenal v ",MID(B270,11,100),LEFT(B270,FIND(" v ",B270)-1))</f>
        <v>Standard Liège</v>
      </c>
      <c r="I270" s="2" t="str">
        <f aca="false">IF(F270&lt;&gt;"","N",IF(LEFT(B270,10)="Arsenal v ","H","A"))</f>
        <v>H</v>
      </c>
      <c r="J270" s="2"/>
    </row>
    <row r="271" customFormat="false" ht="15" hidden="false" customHeight="false" outlineLevel="0" collapsed="false">
      <c r="A271" s="3" t="n">
        <v>34265</v>
      </c>
      <c r="B271" s="2" t="s">
        <v>506</v>
      </c>
      <c r="C271" s="2" t="s">
        <v>706</v>
      </c>
      <c r="D271" s="2" t="s">
        <v>369</v>
      </c>
      <c r="E271" s="2" t="s">
        <v>356</v>
      </c>
      <c r="F271" s="2"/>
      <c r="G271" s="2" t="s">
        <v>218</v>
      </c>
      <c r="H271" s="2" t="str">
        <f aca="false">IF(LEFT(B271,10)="Arsenal v ",MID(B271,11,100),LEFT(B271,FIND(" v ",B271)-1))</f>
        <v>Oldham Athletic</v>
      </c>
      <c r="I271" s="2" t="str">
        <f aca="false">IF(F271&lt;&gt;"","N",IF(LEFT(B271,10)="Arsenal v ","H","A"))</f>
        <v>A</v>
      </c>
      <c r="J271" s="2"/>
    </row>
    <row r="272" customFormat="false" ht="15" hidden="false" customHeight="false" outlineLevel="0" collapsed="false">
      <c r="A272" s="3" t="n">
        <v>34268</v>
      </c>
      <c r="B272" s="2" t="s">
        <v>720</v>
      </c>
      <c r="C272" s="2" t="s">
        <v>706</v>
      </c>
      <c r="D272" s="2" t="s">
        <v>361</v>
      </c>
      <c r="E272" s="2" t="s">
        <v>379</v>
      </c>
      <c r="F272" s="2"/>
      <c r="G272" s="2" t="s">
        <v>218</v>
      </c>
      <c r="H272" s="2" t="str">
        <f aca="false">IF(LEFT(B272,10)="Arsenal v ",MID(B272,11,100),LEFT(B272,FIND(" v ",B272)-1))</f>
        <v>Norwich City</v>
      </c>
      <c r="I272" s="2" t="str">
        <f aca="false">IF(F272&lt;&gt;"","N",IF(LEFT(B272,10)="Arsenal v ","H","A"))</f>
        <v>H</v>
      </c>
      <c r="J272" s="2"/>
    </row>
    <row r="273" customFormat="false" ht="15" hidden="false" customHeight="false" outlineLevel="0" collapsed="false">
      <c r="A273" s="3" t="n">
        <v>34272</v>
      </c>
      <c r="B273" s="2" t="s">
        <v>720</v>
      </c>
      <c r="C273" s="2" t="s">
        <v>706</v>
      </c>
      <c r="D273" s="2" t="s">
        <v>369</v>
      </c>
      <c r="E273" s="2" t="s">
        <v>356</v>
      </c>
      <c r="F273" s="2"/>
      <c r="G273" s="2" t="s">
        <v>218</v>
      </c>
      <c r="H273" s="2" t="str">
        <f aca="false">IF(LEFT(B273,10)="Arsenal v ",MID(B273,11,100),LEFT(B273,FIND(" v ",B273)-1))</f>
        <v>Norwich City</v>
      </c>
      <c r="I273" s="2" t="str">
        <f aca="false">IF(F273&lt;&gt;"","N",IF(LEFT(B273,10)="Arsenal v ","H","A"))</f>
        <v>H</v>
      </c>
      <c r="J273" s="2"/>
    </row>
    <row r="274" customFormat="false" ht="15" hidden="false" customHeight="false" outlineLevel="0" collapsed="false">
      <c r="A274" s="3" t="n">
        <v>34276</v>
      </c>
      <c r="B274" s="2" t="s">
        <v>552</v>
      </c>
      <c r="C274" s="2" t="s">
        <v>702</v>
      </c>
      <c r="D274" s="2" t="s">
        <v>553</v>
      </c>
      <c r="E274" s="2" t="s">
        <v>393</v>
      </c>
      <c r="F274" s="2"/>
      <c r="G274" s="2" t="s">
        <v>218</v>
      </c>
      <c r="H274" s="2" t="str">
        <f aca="false">IF(LEFT(B274,10)="Arsenal v ",MID(B274,11,100),LEFT(B274,FIND(" v ",B274)-1))</f>
        <v>Standard Liège</v>
      </c>
      <c r="I274" s="2" t="str">
        <f aca="false">IF(F274&lt;&gt;"","N",IF(LEFT(B274,10)="Arsenal v ","H","A"))</f>
        <v>A</v>
      </c>
      <c r="J274" s="2"/>
    </row>
    <row r="275" customFormat="false" ht="15" hidden="false" customHeight="false" outlineLevel="0" collapsed="false">
      <c r="A275" s="3" t="n">
        <v>34279</v>
      </c>
      <c r="B275" s="2" t="s">
        <v>703</v>
      </c>
      <c r="C275" s="2" t="s">
        <v>704</v>
      </c>
      <c r="D275" s="2" t="s">
        <v>360</v>
      </c>
      <c r="E275" s="2" t="s">
        <v>356</v>
      </c>
      <c r="F275" s="2"/>
      <c r="G275" s="2" t="s">
        <v>218</v>
      </c>
      <c r="H275" s="2" t="str">
        <f aca="false">IF(LEFT(B275,10)="Arsenal v ",MID(B275,11,100),LEFT(B275,FIND(" v ",B275)-1))</f>
        <v>Aston Villa</v>
      </c>
      <c r="I275" s="2" t="str">
        <f aca="false">IF(F275&lt;&gt;"","N",IF(LEFT(B275,10)="Arsenal v ","H","A"))</f>
        <v>H</v>
      </c>
      <c r="J275" s="2"/>
    </row>
    <row r="276" customFormat="false" ht="15" hidden="false" customHeight="false" outlineLevel="0" collapsed="false">
      <c r="A276" s="3" t="n">
        <v>34283</v>
      </c>
      <c r="B276" s="2" t="s">
        <v>502</v>
      </c>
      <c r="C276" s="2" t="s">
        <v>702</v>
      </c>
      <c r="D276" s="2" t="s">
        <v>363</v>
      </c>
      <c r="E276" s="2" t="s">
        <v>379</v>
      </c>
      <c r="F276" s="2"/>
      <c r="G276" s="2" t="s">
        <v>218</v>
      </c>
      <c r="H276" s="2" t="str">
        <f aca="false">IF(LEFT(B276,10)="Arsenal v ",MID(B276,11,100),LEFT(B276,FIND(" v ",B276)-1))</f>
        <v>Norwich City</v>
      </c>
      <c r="I276" s="2" t="str">
        <f aca="false">IF(F276&lt;&gt;"","N",IF(LEFT(B276,10)="Arsenal v ","H","A"))</f>
        <v>A</v>
      </c>
      <c r="J276" s="2"/>
    </row>
    <row r="277" customFormat="false" ht="15" hidden="false" customHeight="false" outlineLevel="0" collapsed="false">
      <c r="A277" s="3" t="n">
        <v>34293</v>
      </c>
      <c r="B277" s="2" t="s">
        <v>426</v>
      </c>
      <c r="C277" s="2" t="s">
        <v>702</v>
      </c>
      <c r="D277" s="2" t="s">
        <v>353</v>
      </c>
      <c r="E277" s="2" t="s">
        <v>356</v>
      </c>
      <c r="F277" s="2"/>
      <c r="G277" s="2" t="s">
        <v>218</v>
      </c>
      <c r="H277" s="2" t="str">
        <f aca="false">IF(LEFT(B277,10)="Arsenal v ",MID(B277,11,100),LEFT(B277,FIND(" v ",B277)-1))</f>
        <v>Chelsea</v>
      </c>
      <c r="I277" s="2" t="str">
        <f aca="false">IF(F277&lt;&gt;"","N",IF(LEFT(B277,10)="Arsenal v ","H","A"))</f>
        <v>A</v>
      </c>
      <c r="J277" s="2"/>
    </row>
    <row r="278" customFormat="false" ht="15" hidden="false" customHeight="false" outlineLevel="0" collapsed="false">
      <c r="A278" s="3" t="n">
        <v>34297</v>
      </c>
      <c r="B278" s="2" t="s">
        <v>572</v>
      </c>
      <c r="C278" s="2" t="s">
        <v>706</v>
      </c>
      <c r="D278" s="2" t="s">
        <v>369</v>
      </c>
      <c r="E278" s="2" t="s">
        <v>356</v>
      </c>
      <c r="F278" s="2"/>
      <c r="G278" s="2" t="s">
        <v>218</v>
      </c>
      <c r="H278" s="2" t="str">
        <f aca="false">IF(LEFT(B278,10)="Arsenal v ",MID(B278,11,100),LEFT(B278,FIND(" v ",B278)-1))</f>
        <v>West Ham United</v>
      </c>
      <c r="I278" s="2" t="str">
        <f aca="false">IF(F278&lt;&gt;"","N",IF(LEFT(B278,10)="Arsenal v ","H","A"))</f>
        <v>A</v>
      </c>
      <c r="J278" s="2"/>
    </row>
    <row r="279" customFormat="false" ht="15" hidden="false" customHeight="false" outlineLevel="0" collapsed="false">
      <c r="A279" s="3" t="n">
        <v>34300</v>
      </c>
      <c r="B279" s="2" t="s">
        <v>719</v>
      </c>
      <c r="C279" s="2" t="s">
        <v>702</v>
      </c>
      <c r="D279" s="2" t="s">
        <v>359</v>
      </c>
      <c r="E279" s="2" t="s">
        <v>356</v>
      </c>
      <c r="F279" s="2"/>
      <c r="G279" s="2" t="s">
        <v>218</v>
      </c>
      <c r="H279" s="2" t="str">
        <f aca="false">IF(LEFT(B279,10)="Arsenal v ",MID(B279,11,100),LEFT(B279,FIND(" v ",B279)-1))</f>
        <v>Newcastle United</v>
      </c>
      <c r="I279" s="2" t="str">
        <f aca="false">IF(F279&lt;&gt;"","N",IF(LEFT(B279,10)="Arsenal v ","H","A"))</f>
        <v>H</v>
      </c>
      <c r="J279" s="2"/>
    </row>
    <row r="280" customFormat="false" ht="15" hidden="false" customHeight="false" outlineLevel="0" collapsed="false">
      <c r="A280" s="3" t="n">
        <v>34303</v>
      </c>
      <c r="B280" s="2" t="s">
        <v>703</v>
      </c>
      <c r="C280" s="2" t="s">
        <v>704</v>
      </c>
      <c r="D280" s="2" t="s">
        <v>383</v>
      </c>
      <c r="E280" s="2" t="s">
        <v>379</v>
      </c>
      <c r="F280" s="2"/>
      <c r="G280" s="2" t="s">
        <v>218</v>
      </c>
      <c r="H280" s="2" t="str">
        <f aca="false">IF(LEFT(B280,10)="Arsenal v ",MID(B280,11,100),LEFT(B280,FIND(" v ",B280)-1))</f>
        <v>Aston Villa</v>
      </c>
      <c r="I280" s="2" t="str">
        <f aca="false">IF(F280&lt;&gt;"","N",IF(LEFT(B280,10)="Arsenal v ","H","A"))</f>
        <v>H</v>
      </c>
      <c r="J280" s="2"/>
    </row>
    <row r="281" customFormat="false" ht="15" hidden="false" customHeight="false" outlineLevel="0" collapsed="false">
      <c r="A281" s="3" t="n">
        <v>34307</v>
      </c>
      <c r="B281" s="2" t="s">
        <v>431</v>
      </c>
      <c r="C281" s="2" t="s">
        <v>704</v>
      </c>
      <c r="D281" s="2" t="s">
        <v>348</v>
      </c>
      <c r="E281" s="2" t="s">
        <v>356</v>
      </c>
      <c r="F281" s="2"/>
      <c r="G281" s="2" t="s">
        <v>218</v>
      </c>
      <c r="H281" s="2" t="str">
        <f aca="false">IF(LEFT(B281,10)="Arsenal v ",MID(B281,11,100),LEFT(B281,FIND(" v ",B281)-1))</f>
        <v>Coventry City</v>
      </c>
      <c r="I281" s="2" t="str">
        <f aca="false">IF(F281&lt;&gt;"","N",IF(LEFT(B281,10)="Arsenal v ","H","A"))</f>
        <v>A</v>
      </c>
      <c r="J281" s="2"/>
    </row>
    <row r="282" customFormat="false" ht="15" hidden="false" customHeight="false" outlineLevel="0" collapsed="false">
      <c r="A282" s="3" t="n">
        <v>34309</v>
      </c>
      <c r="B282" s="2" t="s">
        <v>655</v>
      </c>
      <c r="C282" s="2" t="s">
        <v>706</v>
      </c>
      <c r="D282" s="2" t="s">
        <v>361</v>
      </c>
      <c r="E282" s="2" t="s">
        <v>356</v>
      </c>
      <c r="F282" s="2"/>
      <c r="G282" s="2" t="s">
        <v>218</v>
      </c>
      <c r="H282" s="2" t="str">
        <f aca="false">IF(LEFT(B282,10)="Arsenal v ",MID(B282,11,100),LEFT(B282,FIND(" v ",B282)-1))</f>
        <v>Tottenham Hotspur</v>
      </c>
      <c r="I282" s="2" t="str">
        <f aca="false">IF(F282&lt;&gt;"","N",IF(LEFT(B282,10)="Arsenal v ","H","A"))</f>
        <v>H</v>
      </c>
      <c r="J282" s="2"/>
    </row>
    <row r="283" customFormat="false" ht="15" hidden="false" customHeight="false" outlineLevel="0" collapsed="false">
      <c r="A283" s="3" t="n">
        <v>34315</v>
      </c>
      <c r="B283" s="2" t="s">
        <v>713</v>
      </c>
      <c r="C283" s="2" t="s">
        <v>702</v>
      </c>
      <c r="D283" s="2" t="s">
        <v>348</v>
      </c>
      <c r="E283" s="2" t="s">
        <v>356</v>
      </c>
      <c r="F283" s="2"/>
      <c r="G283" s="2" t="s">
        <v>218</v>
      </c>
      <c r="H283" s="2" t="str">
        <f aca="false">IF(LEFT(B283,10)="Arsenal v ",MID(B283,11,100),LEFT(B283,FIND(" v ",B283)-1))</f>
        <v>Sheffield Wednesday</v>
      </c>
      <c r="I283" s="2" t="str">
        <f aca="false">IF(F283&lt;&gt;"","N",IF(LEFT(B283,10)="Arsenal v ","H","A"))</f>
        <v>H</v>
      </c>
      <c r="J283" s="2"/>
    </row>
    <row r="284" customFormat="false" ht="15" hidden="false" customHeight="false" outlineLevel="0" collapsed="false">
      <c r="A284" s="3" t="n">
        <v>34321</v>
      </c>
      <c r="B284" s="2" t="s">
        <v>473</v>
      </c>
      <c r="C284" s="2" t="s">
        <v>704</v>
      </c>
      <c r="D284" s="2" t="s">
        <v>359</v>
      </c>
      <c r="E284" s="2" t="s">
        <v>356</v>
      </c>
      <c r="F284" s="2"/>
      <c r="G284" s="2" t="s">
        <v>218</v>
      </c>
      <c r="H284" s="2" t="str">
        <f aca="false">IF(LEFT(B284,10)="Arsenal v ",MID(B284,11,100),LEFT(B284,FIND(" v ",B284)-1))</f>
        <v>Leeds United</v>
      </c>
      <c r="I284" s="2" t="str">
        <f aca="false">IF(F284&lt;&gt;"","N",IF(LEFT(B284,10)="Arsenal v ","H","A"))</f>
        <v>A</v>
      </c>
      <c r="J284" s="2"/>
    </row>
    <row r="285" customFormat="false" ht="15" hidden="false" customHeight="false" outlineLevel="0" collapsed="false">
      <c r="A285" s="3" t="n">
        <v>34330</v>
      </c>
      <c r="B285" s="2" t="s">
        <v>559</v>
      </c>
      <c r="C285" s="2" t="s">
        <v>702</v>
      </c>
      <c r="D285" s="2" t="s">
        <v>365</v>
      </c>
      <c r="E285" s="2" t="s">
        <v>356</v>
      </c>
      <c r="F285" s="2"/>
      <c r="G285" s="2" t="s">
        <v>218</v>
      </c>
      <c r="H285" s="2" t="str">
        <f aca="false">IF(LEFT(B285,10)="Arsenal v ",MID(B285,11,100),LEFT(B285,FIND(" v ",B285)-1))</f>
        <v>Swindon Town</v>
      </c>
      <c r="I285" s="2" t="str">
        <f aca="false">IF(F285&lt;&gt;"","N",IF(LEFT(B285,10)="Arsenal v ","H","A"))</f>
        <v>A</v>
      </c>
      <c r="J285" s="2"/>
    </row>
    <row r="286" customFormat="false" ht="15" hidden="false" customHeight="false" outlineLevel="0" collapsed="false">
      <c r="A286" s="3" t="n">
        <v>34332</v>
      </c>
      <c r="B286" s="2" t="s">
        <v>728</v>
      </c>
      <c r="C286" s="2" t="s">
        <v>702</v>
      </c>
      <c r="D286" s="2" t="s">
        <v>434</v>
      </c>
      <c r="E286" s="2" t="s">
        <v>356</v>
      </c>
      <c r="F286" s="2"/>
      <c r="G286" s="2" t="s">
        <v>218</v>
      </c>
      <c r="H286" s="2" t="str">
        <f aca="false">IF(LEFT(B286,10)="Arsenal v ",MID(B286,11,100),LEFT(B286,FIND(" v ",B286)-1))</f>
        <v>Sheffield United</v>
      </c>
      <c r="I286" s="2" t="str">
        <f aca="false">IF(F286&lt;&gt;"","N",IF(LEFT(B286,10)="Arsenal v ","H","A"))</f>
        <v>H</v>
      </c>
      <c r="J286" s="2"/>
    </row>
    <row r="287" customFormat="false" ht="15" hidden="false" customHeight="false" outlineLevel="0" collapsed="false">
      <c r="A287" s="3" t="n">
        <v>34335</v>
      </c>
      <c r="B287" s="2" t="s">
        <v>574</v>
      </c>
      <c r="C287" s="2" t="s">
        <v>702</v>
      </c>
      <c r="D287" s="2" t="s">
        <v>363</v>
      </c>
      <c r="E287" s="2" t="s">
        <v>356</v>
      </c>
      <c r="F287" s="2"/>
      <c r="G287" s="2" t="s">
        <v>218</v>
      </c>
      <c r="H287" s="2" t="str">
        <f aca="false">IF(LEFT(B287,10)="Arsenal v ",MID(B287,11,100),LEFT(B287,FIND(" v ",B287)-1))</f>
        <v>Wimbledon</v>
      </c>
      <c r="I287" s="2" t="str">
        <f aca="false">IF(F287&lt;&gt;"","N",IF(LEFT(B287,10)="Arsenal v ","H","A"))</f>
        <v>A</v>
      </c>
      <c r="J287" s="2"/>
    </row>
    <row r="288" customFormat="false" ht="15" hidden="false" customHeight="false" outlineLevel="0" collapsed="false">
      <c r="A288" s="3" t="n">
        <v>34337</v>
      </c>
      <c r="B288" s="2" t="s">
        <v>708</v>
      </c>
      <c r="C288" s="2" t="s">
        <v>706</v>
      </c>
      <c r="D288" s="2" t="s">
        <v>369</v>
      </c>
      <c r="E288" s="2" t="s">
        <v>356</v>
      </c>
      <c r="F288" s="2"/>
      <c r="G288" s="2" t="s">
        <v>218</v>
      </c>
      <c r="H288" s="2" t="str">
        <f aca="false">IF(LEFT(B288,10)="Arsenal v ",MID(B288,11,100),LEFT(B288,FIND(" v ",B288)-1))</f>
        <v>Queens Park Rangers</v>
      </c>
      <c r="I288" s="2" t="str">
        <f aca="false">IF(F288&lt;&gt;"","N",IF(LEFT(B288,10)="Arsenal v ","H","A"))</f>
        <v>H</v>
      </c>
      <c r="J288" s="2"/>
    </row>
    <row r="289" customFormat="false" ht="15" hidden="false" customHeight="false" outlineLevel="0" collapsed="false">
      <c r="A289" s="3" t="n">
        <v>34344</v>
      </c>
      <c r="B289" s="2" t="s">
        <v>496</v>
      </c>
      <c r="C289" s="2" t="s">
        <v>702</v>
      </c>
      <c r="D289" s="2" t="s">
        <v>383</v>
      </c>
      <c r="E289" s="2" t="s">
        <v>362</v>
      </c>
      <c r="F289" s="2"/>
      <c r="G289" s="2" t="s">
        <v>218</v>
      </c>
      <c r="H289" s="2" t="str">
        <f aca="false">IF(LEFT(B289,10)="Arsenal v ",MID(B289,11,100),LEFT(B289,FIND(" v ",B289)-1))</f>
        <v>Millwall</v>
      </c>
      <c r="I289" s="2" t="str">
        <f aca="false">IF(F289&lt;&gt;"","N",IF(LEFT(B289,10)="Arsenal v ","H","A"))</f>
        <v>A</v>
      </c>
      <c r="J289" s="2"/>
    </row>
    <row r="290" customFormat="false" ht="15" hidden="false" customHeight="false" outlineLevel="0" collapsed="false">
      <c r="A290" s="3" t="n">
        <v>34349</v>
      </c>
      <c r="B290" s="2" t="s">
        <v>487</v>
      </c>
      <c r="C290" s="2" t="s">
        <v>706</v>
      </c>
      <c r="D290" s="2" t="s">
        <v>369</v>
      </c>
      <c r="E290" s="2" t="s">
        <v>356</v>
      </c>
      <c r="F290" s="2"/>
      <c r="G290" s="2" t="s">
        <v>218</v>
      </c>
      <c r="H290" s="2" t="str">
        <f aca="false">IF(LEFT(B290,10)="Arsenal v ",MID(B290,11,100),LEFT(B290,FIND(" v ",B290)-1))</f>
        <v>Manchester City</v>
      </c>
      <c r="I290" s="2" t="str">
        <f aca="false">IF(F290&lt;&gt;"","N",IF(LEFT(B290,10)="Arsenal v ","H","A"))</f>
        <v>A</v>
      </c>
      <c r="J290" s="2"/>
    </row>
    <row r="291" customFormat="false" ht="15" hidden="false" customHeight="false" outlineLevel="0" collapsed="false">
      <c r="A291" s="3" t="n">
        <v>34356</v>
      </c>
      <c r="B291" s="2" t="s">
        <v>736</v>
      </c>
      <c r="C291" s="2" t="s">
        <v>706</v>
      </c>
      <c r="D291" s="2" t="s">
        <v>361</v>
      </c>
      <c r="E291" s="2" t="s">
        <v>356</v>
      </c>
      <c r="F291" s="2"/>
      <c r="G291" s="2" t="s">
        <v>218</v>
      </c>
      <c r="H291" s="2" t="str">
        <f aca="false">IF(LEFT(B291,10)="Arsenal v ",MID(B291,11,100),LEFT(B291,FIND(" v ",B291)-1))</f>
        <v>Oldham Athletic</v>
      </c>
      <c r="I291" s="2" t="str">
        <f aca="false">IF(F291&lt;&gt;"","N",IF(LEFT(B291,10)="Arsenal v ","H","A"))</f>
        <v>H</v>
      </c>
      <c r="J291" s="2"/>
    </row>
    <row r="292" customFormat="false" ht="15" hidden="false" customHeight="false" outlineLevel="0" collapsed="false">
      <c r="A292" s="3" t="n">
        <v>34365</v>
      </c>
      <c r="B292" s="2" t="s">
        <v>410</v>
      </c>
      <c r="C292" s="2" t="s">
        <v>706</v>
      </c>
      <c r="D292" s="2" t="s">
        <v>380</v>
      </c>
      <c r="E292" s="2" t="s">
        <v>362</v>
      </c>
      <c r="F292" s="2"/>
      <c r="G292" s="2" t="s">
        <v>218</v>
      </c>
      <c r="H292" s="2" t="str">
        <f aca="false">IF(LEFT(B292,10)="Arsenal v ",MID(B292,11,100),LEFT(B292,FIND(" v ",B292)-1))</f>
        <v>Bolton Wanderers</v>
      </c>
      <c r="I292" s="2" t="str">
        <f aca="false">IF(F292&lt;&gt;"","N",IF(LEFT(B292,10)="Arsenal v ","H","A"))</f>
        <v>A</v>
      </c>
      <c r="J292" s="2"/>
    </row>
    <row r="293" customFormat="false" ht="15" hidden="false" customHeight="false" outlineLevel="0" collapsed="false">
      <c r="A293" s="3" t="n">
        <v>34374</v>
      </c>
      <c r="B293" s="2" t="s">
        <v>743</v>
      </c>
      <c r="C293" s="2" t="s">
        <v>704</v>
      </c>
      <c r="D293" s="2" t="s">
        <v>373</v>
      </c>
      <c r="E293" s="2" t="s">
        <v>362</v>
      </c>
      <c r="F293" s="2"/>
      <c r="G293" s="2" t="s">
        <v>218</v>
      </c>
      <c r="H293" s="2" t="str">
        <f aca="false">IF(LEFT(B293,10)="Arsenal v ",MID(B293,11,100),LEFT(B293,FIND(" v ",B293)-1))</f>
        <v>Bolton Wanderers</v>
      </c>
      <c r="I293" s="2" t="str">
        <f aca="false">IF(F293&lt;&gt;"","N",IF(LEFT(B293,10)="Arsenal v ","H","A"))</f>
        <v>H</v>
      </c>
      <c r="J293" s="2"/>
    </row>
    <row r="294" customFormat="false" ht="15" hidden="false" customHeight="false" outlineLevel="0" collapsed="false">
      <c r="A294" s="3" t="n">
        <v>34378</v>
      </c>
      <c r="B294" s="2" t="s">
        <v>502</v>
      </c>
      <c r="C294" s="2" t="s">
        <v>706</v>
      </c>
      <c r="D294" s="2" t="s">
        <v>361</v>
      </c>
      <c r="E294" s="2" t="s">
        <v>356</v>
      </c>
      <c r="F294" s="2"/>
      <c r="G294" s="2" t="s">
        <v>218</v>
      </c>
      <c r="H294" s="2" t="str">
        <f aca="false">IF(LEFT(B294,10)="Arsenal v ",MID(B294,11,100),LEFT(B294,FIND(" v ",B294)-1))</f>
        <v>Norwich City</v>
      </c>
      <c r="I294" s="2" t="str">
        <f aca="false">IF(F294&lt;&gt;"","N",IF(LEFT(B294,10)="Arsenal v ","H","A"))</f>
        <v>A</v>
      </c>
      <c r="J294" s="2"/>
    </row>
    <row r="295" customFormat="false" ht="15" hidden="false" customHeight="false" outlineLevel="0" collapsed="false">
      <c r="A295" s="3" t="n">
        <v>34384</v>
      </c>
      <c r="B295" s="2" t="s">
        <v>448</v>
      </c>
      <c r="C295" s="2" t="s">
        <v>706</v>
      </c>
      <c r="D295" s="2" t="s">
        <v>361</v>
      </c>
      <c r="E295" s="2" t="s">
        <v>356</v>
      </c>
      <c r="F295" s="2"/>
      <c r="G295" s="2" t="s">
        <v>218</v>
      </c>
      <c r="H295" s="2" t="str">
        <f aca="false">IF(LEFT(B295,10)="Arsenal v ",MID(B295,11,100),LEFT(B295,FIND(" v ",B295)-1))</f>
        <v>Everton</v>
      </c>
      <c r="I295" s="2" t="str">
        <f aca="false">IF(F295&lt;&gt;"","N",IF(LEFT(B295,10)="Arsenal v ","H","A"))</f>
        <v>A</v>
      </c>
      <c r="J295" s="2"/>
    </row>
    <row r="296" customFormat="false" ht="15" hidden="false" customHeight="false" outlineLevel="0" collapsed="false">
      <c r="A296" s="3" t="n">
        <v>34391</v>
      </c>
      <c r="B296" s="2" t="s">
        <v>737</v>
      </c>
      <c r="C296" s="2" t="s">
        <v>702</v>
      </c>
      <c r="D296" s="2" t="s">
        <v>348</v>
      </c>
      <c r="E296" s="2" t="s">
        <v>356</v>
      </c>
      <c r="F296" s="2"/>
      <c r="G296" s="2" t="s">
        <v>218</v>
      </c>
      <c r="H296" s="2" t="str">
        <f aca="false">IF(LEFT(B296,10)="Arsenal v ",MID(B296,11,100),LEFT(B296,FIND(" v ",B296)-1))</f>
        <v>Blackburn Rovers</v>
      </c>
      <c r="I296" s="2" t="str">
        <f aca="false">IF(F296&lt;&gt;"","N",IF(LEFT(B296,10)="Arsenal v ","H","A"))</f>
        <v>H</v>
      </c>
      <c r="J296" s="2"/>
    </row>
    <row r="297" customFormat="false" ht="15" hidden="false" customHeight="false" outlineLevel="0" collapsed="false">
      <c r="A297" s="3" t="n">
        <v>34395</v>
      </c>
      <c r="B297" s="2" t="s">
        <v>560</v>
      </c>
      <c r="C297" s="2" t="s">
        <v>706</v>
      </c>
      <c r="D297" s="2" t="s">
        <v>369</v>
      </c>
      <c r="E297" s="2" t="s">
        <v>393</v>
      </c>
      <c r="F297" s="2"/>
      <c r="G297" s="2" t="s">
        <v>218</v>
      </c>
      <c r="H297" s="2" t="str">
        <f aca="false">IF(LEFT(B297,10)="Arsenal v ",MID(B297,11,100),LEFT(B297,FIND(" v ",B297)-1))</f>
        <v>Torino</v>
      </c>
      <c r="I297" s="2" t="str">
        <f aca="false">IF(F297&lt;&gt;"","N",IF(LEFT(B297,10)="Arsenal v ","H","A"))</f>
        <v>A</v>
      </c>
      <c r="J297" s="2"/>
    </row>
    <row r="298" customFormat="false" ht="15" hidden="false" customHeight="false" outlineLevel="0" collapsed="false">
      <c r="A298" s="3" t="n">
        <v>34398</v>
      </c>
      <c r="B298" s="2" t="s">
        <v>470</v>
      </c>
      <c r="C298" s="2" t="s">
        <v>702</v>
      </c>
      <c r="D298" s="2" t="s">
        <v>435</v>
      </c>
      <c r="E298" s="2" t="s">
        <v>356</v>
      </c>
      <c r="F298" s="2"/>
      <c r="G298" s="2" t="s">
        <v>218</v>
      </c>
      <c r="H298" s="2" t="str">
        <f aca="false">IF(LEFT(B298,10)="Arsenal v ",MID(B298,11,100),LEFT(B298,FIND(" v ",B298)-1))</f>
        <v>Ipswich Town</v>
      </c>
      <c r="I298" s="2" t="str">
        <f aca="false">IF(F298&lt;&gt;"","N",IF(LEFT(B298,10)="Arsenal v ","H","A"))</f>
        <v>A</v>
      </c>
      <c r="J298" s="2"/>
    </row>
    <row r="299" customFormat="false" ht="15" hidden="false" customHeight="false" outlineLevel="0" collapsed="false">
      <c r="A299" s="3" t="n">
        <v>34408</v>
      </c>
      <c r="B299" s="2" t="s">
        <v>744</v>
      </c>
      <c r="C299" s="2" t="s">
        <v>702</v>
      </c>
      <c r="D299" s="2" t="s">
        <v>348</v>
      </c>
      <c r="E299" s="2" t="s">
        <v>393</v>
      </c>
      <c r="F299" s="2"/>
      <c r="G299" s="2" t="s">
        <v>218</v>
      </c>
      <c r="H299" s="2" t="str">
        <f aca="false">IF(LEFT(B299,10)="Arsenal v ",MID(B299,11,100),LEFT(B299,FIND(" v ",B299)-1))</f>
        <v>Torino</v>
      </c>
      <c r="I299" s="2" t="str">
        <f aca="false">IF(F299&lt;&gt;"","N",IF(LEFT(B299,10)="Arsenal v ","H","A"))</f>
        <v>H</v>
      </c>
      <c r="J299" s="2"/>
    </row>
    <row r="300" customFormat="false" ht="15" hidden="false" customHeight="false" outlineLevel="0" collapsed="false">
      <c r="A300" s="3" t="n">
        <v>34412</v>
      </c>
      <c r="B300" s="2" t="s">
        <v>546</v>
      </c>
      <c r="C300" s="2" t="s">
        <v>702</v>
      </c>
      <c r="D300" s="2" t="s">
        <v>365</v>
      </c>
      <c r="E300" s="2" t="s">
        <v>356</v>
      </c>
      <c r="F300" s="2"/>
      <c r="G300" s="2" t="s">
        <v>218</v>
      </c>
      <c r="H300" s="2" t="str">
        <f aca="false">IF(LEFT(B300,10)="Arsenal v ",MID(B300,11,100),LEFT(B300,FIND(" v ",B300)-1))</f>
        <v>Southampton</v>
      </c>
      <c r="I300" s="2" t="str">
        <f aca="false">IF(F300&lt;&gt;"","N",IF(LEFT(B300,10)="Arsenal v ","H","A"))</f>
        <v>A</v>
      </c>
      <c r="J300" s="2"/>
    </row>
    <row r="301" customFormat="false" ht="15" hidden="false" customHeight="false" outlineLevel="0" collapsed="false">
      <c r="A301" s="3" t="n">
        <v>34415</v>
      </c>
      <c r="B301" s="2" t="s">
        <v>656</v>
      </c>
      <c r="C301" s="2" t="s">
        <v>706</v>
      </c>
      <c r="D301" s="2" t="s">
        <v>380</v>
      </c>
      <c r="E301" s="2" t="s">
        <v>356</v>
      </c>
      <c r="F301" s="2"/>
      <c r="G301" s="2" t="s">
        <v>218</v>
      </c>
      <c r="H301" s="2" t="str">
        <f aca="false">IF(LEFT(B301,10)="Arsenal v ",MID(B301,11,100),LEFT(B301,FIND(" v ",B301)-1))</f>
        <v>Manchester United</v>
      </c>
      <c r="I301" s="2" t="str">
        <f aca="false">IF(F301&lt;&gt;"","N",IF(LEFT(B301,10)="Arsenal v ","H","A"))</f>
        <v>H</v>
      </c>
      <c r="J301" s="2"/>
    </row>
    <row r="302" customFormat="false" ht="15" hidden="false" customHeight="false" outlineLevel="0" collapsed="false">
      <c r="A302" s="3" t="n">
        <v>34419</v>
      </c>
      <c r="B302" s="2" t="s">
        <v>710</v>
      </c>
      <c r="C302" s="2" t="s">
        <v>702</v>
      </c>
      <c r="D302" s="2" t="s">
        <v>348</v>
      </c>
      <c r="E302" s="2" t="s">
        <v>356</v>
      </c>
      <c r="F302" s="2"/>
      <c r="G302" s="2" t="s">
        <v>218</v>
      </c>
      <c r="H302" s="2" t="str">
        <f aca="false">IF(LEFT(B302,10)="Arsenal v ",MID(B302,11,100),LEFT(B302,FIND(" v ",B302)-1))</f>
        <v>Liverpool</v>
      </c>
      <c r="I302" s="2" t="str">
        <f aca="false">IF(F302&lt;&gt;"","N",IF(LEFT(B302,10)="Arsenal v ","H","A"))</f>
        <v>H</v>
      </c>
      <c r="J302" s="2"/>
    </row>
    <row r="303" customFormat="false" ht="15" hidden="false" customHeight="false" outlineLevel="0" collapsed="false">
      <c r="A303" s="3" t="n">
        <v>34422</v>
      </c>
      <c r="B303" s="2" t="s">
        <v>514</v>
      </c>
      <c r="C303" s="2" t="s">
        <v>706</v>
      </c>
      <c r="D303" s="2" t="s">
        <v>361</v>
      </c>
      <c r="E303" s="2" t="s">
        <v>393</v>
      </c>
      <c r="F303" s="2"/>
      <c r="G303" s="2" t="s">
        <v>218</v>
      </c>
      <c r="H303" s="2" t="str">
        <f aca="false">IF(LEFT(B303,10)="Arsenal v ",MID(B303,11,100),LEFT(B303,FIND(" v ",B303)-1))</f>
        <v>Paris St Germain</v>
      </c>
      <c r="I303" s="2" t="str">
        <f aca="false">IF(F303&lt;&gt;"","N",IF(LEFT(B303,10)="Arsenal v ","H","A"))</f>
        <v>A</v>
      </c>
      <c r="J303" s="2"/>
    </row>
    <row r="304" customFormat="false" ht="15" hidden="false" customHeight="false" outlineLevel="0" collapsed="false">
      <c r="A304" s="3" t="n">
        <v>34426</v>
      </c>
      <c r="B304" s="2" t="s">
        <v>745</v>
      </c>
      <c r="C304" s="2" t="s">
        <v>706</v>
      </c>
      <c r="D304" s="2" t="s">
        <v>361</v>
      </c>
      <c r="E304" s="2" t="s">
        <v>356</v>
      </c>
      <c r="F304" s="2"/>
      <c r="G304" s="2" t="s">
        <v>218</v>
      </c>
      <c r="H304" s="2" t="str">
        <f aca="false">IF(LEFT(B304,10)="Arsenal v ",MID(B304,11,100),LEFT(B304,FIND(" v ",B304)-1))</f>
        <v>Swindon Town</v>
      </c>
      <c r="I304" s="2" t="str">
        <f aca="false">IF(F304&lt;&gt;"","N",IF(LEFT(B304,10)="Arsenal v ","H","A"))</f>
        <v>H</v>
      </c>
      <c r="J304" s="2"/>
    </row>
    <row r="305" customFormat="false" ht="15" hidden="false" customHeight="false" outlineLevel="0" collapsed="false">
      <c r="A305" s="3" t="n">
        <v>34428</v>
      </c>
      <c r="B305" s="2" t="s">
        <v>541</v>
      </c>
      <c r="C305" s="2" t="s">
        <v>706</v>
      </c>
      <c r="D305" s="2" t="s">
        <v>361</v>
      </c>
      <c r="E305" s="2" t="s">
        <v>356</v>
      </c>
      <c r="F305" s="2"/>
      <c r="G305" s="2" t="s">
        <v>218</v>
      </c>
      <c r="H305" s="2" t="str">
        <f aca="false">IF(LEFT(B305,10)="Arsenal v ",MID(B305,11,100),LEFT(B305,FIND(" v ",B305)-1))</f>
        <v>Sheffield United</v>
      </c>
      <c r="I305" s="2" t="str">
        <f aca="false">IF(F305&lt;&gt;"","N",IF(LEFT(B305,10)="Arsenal v ","H","A"))</f>
        <v>A</v>
      </c>
      <c r="J305" s="2"/>
    </row>
    <row r="306" customFormat="false" ht="15" hidden="false" customHeight="false" outlineLevel="0" collapsed="false">
      <c r="A306" s="3" t="n">
        <v>34436</v>
      </c>
      <c r="B306" s="2" t="s">
        <v>746</v>
      </c>
      <c r="C306" s="2" t="s">
        <v>702</v>
      </c>
      <c r="D306" s="2" t="s">
        <v>348</v>
      </c>
      <c r="E306" s="2" t="s">
        <v>393</v>
      </c>
      <c r="F306" s="2"/>
      <c r="G306" s="2" t="s">
        <v>218</v>
      </c>
      <c r="H306" s="2" t="str">
        <f aca="false">IF(LEFT(B306,10)="Arsenal v ",MID(B306,11,100),LEFT(B306,FIND(" v ",B306)-1))</f>
        <v>Paris St Germain</v>
      </c>
      <c r="I306" s="2" t="str">
        <f aca="false">IF(F306&lt;&gt;"","N",IF(LEFT(B306,10)="Arsenal v ","H","A"))</f>
        <v>H</v>
      </c>
      <c r="J306" s="2"/>
    </row>
    <row r="307" customFormat="false" ht="15" hidden="false" customHeight="false" outlineLevel="0" collapsed="false">
      <c r="A307" s="3" t="n">
        <v>34440</v>
      </c>
      <c r="B307" s="2" t="s">
        <v>725</v>
      </c>
      <c r="C307" s="2" t="s">
        <v>702</v>
      </c>
      <c r="D307" s="2" t="s">
        <v>348</v>
      </c>
      <c r="E307" s="2" t="s">
        <v>356</v>
      </c>
      <c r="F307" s="2"/>
      <c r="G307" s="2" t="s">
        <v>218</v>
      </c>
      <c r="H307" s="2" t="str">
        <f aca="false">IF(LEFT(B307,10)="Arsenal v ",MID(B307,11,100),LEFT(B307,FIND(" v ",B307)-1))</f>
        <v>Chelsea</v>
      </c>
      <c r="I307" s="2" t="str">
        <f aca="false">IF(F307&lt;&gt;"","N",IF(LEFT(B307,10)="Arsenal v ","H","A"))</f>
        <v>H</v>
      </c>
      <c r="J307" s="2"/>
    </row>
    <row r="308" customFormat="false" ht="15" hidden="false" customHeight="false" outlineLevel="0" collapsed="false">
      <c r="A308" s="3" t="n">
        <v>34443</v>
      </c>
      <c r="B308" s="2" t="s">
        <v>722</v>
      </c>
      <c r="C308" s="2" t="s">
        <v>706</v>
      </c>
      <c r="D308" s="2" t="s">
        <v>361</v>
      </c>
      <c r="E308" s="2" t="s">
        <v>356</v>
      </c>
      <c r="F308" s="2"/>
      <c r="G308" s="2" t="s">
        <v>218</v>
      </c>
      <c r="H308" s="2" t="str">
        <f aca="false">IF(LEFT(B308,10)="Arsenal v ",MID(B308,11,100),LEFT(B308,FIND(" v ",B308)-1))</f>
        <v>Wimbledon</v>
      </c>
      <c r="I308" s="2" t="str">
        <f aca="false">IF(F308&lt;&gt;"","N",IF(LEFT(B308,10)="Arsenal v ","H","A"))</f>
        <v>H</v>
      </c>
      <c r="J308" s="2"/>
    </row>
    <row r="309" customFormat="false" ht="15" hidden="false" customHeight="false" outlineLevel="0" collapsed="false">
      <c r="A309" s="3" t="n">
        <v>34447</v>
      </c>
      <c r="B309" s="2" t="s">
        <v>376</v>
      </c>
      <c r="C309" s="2" t="s">
        <v>702</v>
      </c>
      <c r="D309" s="2" t="s">
        <v>360</v>
      </c>
      <c r="E309" s="2" t="s">
        <v>356</v>
      </c>
      <c r="F309" s="2"/>
      <c r="G309" s="2" t="s">
        <v>218</v>
      </c>
      <c r="H309" s="2" t="str">
        <f aca="false">IF(LEFT(B309,10)="Arsenal v ",MID(B309,11,100),LEFT(B309,FIND(" v ",B309)-1))</f>
        <v>Aston Villa</v>
      </c>
      <c r="I309" s="2" t="str">
        <f aca="false">IF(F309&lt;&gt;"","N",IF(LEFT(B309,10)="Arsenal v ","H","A"))</f>
        <v>A</v>
      </c>
      <c r="J309" s="2"/>
    </row>
    <row r="310" customFormat="false" ht="15" hidden="false" customHeight="false" outlineLevel="0" collapsed="false">
      <c r="A310" s="3" t="n">
        <v>34451</v>
      </c>
      <c r="B310" s="2" t="s">
        <v>524</v>
      </c>
      <c r="C310" s="2" t="s">
        <v>706</v>
      </c>
      <c r="D310" s="2" t="s">
        <v>361</v>
      </c>
      <c r="E310" s="2" t="s">
        <v>356</v>
      </c>
      <c r="F310" s="2"/>
      <c r="G310" s="2" t="s">
        <v>218</v>
      </c>
      <c r="H310" s="2" t="str">
        <f aca="false">IF(LEFT(B310,10)="Arsenal v ",MID(B310,11,100),LEFT(B310,FIND(" v ",B310)-1))</f>
        <v>Queens Park Rangers</v>
      </c>
      <c r="I310" s="2" t="str">
        <f aca="false">IF(F310&lt;&gt;"","N",IF(LEFT(B310,10)="Arsenal v ","H","A"))</f>
        <v>A</v>
      </c>
      <c r="J310" s="2"/>
    </row>
    <row r="311" customFormat="false" ht="15" hidden="false" customHeight="false" outlineLevel="0" collapsed="false">
      <c r="A311" s="3" t="n">
        <v>34454</v>
      </c>
      <c r="B311" s="2" t="s">
        <v>712</v>
      </c>
      <c r="C311" s="2" t="s">
        <v>704</v>
      </c>
      <c r="D311" s="2" t="s">
        <v>353</v>
      </c>
      <c r="E311" s="2" t="s">
        <v>356</v>
      </c>
      <c r="F311" s="2"/>
      <c r="G311" s="2" t="s">
        <v>218</v>
      </c>
      <c r="H311" s="2" t="str">
        <f aca="false">IF(LEFT(B311,10)="Arsenal v ",MID(B311,11,100),LEFT(B311,FIND(" v ",B311)-1))</f>
        <v>West Ham United</v>
      </c>
      <c r="I311" s="2" t="str">
        <f aca="false">IF(F311&lt;&gt;"","N",IF(LEFT(B311,10)="Arsenal v ","H","A"))</f>
        <v>H</v>
      </c>
      <c r="J311" s="2"/>
    </row>
    <row r="312" customFormat="false" ht="15" hidden="false" customHeight="false" outlineLevel="0" collapsed="false">
      <c r="A312" s="3" t="n">
        <v>34458</v>
      </c>
      <c r="B312" s="2" t="s">
        <v>747</v>
      </c>
      <c r="C312" s="2" t="s">
        <v>702</v>
      </c>
      <c r="D312" s="2" t="s">
        <v>383</v>
      </c>
      <c r="E312" s="2" t="s">
        <v>393</v>
      </c>
      <c r="F312" s="2" t="s">
        <v>615</v>
      </c>
      <c r="G312" s="2" t="s">
        <v>218</v>
      </c>
      <c r="H312" s="2" t="str">
        <f aca="false">IF(LEFT(B312,10)="Arsenal v ",MID(B312,11,100),LEFT(B312,FIND(" v ",B312)-1))</f>
        <v>Parma</v>
      </c>
      <c r="I312" s="2" t="str">
        <f aca="false">IF(F312&lt;&gt;"","N",IF(LEFT(B312,10)="Arsenal v ","H","A"))</f>
        <v>N</v>
      </c>
      <c r="J312" s="2"/>
    </row>
    <row r="313" customFormat="false" ht="15" hidden="false" customHeight="false" outlineLevel="0" collapsed="false">
      <c r="A313" s="3" t="n">
        <v>34461</v>
      </c>
      <c r="B313" s="2" t="s">
        <v>501</v>
      </c>
      <c r="C313" s="2" t="s">
        <v>704</v>
      </c>
      <c r="D313" s="2" t="s">
        <v>351</v>
      </c>
      <c r="E313" s="2" t="s">
        <v>356</v>
      </c>
      <c r="F313" s="2"/>
      <c r="G313" s="2" t="s">
        <v>218</v>
      </c>
      <c r="H313" s="2" t="str">
        <f aca="false">IF(LEFT(B313,10)="Arsenal v ",MID(B313,11,100),LEFT(B313,FIND(" v ",B313)-1))</f>
        <v>Newcastle United</v>
      </c>
      <c r="I313" s="2" t="str">
        <f aca="false">IF(F313&lt;&gt;"","N",IF(LEFT(B313,10)="Arsenal v ","H","A"))</f>
        <v>A</v>
      </c>
      <c r="J313" s="2"/>
    </row>
    <row r="314" customFormat="false" ht="15" hidden="false" customHeight="false" outlineLevel="0" collapsed="false">
      <c r="A314" s="3" t="n">
        <v>34566</v>
      </c>
      <c r="B314" s="2" t="s">
        <v>657</v>
      </c>
      <c r="C314" s="2" t="s">
        <v>702</v>
      </c>
      <c r="D314" s="2" t="s">
        <v>434</v>
      </c>
      <c r="E314" s="2" t="s">
        <v>356</v>
      </c>
      <c r="F314" s="2"/>
      <c r="G314" s="2" t="s">
        <v>81</v>
      </c>
      <c r="H314" s="2" t="str">
        <f aca="false">IF(LEFT(B314,10)="Arsenal v ",MID(B314,11,100),LEFT(B314,FIND(" v ",B314)-1))</f>
        <v>Manchester City</v>
      </c>
      <c r="I314" s="2" t="str">
        <f aca="false">IF(F314&lt;&gt;"","N",IF(LEFT(B314,10)="Arsenal v ","H","A"))</f>
        <v>H</v>
      </c>
      <c r="J314" s="2"/>
    </row>
    <row r="315" customFormat="false" ht="15" hidden="false" customHeight="false" outlineLevel="0" collapsed="false">
      <c r="A315" s="3" t="n">
        <v>34569</v>
      </c>
      <c r="B315" s="2" t="s">
        <v>473</v>
      </c>
      <c r="C315" s="2" t="s">
        <v>704</v>
      </c>
      <c r="D315" s="2" t="s">
        <v>348</v>
      </c>
      <c r="E315" s="2" t="s">
        <v>356</v>
      </c>
      <c r="F315" s="2"/>
      <c r="G315" s="2" t="s">
        <v>81</v>
      </c>
      <c r="H315" s="2" t="str">
        <f aca="false">IF(LEFT(B315,10)="Arsenal v ",MID(B315,11,100),LEFT(B315,FIND(" v ",B315)-1))</f>
        <v>Leeds United</v>
      </c>
      <c r="I315" s="2" t="str">
        <f aca="false">IF(F315&lt;&gt;"","N",IF(LEFT(B315,10)="Arsenal v ","H","A"))</f>
        <v>A</v>
      </c>
      <c r="J315" s="2"/>
    </row>
    <row r="316" customFormat="false" ht="15" hidden="false" customHeight="false" outlineLevel="0" collapsed="false">
      <c r="A316" s="3" t="n">
        <v>34574</v>
      </c>
      <c r="B316" s="2" t="s">
        <v>477</v>
      </c>
      <c r="C316" s="2" t="s">
        <v>704</v>
      </c>
      <c r="D316" s="2" t="s">
        <v>434</v>
      </c>
      <c r="E316" s="2" t="s">
        <v>356</v>
      </c>
      <c r="F316" s="2"/>
      <c r="G316" s="2" t="s">
        <v>81</v>
      </c>
      <c r="H316" s="2" t="str">
        <f aca="false">IF(LEFT(B316,10)="Arsenal v ",MID(B316,11,100),LEFT(B316,FIND(" v ",B316)-1))</f>
        <v>Liverpool</v>
      </c>
      <c r="I316" s="2" t="str">
        <f aca="false">IF(F316&lt;&gt;"","N",IF(LEFT(B316,10)="Arsenal v ","H","A"))</f>
        <v>A</v>
      </c>
      <c r="J316" s="2"/>
    </row>
    <row r="317" customFormat="false" ht="15" hidden="false" customHeight="false" outlineLevel="0" collapsed="false">
      <c r="A317" s="3" t="n">
        <v>34577</v>
      </c>
      <c r="B317" s="2" t="s">
        <v>737</v>
      </c>
      <c r="C317" s="2" t="s">
        <v>706</v>
      </c>
      <c r="D317" s="2" t="s">
        <v>369</v>
      </c>
      <c r="E317" s="2" t="s">
        <v>356</v>
      </c>
      <c r="F317" s="2"/>
      <c r="G317" s="2" t="s">
        <v>81</v>
      </c>
      <c r="H317" s="2" t="str">
        <f aca="false">IF(LEFT(B317,10)="Arsenal v ",MID(B317,11,100),LEFT(B317,FIND(" v ",B317)-1))</f>
        <v>Blackburn Rovers</v>
      </c>
      <c r="I317" s="2" t="str">
        <f aca="false">IF(F317&lt;&gt;"","N",IF(LEFT(B317,10)="Arsenal v ","H","A"))</f>
        <v>H</v>
      </c>
      <c r="J317" s="2"/>
    </row>
    <row r="318" customFormat="false" ht="15" hidden="false" customHeight="false" outlineLevel="0" collapsed="false">
      <c r="A318" s="3" t="n">
        <v>34587</v>
      </c>
      <c r="B318" s="2" t="s">
        <v>502</v>
      </c>
      <c r="C318" s="2" t="s">
        <v>706</v>
      </c>
      <c r="D318" s="2" t="s">
        <v>369</v>
      </c>
      <c r="E318" s="2" t="s">
        <v>356</v>
      </c>
      <c r="F318" s="2"/>
      <c r="G318" s="2" t="s">
        <v>81</v>
      </c>
      <c r="H318" s="2" t="str">
        <f aca="false">IF(LEFT(B318,10)="Arsenal v ",MID(B318,11,100),LEFT(B318,FIND(" v ",B318)-1))</f>
        <v>Norwich City</v>
      </c>
      <c r="I318" s="2" t="str">
        <f aca="false">IF(F318&lt;&gt;"","N",IF(LEFT(B318,10)="Arsenal v ","H","A"))</f>
        <v>A</v>
      </c>
      <c r="J318" s="2"/>
    </row>
    <row r="319" customFormat="false" ht="15" hidden="false" customHeight="false" outlineLevel="0" collapsed="false">
      <c r="A319" s="3" t="n">
        <v>34592</v>
      </c>
      <c r="B319" s="2" t="s">
        <v>510</v>
      </c>
      <c r="C319" s="2" t="s">
        <v>702</v>
      </c>
      <c r="D319" s="2" t="s">
        <v>373</v>
      </c>
      <c r="E319" s="2" t="s">
        <v>393</v>
      </c>
      <c r="F319" s="2"/>
      <c r="G319" s="2" t="s">
        <v>81</v>
      </c>
      <c r="H319" s="2" t="str">
        <f aca="false">IF(LEFT(B319,10)="Arsenal v ",MID(B319,11,100),LEFT(B319,FIND(" v ",B319)-1))</f>
        <v>Omonia Nicosia</v>
      </c>
      <c r="I319" s="2" t="str">
        <f aca="false">IF(F319&lt;&gt;"","N",IF(LEFT(B319,10)="Arsenal v ","H","A"))</f>
        <v>A</v>
      </c>
      <c r="J319" s="2"/>
    </row>
    <row r="320" customFormat="false" ht="15" hidden="false" customHeight="false" outlineLevel="0" collapsed="false">
      <c r="A320" s="3" t="n">
        <v>34595</v>
      </c>
      <c r="B320" s="2" t="s">
        <v>719</v>
      </c>
      <c r="C320" s="2" t="s">
        <v>704</v>
      </c>
      <c r="D320" s="2" t="s">
        <v>366</v>
      </c>
      <c r="E320" s="2" t="s">
        <v>356</v>
      </c>
      <c r="F320" s="2"/>
      <c r="G320" s="2" t="s">
        <v>81</v>
      </c>
      <c r="H320" s="2" t="str">
        <f aca="false">IF(LEFT(B320,10)="Arsenal v ",MID(B320,11,100),LEFT(B320,FIND(" v ",B320)-1))</f>
        <v>Newcastle United</v>
      </c>
      <c r="I320" s="2" t="str">
        <f aca="false">IF(F320&lt;&gt;"","N",IF(LEFT(B320,10)="Arsenal v ","H","A"))</f>
        <v>H</v>
      </c>
      <c r="J320" s="2"/>
    </row>
    <row r="321" customFormat="false" ht="15" hidden="false" customHeight="false" outlineLevel="0" collapsed="false">
      <c r="A321" s="3" t="n">
        <v>34598</v>
      </c>
      <c r="B321" s="2" t="s">
        <v>465</v>
      </c>
      <c r="C321" s="2" t="s">
        <v>702</v>
      </c>
      <c r="D321" s="2" t="s">
        <v>420</v>
      </c>
      <c r="E321" s="2" t="s">
        <v>379</v>
      </c>
      <c r="F321" s="2"/>
      <c r="G321" s="2" t="s">
        <v>81</v>
      </c>
      <c r="H321" s="2" t="str">
        <f aca="false">IF(LEFT(B321,10)="Arsenal v ",MID(B321,11,100),LEFT(B321,FIND(" v ",B321)-1))</f>
        <v>Hartlepool United</v>
      </c>
      <c r="I321" s="2" t="str">
        <f aca="false">IF(F321&lt;&gt;"","N",IF(LEFT(B321,10)="Arsenal v ","H","A"))</f>
        <v>A</v>
      </c>
      <c r="J321" s="2"/>
    </row>
    <row r="322" customFormat="false" ht="15" hidden="false" customHeight="false" outlineLevel="0" collapsed="false">
      <c r="A322" s="3" t="n">
        <v>34602</v>
      </c>
      <c r="B322" s="2" t="s">
        <v>572</v>
      </c>
      <c r="C322" s="2" t="s">
        <v>702</v>
      </c>
      <c r="D322" s="2" t="s">
        <v>353</v>
      </c>
      <c r="E322" s="2" t="s">
        <v>356</v>
      </c>
      <c r="F322" s="2"/>
      <c r="G322" s="2" t="s">
        <v>81</v>
      </c>
      <c r="H322" s="2" t="str">
        <f aca="false">IF(LEFT(B322,10)="Arsenal v ",MID(B322,11,100),LEFT(B322,FIND(" v ",B322)-1))</f>
        <v>West Ham United</v>
      </c>
      <c r="I322" s="2" t="str">
        <f aca="false">IF(F322&lt;&gt;"","N",IF(LEFT(B322,10)="Arsenal v ","H","A"))</f>
        <v>A</v>
      </c>
      <c r="J322" s="2"/>
    </row>
    <row r="323" customFormat="false" ht="15" hidden="false" customHeight="false" outlineLevel="0" collapsed="false">
      <c r="A323" s="3" t="n">
        <v>34606</v>
      </c>
      <c r="B323" s="2" t="s">
        <v>748</v>
      </c>
      <c r="C323" s="2" t="s">
        <v>702</v>
      </c>
      <c r="D323" s="2" t="s">
        <v>434</v>
      </c>
      <c r="E323" s="2" t="s">
        <v>393</v>
      </c>
      <c r="F323" s="2"/>
      <c r="G323" s="2" t="s">
        <v>81</v>
      </c>
      <c r="H323" s="2" t="str">
        <f aca="false">IF(LEFT(B323,10)="Arsenal v ",MID(B323,11,100),LEFT(B323,FIND(" v ",B323)-1))</f>
        <v>Omonia Nicosia</v>
      </c>
      <c r="I323" s="2" t="str">
        <f aca="false">IF(F323&lt;&gt;"","N",IF(LEFT(B323,10)="Arsenal v ","H","A"))</f>
        <v>H</v>
      </c>
      <c r="J323" s="2"/>
    </row>
    <row r="324" customFormat="false" ht="15" hidden="false" customHeight="false" outlineLevel="0" collapsed="false">
      <c r="A324" s="3" t="n">
        <v>34608</v>
      </c>
      <c r="B324" s="2" t="s">
        <v>724</v>
      </c>
      <c r="C324" s="2" t="s">
        <v>704</v>
      </c>
      <c r="D324" s="2" t="s">
        <v>360</v>
      </c>
      <c r="E324" s="2" t="s">
        <v>356</v>
      </c>
      <c r="F324" s="2"/>
      <c r="G324" s="2" t="s">
        <v>81</v>
      </c>
      <c r="H324" s="2" t="str">
        <f aca="false">IF(LEFT(B324,10)="Arsenal v ",MID(B324,11,100),LEFT(B324,FIND(" v ",B324)-1))</f>
        <v>Crystal Palace</v>
      </c>
      <c r="I324" s="2" t="str">
        <f aca="false">IF(F324&lt;&gt;"","N",IF(LEFT(B324,10)="Arsenal v ","H","A"))</f>
        <v>H</v>
      </c>
      <c r="J324" s="2"/>
    </row>
    <row r="325" customFormat="false" ht="15" hidden="false" customHeight="false" outlineLevel="0" collapsed="false">
      <c r="A325" s="3" t="n">
        <v>34612</v>
      </c>
      <c r="B325" s="2" t="s">
        <v>749</v>
      </c>
      <c r="C325" s="2" t="s">
        <v>702</v>
      </c>
      <c r="D325" s="2" t="s">
        <v>351</v>
      </c>
      <c r="E325" s="2" t="s">
        <v>379</v>
      </c>
      <c r="F325" s="2"/>
      <c r="G325" s="2" t="s">
        <v>81</v>
      </c>
      <c r="H325" s="2" t="str">
        <f aca="false">IF(LEFT(B325,10)="Arsenal v ",MID(B325,11,100),LEFT(B325,FIND(" v ",B325)-1))</f>
        <v>Hartlepool United</v>
      </c>
      <c r="I325" s="2" t="str">
        <f aca="false">IF(F325&lt;&gt;"","N",IF(LEFT(B325,10)="Arsenal v ","H","A"))</f>
        <v>H</v>
      </c>
      <c r="J325" s="2"/>
    </row>
    <row r="326" customFormat="false" ht="15" hidden="false" customHeight="false" outlineLevel="0" collapsed="false">
      <c r="A326" s="3" t="n">
        <v>34615</v>
      </c>
      <c r="B326" s="2" t="s">
        <v>574</v>
      </c>
      <c r="C326" s="2" t="s">
        <v>702</v>
      </c>
      <c r="D326" s="2" t="s">
        <v>373</v>
      </c>
      <c r="E326" s="2" t="s">
        <v>356</v>
      </c>
      <c r="F326" s="2"/>
      <c r="G326" s="2" t="s">
        <v>81</v>
      </c>
      <c r="H326" s="2" t="str">
        <f aca="false">IF(LEFT(B326,10)="Arsenal v ",MID(B326,11,100),LEFT(B326,FIND(" v ",B326)-1))</f>
        <v>Wimbledon</v>
      </c>
      <c r="I326" s="2" t="str">
        <f aca="false">IF(F326&lt;&gt;"","N",IF(LEFT(B326,10)="Arsenal v ","H","A"))</f>
        <v>A</v>
      </c>
      <c r="J326" s="2"/>
    </row>
    <row r="327" customFormat="false" ht="15" hidden="false" customHeight="false" outlineLevel="0" collapsed="false">
      <c r="A327" s="3" t="n">
        <v>34622</v>
      </c>
      <c r="B327" s="2" t="s">
        <v>725</v>
      </c>
      <c r="C327" s="2" t="s">
        <v>702</v>
      </c>
      <c r="D327" s="2" t="s">
        <v>377</v>
      </c>
      <c r="E327" s="2" t="s">
        <v>356</v>
      </c>
      <c r="F327" s="2"/>
      <c r="G327" s="2" t="s">
        <v>81</v>
      </c>
      <c r="H327" s="2" t="str">
        <f aca="false">IF(LEFT(B327,10)="Arsenal v ",MID(B327,11,100),LEFT(B327,FIND(" v ",B327)-1))</f>
        <v>Chelsea</v>
      </c>
      <c r="I327" s="2" t="str">
        <f aca="false">IF(F327&lt;&gt;"","N",IF(LEFT(B327,10)="Arsenal v ","H","A"))</f>
        <v>H</v>
      </c>
      <c r="J327" s="2"/>
    </row>
    <row r="328" customFormat="false" ht="15" hidden="false" customHeight="false" outlineLevel="0" collapsed="false">
      <c r="A328" s="3" t="n">
        <v>34627</v>
      </c>
      <c r="B328" s="2" t="s">
        <v>418</v>
      </c>
      <c r="C328" s="2" t="s">
        <v>702</v>
      </c>
      <c r="D328" s="2" t="s">
        <v>360</v>
      </c>
      <c r="E328" s="2" t="s">
        <v>393</v>
      </c>
      <c r="F328" s="2"/>
      <c r="G328" s="2" t="s">
        <v>81</v>
      </c>
      <c r="H328" s="2" t="str">
        <f aca="false">IF(LEFT(B328,10)="Arsenal v ",MID(B328,11,100),LEFT(B328,FIND(" v ",B328)-1))</f>
        <v>Brøndby</v>
      </c>
      <c r="I328" s="2" t="str">
        <f aca="false">IF(F328&lt;&gt;"","N",IF(LEFT(B328,10)="Arsenal v ","H","A"))</f>
        <v>A</v>
      </c>
      <c r="J328" s="2"/>
    </row>
    <row r="329" customFormat="false" ht="15" hidden="false" customHeight="false" outlineLevel="0" collapsed="false">
      <c r="A329" s="3" t="n">
        <v>34630</v>
      </c>
      <c r="B329" s="2" t="s">
        <v>709</v>
      </c>
      <c r="C329" s="2" t="s">
        <v>702</v>
      </c>
      <c r="D329" s="2" t="s">
        <v>359</v>
      </c>
      <c r="E329" s="2" t="s">
        <v>356</v>
      </c>
      <c r="F329" s="2"/>
      <c r="G329" s="2" t="s">
        <v>81</v>
      </c>
      <c r="H329" s="2" t="str">
        <f aca="false">IF(LEFT(B329,10)="Arsenal v ",MID(B329,11,100),LEFT(B329,FIND(" v ",B329)-1))</f>
        <v>Coventry City</v>
      </c>
      <c r="I329" s="2" t="str">
        <f aca="false">IF(F329&lt;&gt;"","N",IF(LEFT(B329,10)="Arsenal v ","H","A"))</f>
        <v>H</v>
      </c>
      <c r="J329" s="2"/>
    </row>
    <row r="330" customFormat="false" ht="15" hidden="false" customHeight="false" outlineLevel="0" collapsed="false">
      <c r="A330" s="3" t="n">
        <v>34633</v>
      </c>
      <c r="B330" s="2" t="s">
        <v>506</v>
      </c>
      <c r="C330" s="2" t="s">
        <v>706</v>
      </c>
      <c r="D330" s="2" t="s">
        <v>369</v>
      </c>
      <c r="E330" s="2" t="s">
        <v>379</v>
      </c>
      <c r="F330" s="2"/>
      <c r="G330" s="2" t="s">
        <v>81</v>
      </c>
      <c r="H330" s="2" t="str">
        <f aca="false">IF(LEFT(B330,10)="Arsenal v ",MID(B330,11,100),LEFT(B330,FIND(" v ",B330)-1))</f>
        <v>Oldham Athletic</v>
      </c>
      <c r="I330" s="2" t="str">
        <f aca="false">IF(F330&lt;&gt;"","N",IF(LEFT(B330,10)="Arsenal v ","H","A"))</f>
        <v>A</v>
      </c>
      <c r="J330" s="2"/>
    </row>
    <row r="331" customFormat="false" ht="15" hidden="false" customHeight="false" outlineLevel="0" collapsed="false">
      <c r="A331" s="3" t="n">
        <v>34636</v>
      </c>
      <c r="B331" s="2" t="s">
        <v>448</v>
      </c>
      <c r="C331" s="2" t="s">
        <v>706</v>
      </c>
      <c r="D331" s="2" t="s">
        <v>361</v>
      </c>
      <c r="E331" s="2" t="s">
        <v>356</v>
      </c>
      <c r="F331" s="2"/>
      <c r="G331" s="2" t="s">
        <v>81</v>
      </c>
      <c r="H331" s="2" t="str">
        <f aca="false">IF(LEFT(B331,10)="Arsenal v ",MID(B331,11,100),LEFT(B331,FIND(" v ",B331)-1))</f>
        <v>Everton</v>
      </c>
      <c r="I331" s="2" t="str">
        <f aca="false">IF(F331&lt;&gt;"","N",IF(LEFT(B331,10)="Arsenal v ","H","A"))</f>
        <v>A</v>
      </c>
      <c r="J331" s="2"/>
    </row>
    <row r="332" customFormat="false" ht="15" hidden="false" customHeight="false" outlineLevel="0" collapsed="false">
      <c r="A332" s="3" t="n">
        <v>34641</v>
      </c>
      <c r="B332" s="2" t="s">
        <v>750</v>
      </c>
      <c r="C332" s="2" t="s">
        <v>706</v>
      </c>
      <c r="D332" s="2" t="s">
        <v>380</v>
      </c>
      <c r="E332" s="2" t="s">
        <v>393</v>
      </c>
      <c r="F332" s="2"/>
      <c r="G332" s="2" t="s">
        <v>81</v>
      </c>
      <c r="H332" s="2" t="str">
        <f aca="false">IF(LEFT(B332,10)="Arsenal v ",MID(B332,11,100),LEFT(B332,FIND(" v ",B332)-1))</f>
        <v>Brøndby</v>
      </c>
      <c r="I332" s="2" t="str">
        <f aca="false">IF(F332&lt;&gt;"","N",IF(LEFT(B332,10)="Arsenal v ","H","A"))</f>
        <v>H</v>
      </c>
      <c r="J332" s="2"/>
    </row>
    <row r="333" customFormat="false" ht="15" hidden="false" customHeight="false" outlineLevel="0" collapsed="false">
      <c r="A333" s="3" t="n">
        <v>34644</v>
      </c>
      <c r="B333" s="2" t="s">
        <v>713</v>
      </c>
      <c r="C333" s="2" t="s">
        <v>706</v>
      </c>
      <c r="D333" s="2" t="s">
        <v>369</v>
      </c>
      <c r="E333" s="2" t="s">
        <v>356</v>
      </c>
      <c r="F333" s="2"/>
      <c r="G333" s="2" t="s">
        <v>81</v>
      </c>
      <c r="H333" s="2" t="str">
        <f aca="false">IF(LEFT(B333,10)="Arsenal v ",MID(B333,11,100),LEFT(B333,FIND(" v ",B333)-1))</f>
        <v>Sheffield Wednesday</v>
      </c>
      <c r="I333" s="2" t="str">
        <f aca="false">IF(F333&lt;&gt;"","N",IF(LEFT(B333,10)="Arsenal v ","H","A"))</f>
        <v>H</v>
      </c>
      <c r="J333" s="2"/>
    </row>
    <row r="334" customFormat="false" ht="15" hidden="false" customHeight="false" outlineLevel="0" collapsed="false">
      <c r="A334" s="3" t="n">
        <v>34647</v>
      </c>
      <c r="B334" s="2" t="s">
        <v>736</v>
      </c>
      <c r="C334" s="2" t="s">
        <v>702</v>
      </c>
      <c r="D334" s="2" t="s">
        <v>351</v>
      </c>
      <c r="E334" s="2" t="s">
        <v>379</v>
      </c>
      <c r="F334" s="2"/>
      <c r="G334" s="2" t="s">
        <v>81</v>
      </c>
      <c r="H334" s="2" t="str">
        <f aca="false">IF(LEFT(B334,10)="Arsenal v ",MID(B334,11,100),LEFT(B334,FIND(" v ",B334)-1))</f>
        <v>Oldham Athletic</v>
      </c>
      <c r="I334" s="2" t="str">
        <f aca="false">IF(F334&lt;&gt;"","N",IF(LEFT(B334,10)="Arsenal v ","H","A"))</f>
        <v>H</v>
      </c>
      <c r="J334" s="2"/>
    </row>
    <row r="335" customFormat="false" ht="15" hidden="false" customHeight="false" outlineLevel="0" collapsed="false">
      <c r="A335" s="3" t="n">
        <v>34657</v>
      </c>
      <c r="B335" s="2" t="s">
        <v>546</v>
      </c>
      <c r="C335" s="2" t="s">
        <v>704</v>
      </c>
      <c r="D335" s="2" t="s">
        <v>348</v>
      </c>
      <c r="E335" s="2" t="s">
        <v>356</v>
      </c>
      <c r="F335" s="2"/>
      <c r="G335" s="2" t="s">
        <v>81</v>
      </c>
      <c r="H335" s="2" t="str">
        <f aca="false">IF(LEFT(B335,10)="Arsenal v ",MID(B335,11,100),LEFT(B335,FIND(" v ",B335)-1))</f>
        <v>Southampton</v>
      </c>
      <c r="I335" s="2" t="str">
        <f aca="false">IF(F335&lt;&gt;"","N",IF(LEFT(B335,10)="Arsenal v ","H","A"))</f>
        <v>A</v>
      </c>
      <c r="J335" s="2"/>
    </row>
    <row r="336" customFormat="false" ht="15" hidden="false" customHeight="false" outlineLevel="0" collapsed="false">
      <c r="A336" s="3" t="n">
        <v>34661</v>
      </c>
      <c r="B336" s="2" t="s">
        <v>474</v>
      </c>
      <c r="C336" s="2" t="s">
        <v>704</v>
      </c>
      <c r="D336" s="2" t="s">
        <v>359</v>
      </c>
      <c r="E336" s="2" t="s">
        <v>356</v>
      </c>
      <c r="F336" s="2"/>
      <c r="G336" s="2" t="s">
        <v>81</v>
      </c>
      <c r="H336" s="2" t="str">
        <f aca="false">IF(LEFT(B336,10)="Arsenal v ",MID(B336,11,100),LEFT(B336,FIND(" v ",B336)-1))</f>
        <v>Leicester City</v>
      </c>
      <c r="I336" s="2" t="str">
        <f aca="false">IF(F336&lt;&gt;"","N",IF(LEFT(B336,10)="Arsenal v ","H","A"))</f>
        <v>A</v>
      </c>
      <c r="J336" s="2"/>
    </row>
    <row r="337" customFormat="false" ht="15" hidden="false" customHeight="false" outlineLevel="0" collapsed="false">
      <c r="A337" s="3" t="n">
        <v>34664</v>
      </c>
      <c r="B337" s="2" t="s">
        <v>656</v>
      </c>
      <c r="C337" s="2" t="s">
        <v>706</v>
      </c>
      <c r="D337" s="2" t="s">
        <v>369</v>
      </c>
      <c r="E337" s="2" t="s">
        <v>356</v>
      </c>
      <c r="F337" s="2"/>
      <c r="G337" s="2" t="s">
        <v>81</v>
      </c>
      <c r="H337" s="2" t="str">
        <f aca="false">IF(LEFT(B337,10)="Arsenal v ",MID(B337,11,100),LEFT(B337,FIND(" v ",B337)-1))</f>
        <v>Manchester United</v>
      </c>
      <c r="I337" s="2" t="str">
        <f aca="false">IF(F337&lt;&gt;"","N",IF(LEFT(B337,10)="Arsenal v ","H","A"))</f>
        <v>H</v>
      </c>
      <c r="J337" s="2"/>
    </row>
    <row r="338" customFormat="false" ht="15" hidden="false" customHeight="false" outlineLevel="0" collapsed="false">
      <c r="A338" s="3" t="n">
        <v>34668</v>
      </c>
      <c r="B338" s="2" t="s">
        <v>713</v>
      </c>
      <c r="C338" s="2" t="s">
        <v>702</v>
      </c>
      <c r="D338" s="2" t="s">
        <v>351</v>
      </c>
      <c r="E338" s="2" t="s">
        <v>379</v>
      </c>
      <c r="F338" s="2"/>
      <c r="G338" s="2" t="s">
        <v>81</v>
      </c>
      <c r="H338" s="2" t="str">
        <f aca="false">IF(LEFT(B338,10)="Arsenal v ",MID(B338,11,100),LEFT(B338,FIND(" v ",B338)-1))</f>
        <v>Sheffield Wednesday</v>
      </c>
      <c r="I338" s="2" t="str">
        <f aca="false">IF(F338&lt;&gt;"","N",IF(LEFT(B338,10)="Arsenal v ","H","A"))</f>
        <v>H</v>
      </c>
      <c r="J338" s="2"/>
    </row>
    <row r="339" customFormat="false" ht="15" hidden="false" customHeight="false" outlineLevel="0" collapsed="false">
      <c r="A339" s="3" t="n">
        <v>34671</v>
      </c>
      <c r="B339" s="2" t="s">
        <v>503</v>
      </c>
      <c r="C339" s="2" t="s">
        <v>706</v>
      </c>
      <c r="D339" s="2" t="s">
        <v>380</v>
      </c>
      <c r="E339" s="2" t="s">
        <v>356</v>
      </c>
      <c r="F339" s="2"/>
      <c r="G339" s="2" t="s">
        <v>81</v>
      </c>
      <c r="H339" s="2" t="str">
        <f aca="false">IF(LEFT(B339,10)="Arsenal v ",MID(B339,11,100),LEFT(B339,FIND(" v ",B339)-1))</f>
        <v>Nottingham Forest</v>
      </c>
      <c r="I339" s="2" t="str">
        <f aca="false">IF(F339&lt;&gt;"","N",IF(LEFT(B339,10)="Arsenal v ","H","A"))</f>
        <v>A</v>
      </c>
      <c r="J339" s="2"/>
    </row>
    <row r="340" customFormat="false" ht="15" hidden="false" customHeight="false" outlineLevel="0" collapsed="false">
      <c r="A340" s="3" t="n">
        <v>34680</v>
      </c>
      <c r="B340" s="2" t="s">
        <v>487</v>
      </c>
      <c r="C340" s="2" t="s">
        <v>702</v>
      </c>
      <c r="D340" s="2" t="s">
        <v>360</v>
      </c>
      <c r="E340" s="2" t="s">
        <v>356</v>
      </c>
      <c r="F340" s="2"/>
      <c r="G340" s="2" t="s">
        <v>81</v>
      </c>
      <c r="H340" s="2" t="str">
        <f aca="false">IF(LEFT(B340,10)="Arsenal v ",MID(B340,11,100),LEFT(B340,FIND(" v ",B340)-1))</f>
        <v>Manchester City</v>
      </c>
      <c r="I340" s="2" t="str">
        <f aca="false">IF(F340&lt;&gt;"","N",IF(LEFT(B340,10)="Arsenal v ","H","A"))</f>
        <v>A</v>
      </c>
      <c r="J340" s="2"/>
    </row>
    <row r="341" customFormat="false" ht="15" hidden="false" customHeight="false" outlineLevel="0" collapsed="false">
      <c r="A341" s="3" t="n">
        <v>34685</v>
      </c>
      <c r="B341" s="2" t="s">
        <v>729</v>
      </c>
      <c r="C341" s="2" t="s">
        <v>704</v>
      </c>
      <c r="D341" s="2" t="s">
        <v>373</v>
      </c>
      <c r="E341" s="2" t="s">
        <v>356</v>
      </c>
      <c r="F341" s="2"/>
      <c r="G341" s="2" t="s">
        <v>81</v>
      </c>
      <c r="H341" s="2" t="str">
        <f aca="false">IF(LEFT(B341,10)="Arsenal v ",MID(B341,11,100),LEFT(B341,FIND(" v ",B341)-1))</f>
        <v>Leeds United</v>
      </c>
      <c r="I341" s="2" t="str">
        <f aca="false">IF(F341&lt;&gt;"","N",IF(LEFT(B341,10)="Arsenal v ","H","A"))</f>
        <v>H</v>
      </c>
      <c r="J341" s="2"/>
    </row>
    <row r="342" customFormat="false" ht="15" hidden="false" customHeight="false" outlineLevel="0" collapsed="false">
      <c r="A342" s="3" t="n">
        <v>34694</v>
      </c>
      <c r="B342" s="2" t="s">
        <v>703</v>
      </c>
      <c r="C342" s="2" t="s">
        <v>706</v>
      </c>
      <c r="D342" s="2" t="s">
        <v>369</v>
      </c>
      <c r="E342" s="2" t="s">
        <v>356</v>
      </c>
      <c r="F342" s="2"/>
      <c r="G342" s="2" t="s">
        <v>81</v>
      </c>
      <c r="H342" s="2" t="str">
        <f aca="false">IF(LEFT(B342,10)="Arsenal v ",MID(B342,11,100),LEFT(B342,FIND(" v ",B342)-1))</f>
        <v>Aston Villa</v>
      </c>
      <c r="I342" s="2" t="str">
        <f aca="false">IF(F342&lt;&gt;"","N",IF(LEFT(B342,10)="Arsenal v ","H","A"))</f>
        <v>H</v>
      </c>
      <c r="J342" s="2"/>
    </row>
    <row r="343" customFormat="false" ht="15" hidden="false" customHeight="false" outlineLevel="0" collapsed="false">
      <c r="A343" s="3" t="n">
        <v>34696</v>
      </c>
      <c r="B343" s="2" t="s">
        <v>470</v>
      </c>
      <c r="C343" s="2" t="s">
        <v>702</v>
      </c>
      <c r="D343" s="2" t="s">
        <v>353</v>
      </c>
      <c r="E343" s="2" t="s">
        <v>356</v>
      </c>
      <c r="F343" s="2"/>
      <c r="G343" s="2" t="s">
        <v>81</v>
      </c>
      <c r="H343" s="2" t="str">
        <f aca="false">IF(LEFT(B343,10)="Arsenal v ",MID(B343,11,100),LEFT(B343,FIND(" v ",B343)-1))</f>
        <v>Ipswich Town</v>
      </c>
      <c r="I343" s="2" t="str">
        <f aca="false">IF(F343&lt;&gt;"","N",IF(LEFT(B343,10)="Arsenal v ","H","A"))</f>
        <v>A</v>
      </c>
      <c r="J343" s="2"/>
    </row>
    <row r="344" customFormat="false" ht="15" hidden="false" customHeight="false" outlineLevel="0" collapsed="false">
      <c r="A344" s="3" t="n">
        <v>34699</v>
      </c>
      <c r="B344" s="2" t="s">
        <v>708</v>
      </c>
      <c r="C344" s="2" t="s">
        <v>704</v>
      </c>
      <c r="D344" s="2" t="s">
        <v>373</v>
      </c>
      <c r="E344" s="2" t="s">
        <v>356</v>
      </c>
      <c r="F344" s="2"/>
      <c r="G344" s="2" t="s">
        <v>81</v>
      </c>
      <c r="H344" s="2" t="str">
        <f aca="false">IF(LEFT(B344,10)="Arsenal v ",MID(B344,11,100),LEFT(B344,FIND(" v ",B344)-1))</f>
        <v>Queens Park Rangers</v>
      </c>
      <c r="I344" s="2" t="str">
        <f aca="false">IF(F344&lt;&gt;"","N",IF(LEFT(B344,10)="Arsenal v ","H","A"))</f>
        <v>H</v>
      </c>
      <c r="J344" s="2"/>
    </row>
    <row r="345" customFormat="false" ht="15" hidden="false" customHeight="false" outlineLevel="0" collapsed="false">
      <c r="A345" s="3" t="n">
        <v>34701</v>
      </c>
      <c r="B345" s="2" t="s">
        <v>561</v>
      </c>
      <c r="C345" s="2" t="s">
        <v>704</v>
      </c>
      <c r="D345" s="2" t="s">
        <v>348</v>
      </c>
      <c r="E345" s="2" t="s">
        <v>356</v>
      </c>
      <c r="F345" s="2"/>
      <c r="G345" s="2" t="s">
        <v>81</v>
      </c>
      <c r="H345" s="2" t="str">
        <f aca="false">IF(LEFT(B345,10)="Arsenal v ",MID(B345,11,100),LEFT(B345,FIND(" v ",B345)-1))</f>
        <v>Tottenham Hotspur</v>
      </c>
      <c r="I345" s="2" t="str">
        <f aca="false">IF(F345&lt;&gt;"","N",IF(LEFT(B345,10)="Arsenal v ","H","A"))</f>
        <v>A</v>
      </c>
      <c r="J345" s="2"/>
    </row>
    <row r="346" customFormat="false" ht="15" hidden="false" customHeight="false" outlineLevel="0" collapsed="false">
      <c r="A346" s="3" t="n">
        <v>34706</v>
      </c>
      <c r="B346" s="2" t="s">
        <v>496</v>
      </c>
      <c r="C346" s="2" t="s">
        <v>706</v>
      </c>
      <c r="D346" s="2" t="s">
        <v>369</v>
      </c>
      <c r="E346" s="2" t="s">
        <v>362</v>
      </c>
      <c r="F346" s="2"/>
      <c r="G346" s="2" t="s">
        <v>81</v>
      </c>
      <c r="H346" s="2" t="str">
        <f aca="false">IF(LEFT(B346,10)="Arsenal v ",MID(B346,11,100),LEFT(B346,FIND(" v ",B346)-1))</f>
        <v>Millwall</v>
      </c>
      <c r="I346" s="2" t="str">
        <f aca="false">IF(F346&lt;&gt;"","N",IF(LEFT(B346,10)="Arsenal v ","H","A"))</f>
        <v>A</v>
      </c>
      <c r="J346" s="2"/>
    </row>
    <row r="347" customFormat="false" ht="15" hidden="false" customHeight="false" outlineLevel="0" collapsed="false">
      <c r="A347" s="3" t="n">
        <v>34710</v>
      </c>
      <c r="B347" s="2" t="s">
        <v>477</v>
      </c>
      <c r="C347" s="2" t="s">
        <v>704</v>
      </c>
      <c r="D347" s="2" t="s">
        <v>348</v>
      </c>
      <c r="E347" s="2" t="s">
        <v>379</v>
      </c>
      <c r="F347" s="2"/>
      <c r="G347" s="2" t="s">
        <v>81</v>
      </c>
      <c r="H347" s="2" t="str">
        <f aca="false">IF(LEFT(B347,10)="Arsenal v ",MID(B347,11,100),LEFT(B347,FIND(" v ",B347)-1))</f>
        <v>Liverpool</v>
      </c>
      <c r="I347" s="2" t="str">
        <f aca="false">IF(F347&lt;&gt;"","N",IF(LEFT(B347,10)="Arsenal v ","H","A"))</f>
        <v>A</v>
      </c>
      <c r="J347" s="2"/>
    </row>
    <row r="348" customFormat="false" ht="15" hidden="false" customHeight="false" outlineLevel="0" collapsed="false">
      <c r="A348" s="3" t="n">
        <v>34713</v>
      </c>
      <c r="B348" s="2" t="s">
        <v>718</v>
      </c>
      <c r="C348" s="2" t="s">
        <v>706</v>
      </c>
      <c r="D348" s="2" t="s">
        <v>361</v>
      </c>
      <c r="E348" s="2" t="s">
        <v>356</v>
      </c>
      <c r="F348" s="2"/>
      <c r="G348" s="2" t="s">
        <v>81</v>
      </c>
      <c r="H348" s="2" t="str">
        <f aca="false">IF(LEFT(B348,10)="Arsenal v ",MID(B348,11,100),LEFT(B348,FIND(" v ",B348)-1))</f>
        <v>Everton</v>
      </c>
      <c r="I348" s="2" t="str">
        <f aca="false">IF(F348&lt;&gt;"","N",IF(LEFT(B348,10)="Arsenal v ","H","A"))</f>
        <v>H</v>
      </c>
      <c r="J348" s="2"/>
    </row>
    <row r="349" customFormat="false" ht="15" hidden="false" customHeight="false" outlineLevel="0" collapsed="false">
      <c r="A349" s="3" t="n">
        <v>34717</v>
      </c>
      <c r="B349" s="2" t="s">
        <v>715</v>
      </c>
      <c r="C349" s="2" t="s">
        <v>704</v>
      </c>
      <c r="D349" s="2" t="s">
        <v>353</v>
      </c>
      <c r="E349" s="2" t="s">
        <v>362</v>
      </c>
      <c r="F349" s="2"/>
      <c r="G349" s="2" t="s">
        <v>81</v>
      </c>
      <c r="H349" s="2" t="str">
        <f aca="false">IF(LEFT(B349,10)="Arsenal v ",MID(B349,11,100),LEFT(B349,FIND(" v ",B349)-1))</f>
        <v>Millwall</v>
      </c>
      <c r="I349" s="2" t="str">
        <f aca="false">IF(F349&lt;&gt;"","N",IF(LEFT(B349,10)="Arsenal v ","H","A"))</f>
        <v>H</v>
      </c>
      <c r="J349" s="2"/>
    </row>
    <row r="350" customFormat="false" ht="15" hidden="false" customHeight="false" outlineLevel="0" collapsed="false">
      <c r="A350" s="3" t="n">
        <v>34720</v>
      </c>
      <c r="B350" s="2" t="s">
        <v>431</v>
      </c>
      <c r="C350" s="2" t="s">
        <v>702</v>
      </c>
      <c r="D350" s="2" t="s">
        <v>383</v>
      </c>
      <c r="E350" s="2" t="s">
        <v>356</v>
      </c>
      <c r="F350" s="2"/>
      <c r="G350" s="2" t="s">
        <v>81</v>
      </c>
      <c r="H350" s="2" t="str">
        <f aca="false">IF(LEFT(B350,10)="Arsenal v ",MID(B350,11,100),LEFT(B350,FIND(" v ",B350)-1))</f>
        <v>Coventry City</v>
      </c>
      <c r="I350" s="2" t="str">
        <f aca="false">IF(F350&lt;&gt;"","N",IF(LEFT(B350,10)="Arsenal v ","H","A"))</f>
        <v>A</v>
      </c>
      <c r="J350" s="2"/>
    </row>
    <row r="351" customFormat="false" ht="15" hidden="false" customHeight="false" outlineLevel="0" collapsed="false">
      <c r="A351" s="3" t="n">
        <v>34723</v>
      </c>
      <c r="B351" s="2" t="s">
        <v>705</v>
      </c>
      <c r="C351" s="2" t="s">
        <v>706</v>
      </c>
      <c r="D351" s="2" t="s">
        <v>361</v>
      </c>
      <c r="E351" s="2" t="s">
        <v>356</v>
      </c>
      <c r="F351" s="2"/>
      <c r="G351" s="2" t="s">
        <v>81</v>
      </c>
      <c r="H351" s="2" t="str">
        <f aca="false">IF(LEFT(B351,10)="Arsenal v ",MID(B351,11,100),LEFT(B351,FIND(" v ",B351)-1))</f>
        <v>Southampton</v>
      </c>
      <c r="I351" s="2" t="str">
        <f aca="false">IF(F351&lt;&gt;"","N",IF(LEFT(B351,10)="Arsenal v ","H","A"))</f>
        <v>H</v>
      </c>
      <c r="J351" s="2"/>
    </row>
    <row r="352" customFormat="false" ht="15" hidden="false" customHeight="false" outlineLevel="0" collapsed="false">
      <c r="A352" s="3" t="n">
        <v>34731</v>
      </c>
      <c r="B352" s="2" t="s">
        <v>751</v>
      </c>
      <c r="C352" s="2" t="s">
        <v>706</v>
      </c>
      <c r="D352" s="2" t="s">
        <v>369</v>
      </c>
      <c r="E352" s="2" t="s">
        <v>349</v>
      </c>
      <c r="F352" s="2"/>
      <c r="G352" s="2" t="s">
        <v>81</v>
      </c>
      <c r="H352" s="2" t="str">
        <f aca="false">IF(LEFT(B352,10)="Arsenal v ",MID(B352,11,100),LEFT(B352,FIND(" v ",B352)-1))</f>
        <v>AC Milan</v>
      </c>
      <c r="I352" s="2" t="str">
        <f aca="false">IF(F352&lt;&gt;"","N",IF(LEFT(B352,10)="Arsenal v ","H","A"))</f>
        <v>H</v>
      </c>
      <c r="J352" s="2"/>
    </row>
    <row r="353" customFormat="false" ht="15" hidden="false" customHeight="false" outlineLevel="0" collapsed="false">
      <c r="A353" s="3" t="n">
        <v>34734</v>
      </c>
      <c r="B353" s="2" t="s">
        <v>543</v>
      </c>
      <c r="C353" s="2" t="s">
        <v>704</v>
      </c>
      <c r="D353" s="2" t="s">
        <v>377</v>
      </c>
      <c r="E353" s="2" t="s">
        <v>356</v>
      </c>
      <c r="F353" s="2"/>
      <c r="G353" s="2" t="s">
        <v>81</v>
      </c>
      <c r="H353" s="2" t="str">
        <f aca="false">IF(LEFT(B353,10)="Arsenal v ",MID(B353,11,100),LEFT(B353,FIND(" v ",B353)-1))</f>
        <v>Sheffield Wednesday</v>
      </c>
      <c r="I353" s="2" t="str">
        <f aca="false">IF(F353&lt;&gt;"","N",IF(LEFT(B353,10)="Arsenal v ","H","A"))</f>
        <v>A</v>
      </c>
      <c r="J353" s="2"/>
    </row>
    <row r="354" customFormat="false" ht="15" hidden="false" customHeight="false" outlineLevel="0" collapsed="false">
      <c r="A354" s="3" t="n">
        <v>34738</v>
      </c>
      <c r="B354" s="2" t="s">
        <v>350</v>
      </c>
      <c r="C354" s="2" t="s">
        <v>704</v>
      </c>
      <c r="D354" s="2" t="s">
        <v>351</v>
      </c>
      <c r="E354" s="2" t="s">
        <v>349</v>
      </c>
      <c r="F354" s="2"/>
      <c r="G354" s="2" t="s">
        <v>81</v>
      </c>
      <c r="H354" s="2" t="str">
        <f aca="false">IF(LEFT(B354,10)="Arsenal v ",MID(B354,11,100),LEFT(B354,FIND(" v ",B354)-1))</f>
        <v>AC Milan</v>
      </c>
      <c r="I354" s="2" t="str">
        <f aca="false">IF(F354&lt;&gt;"","N",IF(LEFT(B354,10)="Arsenal v ","H","A"))</f>
        <v>A</v>
      </c>
      <c r="J354" s="2"/>
    </row>
    <row r="355" customFormat="false" ht="15" hidden="false" customHeight="false" outlineLevel="0" collapsed="false">
      <c r="A355" s="3" t="n">
        <v>34741</v>
      </c>
      <c r="B355" s="2" t="s">
        <v>733</v>
      </c>
      <c r="C355" s="2" t="s">
        <v>706</v>
      </c>
      <c r="D355" s="2" t="s">
        <v>361</v>
      </c>
      <c r="E355" s="2" t="s">
        <v>356</v>
      </c>
      <c r="F355" s="2"/>
      <c r="G355" s="2" t="s">
        <v>81</v>
      </c>
      <c r="H355" s="2" t="str">
        <f aca="false">IF(LEFT(B355,10)="Arsenal v ",MID(B355,11,100),LEFT(B355,FIND(" v ",B355)-1))</f>
        <v>Leicester City</v>
      </c>
      <c r="I355" s="2" t="str">
        <f aca="false">IF(F355&lt;&gt;"","N",IF(LEFT(B355,10)="Arsenal v ","H","A"))</f>
        <v>H</v>
      </c>
      <c r="J355" s="2"/>
    </row>
    <row r="356" customFormat="false" ht="15" hidden="false" customHeight="false" outlineLevel="0" collapsed="false">
      <c r="A356" s="3" t="n">
        <v>34751</v>
      </c>
      <c r="B356" s="2" t="s">
        <v>716</v>
      </c>
      <c r="C356" s="2" t="s">
        <v>702</v>
      </c>
      <c r="D356" s="2" t="s">
        <v>348</v>
      </c>
      <c r="E356" s="2" t="s">
        <v>356</v>
      </c>
      <c r="F356" s="2"/>
      <c r="G356" s="2" t="s">
        <v>81</v>
      </c>
      <c r="H356" s="2" t="str">
        <f aca="false">IF(LEFT(B356,10)="Arsenal v ",MID(B356,11,100),LEFT(B356,FIND(" v ",B356)-1))</f>
        <v>Nottingham Forest</v>
      </c>
      <c r="I356" s="2" t="str">
        <f aca="false">IF(F356&lt;&gt;"","N",IF(LEFT(B356,10)="Arsenal v ","H","A"))</f>
        <v>H</v>
      </c>
      <c r="J356" s="2"/>
    </row>
    <row r="357" customFormat="false" ht="15" hidden="false" customHeight="false" outlineLevel="0" collapsed="false">
      <c r="A357" s="3" t="n">
        <v>34755</v>
      </c>
      <c r="B357" s="2" t="s">
        <v>433</v>
      </c>
      <c r="C357" s="2" t="s">
        <v>702</v>
      </c>
      <c r="D357" s="2" t="s">
        <v>363</v>
      </c>
      <c r="E357" s="2" t="s">
        <v>356</v>
      </c>
      <c r="F357" s="2"/>
      <c r="G357" s="2" t="s">
        <v>81</v>
      </c>
      <c r="H357" s="2" t="str">
        <f aca="false">IF(LEFT(B357,10)="Arsenal v ",MID(B357,11,100),LEFT(B357,FIND(" v ",B357)-1))</f>
        <v>Crystal Palace</v>
      </c>
      <c r="I357" s="2" t="str">
        <f aca="false">IF(F357&lt;&gt;"","N",IF(LEFT(B357,10)="Arsenal v ","H","A"))</f>
        <v>A</v>
      </c>
      <c r="J357" s="2"/>
    </row>
    <row r="358" customFormat="false" ht="15" hidden="false" customHeight="false" outlineLevel="0" collapsed="false">
      <c r="A358" s="3" t="n">
        <v>34760</v>
      </c>
      <c r="B358" s="2" t="s">
        <v>752</v>
      </c>
      <c r="C358" s="2" t="s">
        <v>706</v>
      </c>
      <c r="D358" s="2" t="s">
        <v>361</v>
      </c>
      <c r="E358" s="2" t="s">
        <v>393</v>
      </c>
      <c r="F358" s="2"/>
      <c r="G358" s="2" t="s">
        <v>81</v>
      </c>
      <c r="H358" s="2" t="str">
        <f aca="false">IF(LEFT(B358,10)="Arsenal v ",MID(B358,11,100),LEFT(B358,FIND(" v ",B358)-1))</f>
        <v>Auxerre</v>
      </c>
      <c r="I358" s="2" t="str">
        <f aca="false">IF(F358&lt;&gt;"","N",IF(LEFT(B358,10)="Arsenal v ","H","A"))</f>
        <v>H</v>
      </c>
      <c r="J358" s="2"/>
    </row>
    <row r="359" customFormat="false" ht="15" hidden="false" customHeight="false" outlineLevel="0" collapsed="false">
      <c r="A359" s="3" t="n">
        <v>34763</v>
      </c>
      <c r="B359" s="2" t="s">
        <v>712</v>
      </c>
      <c r="C359" s="2" t="s">
        <v>704</v>
      </c>
      <c r="D359" s="2" t="s">
        <v>383</v>
      </c>
      <c r="E359" s="2" t="s">
        <v>356</v>
      </c>
      <c r="F359" s="2"/>
      <c r="G359" s="2" t="s">
        <v>81</v>
      </c>
      <c r="H359" s="2" t="str">
        <f aca="false">IF(LEFT(B359,10)="Arsenal v ",MID(B359,11,100),LEFT(B359,FIND(" v ",B359)-1))</f>
        <v>West Ham United</v>
      </c>
      <c r="I359" s="2" t="str">
        <f aca="false">IF(F359&lt;&gt;"","N",IF(LEFT(B359,10)="Arsenal v ","H","A"))</f>
        <v>H</v>
      </c>
      <c r="J359" s="2"/>
    </row>
    <row r="360" customFormat="false" ht="15" hidden="false" customHeight="false" outlineLevel="0" collapsed="false">
      <c r="A360" s="3" t="n">
        <v>34766</v>
      </c>
      <c r="B360" s="2" t="s">
        <v>406</v>
      </c>
      <c r="C360" s="2" t="s">
        <v>704</v>
      </c>
      <c r="D360" s="2" t="s">
        <v>377</v>
      </c>
      <c r="E360" s="2" t="s">
        <v>356</v>
      </c>
      <c r="F360" s="2"/>
      <c r="G360" s="2" t="s">
        <v>81</v>
      </c>
      <c r="H360" s="2" t="str">
        <f aca="false">IF(LEFT(B360,10)="Arsenal v ",MID(B360,11,100),LEFT(B360,FIND(" v ",B360)-1))</f>
        <v>Blackburn Rovers</v>
      </c>
      <c r="I360" s="2" t="str">
        <f aca="false">IF(F360&lt;&gt;"","N",IF(LEFT(B360,10)="Arsenal v ","H","A"))</f>
        <v>A</v>
      </c>
      <c r="J360" s="2"/>
    </row>
    <row r="361" customFormat="false" ht="15" hidden="false" customHeight="false" outlineLevel="0" collapsed="false">
      <c r="A361" s="3" t="n">
        <v>34774</v>
      </c>
      <c r="B361" s="2" t="s">
        <v>394</v>
      </c>
      <c r="C361" s="2" t="s">
        <v>702</v>
      </c>
      <c r="D361" s="2" t="s">
        <v>383</v>
      </c>
      <c r="E361" s="2" t="s">
        <v>393</v>
      </c>
      <c r="F361" s="2"/>
      <c r="G361" s="2" t="s">
        <v>81</v>
      </c>
      <c r="H361" s="2" t="str">
        <f aca="false">IF(LEFT(B361,10)="Arsenal v ",MID(B361,11,100),LEFT(B361,FIND(" v ",B361)-1))</f>
        <v>Auxerre</v>
      </c>
      <c r="I361" s="2" t="str">
        <f aca="false">IF(F361&lt;&gt;"","N",IF(LEFT(B361,10)="Arsenal v ","H","A"))</f>
        <v>A</v>
      </c>
      <c r="J361" s="2"/>
    </row>
    <row r="362" customFormat="false" ht="15" hidden="false" customHeight="false" outlineLevel="0" collapsed="false">
      <c r="A362" s="3" t="n">
        <v>34777</v>
      </c>
      <c r="B362" s="2" t="s">
        <v>501</v>
      </c>
      <c r="C362" s="2" t="s">
        <v>704</v>
      </c>
      <c r="D362" s="2" t="s">
        <v>348</v>
      </c>
      <c r="E362" s="2" t="s">
        <v>356</v>
      </c>
      <c r="F362" s="2"/>
      <c r="G362" s="2" t="s">
        <v>81</v>
      </c>
      <c r="H362" s="2" t="str">
        <f aca="false">IF(LEFT(B362,10)="Arsenal v ",MID(B362,11,100),LEFT(B362,FIND(" v ",B362)-1))</f>
        <v>Newcastle United</v>
      </c>
      <c r="I362" s="2" t="str">
        <f aca="false">IF(F362&lt;&gt;"","N",IF(LEFT(B362,10)="Arsenal v ","H","A"))</f>
        <v>A</v>
      </c>
      <c r="J362" s="2"/>
    </row>
    <row r="363" customFormat="false" ht="15" hidden="false" customHeight="false" outlineLevel="0" collapsed="false">
      <c r="A363" s="3" t="n">
        <v>34780</v>
      </c>
      <c r="B363" s="2" t="s">
        <v>490</v>
      </c>
      <c r="C363" s="2" t="s">
        <v>704</v>
      </c>
      <c r="D363" s="2" t="s">
        <v>434</v>
      </c>
      <c r="E363" s="2" t="s">
        <v>356</v>
      </c>
      <c r="F363" s="2"/>
      <c r="G363" s="2" t="s">
        <v>81</v>
      </c>
      <c r="H363" s="2" t="str">
        <f aca="false">IF(LEFT(B363,10)="Arsenal v ",MID(B363,11,100),LEFT(B363,FIND(" v ",B363)-1))</f>
        <v>Manchester United</v>
      </c>
      <c r="I363" s="2" t="str">
        <f aca="false">IF(F363&lt;&gt;"","N",IF(LEFT(B363,10)="Arsenal v ","H","A"))</f>
        <v>A</v>
      </c>
      <c r="J363" s="2"/>
    </row>
    <row r="364" customFormat="false" ht="15" hidden="false" customHeight="false" outlineLevel="0" collapsed="false">
      <c r="A364" s="3" t="n">
        <v>34790</v>
      </c>
      <c r="B364" s="2" t="s">
        <v>720</v>
      </c>
      <c r="C364" s="2" t="s">
        <v>702</v>
      </c>
      <c r="D364" s="2" t="s">
        <v>401</v>
      </c>
      <c r="E364" s="2" t="s">
        <v>356</v>
      </c>
      <c r="F364" s="2"/>
      <c r="G364" s="2" t="s">
        <v>81</v>
      </c>
      <c r="H364" s="2" t="str">
        <f aca="false">IF(LEFT(B364,10)="Arsenal v ",MID(B364,11,100),LEFT(B364,FIND(" v ",B364)-1))</f>
        <v>Norwich City</v>
      </c>
      <c r="I364" s="2" t="str">
        <f aca="false">IF(F364&lt;&gt;"","N",IF(LEFT(B364,10)="Arsenal v ","H","A"))</f>
        <v>H</v>
      </c>
      <c r="J364" s="2"/>
    </row>
    <row r="365" customFormat="false" ht="15" hidden="false" customHeight="false" outlineLevel="0" collapsed="false">
      <c r="A365" s="3" t="n">
        <v>34795</v>
      </c>
      <c r="B365" s="2" t="s">
        <v>753</v>
      </c>
      <c r="C365" s="2" t="s">
        <v>702</v>
      </c>
      <c r="D365" s="2" t="s">
        <v>382</v>
      </c>
      <c r="E365" s="2" t="s">
        <v>393</v>
      </c>
      <c r="F365" s="2"/>
      <c r="G365" s="2" t="s">
        <v>81</v>
      </c>
      <c r="H365" s="2" t="str">
        <f aca="false">IF(LEFT(B365,10)="Arsenal v ",MID(B365,11,100),LEFT(B365,FIND(" v ",B365)-1))</f>
        <v>Sampdoria</v>
      </c>
      <c r="I365" s="2" t="str">
        <f aca="false">IF(F365&lt;&gt;"","N",IF(LEFT(B365,10)="Arsenal v ","H","A"))</f>
        <v>H</v>
      </c>
      <c r="J365" s="2"/>
    </row>
    <row r="366" customFormat="false" ht="15" hidden="false" customHeight="false" outlineLevel="0" collapsed="false">
      <c r="A366" s="3" t="n">
        <v>34797</v>
      </c>
      <c r="B366" s="2" t="s">
        <v>524</v>
      </c>
      <c r="C366" s="2" t="s">
        <v>704</v>
      </c>
      <c r="D366" s="2" t="s">
        <v>377</v>
      </c>
      <c r="E366" s="2" t="s">
        <v>356</v>
      </c>
      <c r="F366" s="2"/>
      <c r="G366" s="2" t="s">
        <v>81</v>
      </c>
      <c r="H366" s="2" t="str">
        <f aca="false">IF(LEFT(B366,10)="Arsenal v ",MID(B366,11,100),LEFT(B366,FIND(" v ",B366)-1))</f>
        <v>Queens Park Rangers</v>
      </c>
      <c r="I366" s="2" t="str">
        <f aca="false">IF(F366&lt;&gt;"","N",IF(LEFT(B366,10)="Arsenal v ","H","A"))</f>
        <v>A</v>
      </c>
      <c r="J366" s="2"/>
    </row>
    <row r="367" customFormat="false" ht="15" hidden="false" customHeight="false" outlineLevel="0" collapsed="false">
      <c r="A367" s="3" t="n">
        <v>34801</v>
      </c>
      <c r="B367" s="2" t="s">
        <v>710</v>
      </c>
      <c r="C367" s="2" t="s">
        <v>704</v>
      </c>
      <c r="D367" s="2" t="s">
        <v>383</v>
      </c>
      <c r="E367" s="2" t="s">
        <v>356</v>
      </c>
      <c r="F367" s="2"/>
      <c r="G367" s="2" t="s">
        <v>81</v>
      </c>
      <c r="H367" s="2" t="str">
        <f aca="false">IF(LEFT(B367,10)="Arsenal v ",MID(B367,11,100),LEFT(B367,FIND(" v ",B367)-1))</f>
        <v>Liverpool</v>
      </c>
      <c r="I367" s="2" t="str">
        <f aca="false">IF(F367&lt;&gt;"","N",IF(LEFT(B367,10)="Arsenal v ","H","A"))</f>
        <v>H</v>
      </c>
      <c r="J367" s="2"/>
    </row>
    <row r="368" customFormat="false" ht="15" hidden="false" customHeight="false" outlineLevel="0" collapsed="false">
      <c r="A368" s="3" t="n">
        <v>34804</v>
      </c>
      <c r="B368" s="2" t="s">
        <v>738</v>
      </c>
      <c r="C368" s="2" t="s">
        <v>702</v>
      </c>
      <c r="D368" s="2" t="s">
        <v>397</v>
      </c>
      <c r="E368" s="2" t="s">
        <v>356</v>
      </c>
      <c r="F368" s="2"/>
      <c r="G368" s="2" t="s">
        <v>81</v>
      </c>
      <c r="H368" s="2" t="str">
        <f aca="false">IF(LEFT(B368,10)="Arsenal v ",MID(B368,11,100),LEFT(B368,FIND(" v ",B368)-1))</f>
        <v>Ipswich Town</v>
      </c>
      <c r="I368" s="2" t="str">
        <f aca="false">IF(F368&lt;&gt;"","N",IF(LEFT(B368,10)="Arsenal v ","H","A"))</f>
        <v>H</v>
      </c>
      <c r="J368" s="2"/>
    </row>
    <row r="369" customFormat="false" ht="15" hidden="false" customHeight="false" outlineLevel="0" collapsed="false">
      <c r="A369" s="3" t="n">
        <v>34806</v>
      </c>
      <c r="B369" s="2" t="s">
        <v>376</v>
      </c>
      <c r="C369" s="2" t="s">
        <v>702</v>
      </c>
      <c r="D369" s="2" t="s">
        <v>365</v>
      </c>
      <c r="E369" s="2" t="s">
        <v>356</v>
      </c>
      <c r="F369" s="2"/>
      <c r="G369" s="2" t="s">
        <v>81</v>
      </c>
      <c r="H369" s="2" t="str">
        <f aca="false">IF(LEFT(B369,10)="Arsenal v ",MID(B369,11,100),LEFT(B369,FIND(" v ",B369)-1))</f>
        <v>Aston Villa</v>
      </c>
      <c r="I369" s="2" t="str">
        <f aca="false">IF(F369&lt;&gt;"","N",IF(LEFT(B369,10)="Arsenal v ","H","A"))</f>
        <v>A</v>
      </c>
      <c r="J369" s="2"/>
    </row>
    <row r="370" customFormat="false" ht="15" hidden="false" customHeight="false" outlineLevel="0" collapsed="false">
      <c r="A370" s="3" t="n">
        <v>34809</v>
      </c>
      <c r="B370" s="2" t="s">
        <v>536</v>
      </c>
      <c r="C370" s="2" t="s">
        <v>704</v>
      </c>
      <c r="D370" s="2" t="s">
        <v>382</v>
      </c>
      <c r="E370" s="2" t="s">
        <v>393</v>
      </c>
      <c r="F370" s="2"/>
      <c r="G370" s="2" t="s">
        <v>81</v>
      </c>
      <c r="H370" s="2" t="str">
        <f aca="false">IF(LEFT(B370,10)="Arsenal v ",MID(B370,11,100),LEFT(B370,FIND(" v ",B370)-1))</f>
        <v>Sampdoria</v>
      </c>
      <c r="I370" s="2" t="str">
        <f aca="false">IF(F370&lt;&gt;"","N",IF(LEFT(B370,10)="Arsenal v ","H","A"))</f>
        <v>A</v>
      </c>
      <c r="J370" s="2"/>
    </row>
    <row r="371" customFormat="false" ht="15" hidden="false" customHeight="false" outlineLevel="0" collapsed="false">
      <c r="A371" s="3" t="n">
        <v>34818</v>
      </c>
      <c r="B371" s="2" t="s">
        <v>655</v>
      </c>
      <c r="C371" s="2" t="s">
        <v>706</v>
      </c>
      <c r="D371" s="2" t="s">
        <v>361</v>
      </c>
      <c r="E371" s="2" t="s">
        <v>356</v>
      </c>
      <c r="F371" s="2"/>
      <c r="G371" s="2" t="s">
        <v>81</v>
      </c>
      <c r="H371" s="2" t="str">
        <f aca="false">IF(LEFT(B371,10)="Arsenal v ",MID(B371,11,100),LEFT(B371,FIND(" v ",B371)-1))</f>
        <v>Tottenham Hotspur</v>
      </c>
      <c r="I371" s="2" t="str">
        <f aca="false">IF(F371&lt;&gt;"","N",IF(LEFT(B371,10)="Arsenal v ","H","A"))</f>
        <v>H</v>
      </c>
      <c r="J371" s="2"/>
    </row>
    <row r="372" customFormat="false" ht="15" hidden="false" customHeight="false" outlineLevel="0" collapsed="false">
      <c r="A372" s="3" t="n">
        <v>34823</v>
      </c>
      <c r="B372" s="2" t="s">
        <v>722</v>
      </c>
      <c r="C372" s="2" t="s">
        <v>706</v>
      </c>
      <c r="D372" s="2" t="s">
        <v>369</v>
      </c>
      <c r="E372" s="2" t="s">
        <v>356</v>
      </c>
      <c r="F372" s="2"/>
      <c r="G372" s="2" t="s">
        <v>81</v>
      </c>
      <c r="H372" s="2" t="str">
        <f aca="false">IF(LEFT(B372,10)="Arsenal v ",MID(B372,11,100),LEFT(B372,FIND(" v ",B372)-1))</f>
        <v>Wimbledon</v>
      </c>
      <c r="I372" s="2" t="str">
        <f aca="false">IF(F372&lt;&gt;"","N",IF(LEFT(B372,10)="Arsenal v ","H","A"))</f>
        <v>H</v>
      </c>
      <c r="J372" s="2"/>
    </row>
    <row r="373" customFormat="false" ht="15" hidden="false" customHeight="false" outlineLevel="0" collapsed="false">
      <c r="A373" s="3" t="n">
        <v>34829</v>
      </c>
      <c r="B373" s="2" t="s">
        <v>754</v>
      </c>
      <c r="C373" s="2" t="s">
        <v>704</v>
      </c>
      <c r="D373" s="2" t="s">
        <v>359</v>
      </c>
      <c r="E373" s="2" t="s">
        <v>393</v>
      </c>
      <c r="F373" s="2" t="s">
        <v>755</v>
      </c>
      <c r="G373" s="2" t="s">
        <v>81</v>
      </c>
      <c r="H373" s="2" t="str">
        <f aca="false">IF(LEFT(B373,10)="Arsenal v ",MID(B373,11,100),LEFT(B373,FIND(" v ",B373)-1))</f>
        <v>Real Zaragoza</v>
      </c>
      <c r="I373" s="2" t="str">
        <f aca="false">IF(F373&lt;&gt;"","N",IF(LEFT(B373,10)="Arsenal v ","H","A"))</f>
        <v>N</v>
      </c>
      <c r="J373" s="2"/>
    </row>
    <row r="374" customFormat="false" ht="15" hidden="false" customHeight="false" outlineLevel="0" collapsed="false">
      <c r="A374" s="3" t="n">
        <v>34833</v>
      </c>
      <c r="B374" s="2" t="s">
        <v>426</v>
      </c>
      <c r="C374" s="2" t="s">
        <v>704</v>
      </c>
      <c r="D374" s="2" t="s">
        <v>359</v>
      </c>
      <c r="E374" s="2" t="s">
        <v>356</v>
      </c>
      <c r="F374" s="2"/>
      <c r="G374" s="2" t="s">
        <v>81</v>
      </c>
      <c r="H374" s="2" t="str">
        <f aca="false">IF(LEFT(B374,10)="Arsenal v ",MID(B374,11,100),LEFT(B374,FIND(" v ",B374)-1))</f>
        <v>Chelsea</v>
      </c>
      <c r="I374" s="2" t="str">
        <f aca="false">IF(F374&lt;&gt;"","N",IF(LEFT(B374,10)="Arsenal v ","H","A"))</f>
        <v>A</v>
      </c>
      <c r="J374" s="2"/>
    </row>
    <row r="375" customFormat="false" ht="15" hidden="false" customHeight="false" outlineLevel="0" collapsed="false">
      <c r="A375" s="3" t="n">
        <v>34931</v>
      </c>
      <c r="B375" s="2" t="s">
        <v>711</v>
      </c>
      <c r="C375" s="2" t="s">
        <v>706</v>
      </c>
      <c r="D375" s="2" t="s">
        <v>361</v>
      </c>
      <c r="E375" s="2" t="s">
        <v>356</v>
      </c>
      <c r="F375" s="2"/>
      <c r="G375" s="2" t="s">
        <v>378</v>
      </c>
      <c r="H375" s="2" t="str">
        <f aca="false">IF(LEFT(B375,10)="Arsenal v ",MID(B375,11,100),LEFT(B375,FIND(" v ",B375)-1))</f>
        <v>Middlesbrough</v>
      </c>
      <c r="I375" s="2" t="str">
        <f aca="false">IF(F375&lt;&gt;"","N",IF(LEFT(B375,10)="Arsenal v ","H","A"))</f>
        <v>H</v>
      </c>
      <c r="J375" s="2"/>
    </row>
    <row r="376" customFormat="false" ht="15" hidden="false" customHeight="false" outlineLevel="0" collapsed="false">
      <c r="A376" s="3" t="n">
        <v>34934</v>
      </c>
      <c r="B376" s="2" t="s">
        <v>448</v>
      </c>
      <c r="C376" s="2" t="s">
        <v>702</v>
      </c>
      <c r="D376" s="2" t="s">
        <v>353</v>
      </c>
      <c r="E376" s="2" t="s">
        <v>356</v>
      </c>
      <c r="F376" s="2"/>
      <c r="G376" s="2" t="s">
        <v>378</v>
      </c>
      <c r="H376" s="2" t="str">
        <f aca="false">IF(LEFT(B376,10)="Arsenal v ",MID(B376,11,100),LEFT(B376,FIND(" v ",B376)-1))</f>
        <v>Everton</v>
      </c>
      <c r="I376" s="2" t="str">
        <f aca="false">IF(F376&lt;&gt;"","N",IF(LEFT(B376,10)="Arsenal v ","H","A"))</f>
        <v>A</v>
      </c>
      <c r="J376" s="2"/>
    </row>
    <row r="377" customFormat="false" ht="15" hidden="false" customHeight="false" outlineLevel="0" collapsed="false">
      <c r="A377" s="3" t="n">
        <v>34937</v>
      </c>
      <c r="B377" s="2" t="s">
        <v>431</v>
      </c>
      <c r="C377" s="2" t="s">
        <v>706</v>
      </c>
      <c r="D377" s="2" t="s">
        <v>369</v>
      </c>
      <c r="E377" s="2" t="s">
        <v>356</v>
      </c>
      <c r="F377" s="2"/>
      <c r="G377" s="2" t="s">
        <v>378</v>
      </c>
      <c r="H377" s="2" t="str">
        <f aca="false">IF(LEFT(B377,10)="Arsenal v ",MID(B377,11,100),LEFT(B377,FIND(" v ",B377)-1))</f>
        <v>Coventry City</v>
      </c>
      <c r="I377" s="2" t="str">
        <f aca="false">IF(F377&lt;&gt;"","N",IF(LEFT(B377,10)="Arsenal v ","H","A"))</f>
        <v>A</v>
      </c>
      <c r="J377" s="2"/>
    </row>
    <row r="378" customFormat="false" ht="15" hidden="false" customHeight="false" outlineLevel="0" collapsed="false">
      <c r="A378" s="3" t="n">
        <v>34940</v>
      </c>
      <c r="B378" s="2" t="s">
        <v>716</v>
      </c>
      <c r="C378" s="2" t="s">
        <v>706</v>
      </c>
      <c r="D378" s="2" t="s">
        <v>361</v>
      </c>
      <c r="E378" s="2" t="s">
        <v>356</v>
      </c>
      <c r="F378" s="2"/>
      <c r="G378" s="2" t="s">
        <v>378</v>
      </c>
      <c r="H378" s="2" t="str">
        <f aca="false">IF(LEFT(B378,10)="Arsenal v ",MID(B378,11,100),LEFT(B378,FIND(" v ",B378)-1))</f>
        <v>Nottingham Forest</v>
      </c>
      <c r="I378" s="2" t="str">
        <f aca="false">IF(F378&lt;&gt;"","N",IF(LEFT(B378,10)="Arsenal v ","H","A"))</f>
        <v>H</v>
      </c>
      <c r="J378" s="2"/>
    </row>
    <row r="379" customFormat="false" ht="15" hidden="false" customHeight="false" outlineLevel="0" collapsed="false">
      <c r="A379" s="3" t="n">
        <v>34952</v>
      </c>
      <c r="B379" s="2" t="s">
        <v>487</v>
      </c>
      <c r="C379" s="2" t="s">
        <v>702</v>
      </c>
      <c r="D379" s="2" t="s">
        <v>383</v>
      </c>
      <c r="E379" s="2" t="s">
        <v>356</v>
      </c>
      <c r="F379" s="2"/>
      <c r="G379" s="2" t="s">
        <v>378</v>
      </c>
      <c r="H379" s="2" t="str">
        <f aca="false">IF(LEFT(B379,10)="Arsenal v ",MID(B379,11,100),LEFT(B379,FIND(" v ",B379)-1))</f>
        <v>Manchester City</v>
      </c>
      <c r="I379" s="2" t="str">
        <f aca="false">IF(F379&lt;&gt;"","N",IF(LEFT(B379,10)="Arsenal v ","H","A"))</f>
        <v>A</v>
      </c>
      <c r="J379" s="2"/>
    </row>
    <row r="380" customFormat="false" ht="15" hidden="false" customHeight="false" outlineLevel="0" collapsed="false">
      <c r="A380" s="3" t="n">
        <v>34958</v>
      </c>
      <c r="B380" s="2" t="s">
        <v>712</v>
      </c>
      <c r="C380" s="2" t="s">
        <v>702</v>
      </c>
      <c r="D380" s="2" t="s">
        <v>348</v>
      </c>
      <c r="E380" s="2" t="s">
        <v>356</v>
      </c>
      <c r="F380" s="2"/>
      <c r="G380" s="2" t="s">
        <v>378</v>
      </c>
      <c r="H380" s="2" t="str">
        <f aca="false">IF(LEFT(B380,10)="Arsenal v ",MID(B380,11,100),LEFT(B380,FIND(" v ",B380)-1))</f>
        <v>West Ham United</v>
      </c>
      <c r="I380" s="2" t="str">
        <f aca="false">IF(F380&lt;&gt;"","N",IF(LEFT(B380,10)="Arsenal v ","H","A"))</f>
        <v>H</v>
      </c>
      <c r="J380" s="2"/>
    </row>
    <row r="381" customFormat="false" ht="15" hidden="false" customHeight="false" outlineLevel="0" collapsed="false">
      <c r="A381" s="3" t="n">
        <v>34961</v>
      </c>
      <c r="B381" s="2" t="s">
        <v>465</v>
      </c>
      <c r="C381" s="2" t="s">
        <v>702</v>
      </c>
      <c r="D381" s="2" t="s">
        <v>363</v>
      </c>
      <c r="E381" s="2" t="s">
        <v>379</v>
      </c>
      <c r="F381" s="2"/>
      <c r="G381" s="2" t="s">
        <v>378</v>
      </c>
      <c r="H381" s="2" t="str">
        <f aca="false">IF(LEFT(B381,10)="Arsenal v ",MID(B381,11,100),LEFT(B381,FIND(" v ",B381)-1))</f>
        <v>Hartlepool United</v>
      </c>
      <c r="I381" s="2" t="str">
        <f aca="false">IF(F381&lt;&gt;"","N",IF(LEFT(B381,10)="Arsenal v ","H","A"))</f>
        <v>A</v>
      </c>
      <c r="J381" s="2"/>
    </row>
    <row r="382" customFormat="false" ht="15" hidden="false" customHeight="false" outlineLevel="0" collapsed="false">
      <c r="A382" s="3" t="n">
        <v>34965</v>
      </c>
      <c r="B382" s="2" t="s">
        <v>705</v>
      </c>
      <c r="C382" s="2" t="s">
        <v>702</v>
      </c>
      <c r="D382" s="2" t="s">
        <v>479</v>
      </c>
      <c r="E382" s="2" t="s">
        <v>356</v>
      </c>
      <c r="F382" s="2"/>
      <c r="G382" s="2" t="s">
        <v>378</v>
      </c>
      <c r="H382" s="2" t="str">
        <f aca="false">IF(LEFT(B382,10)="Arsenal v ",MID(B382,11,100),LEFT(B382,FIND(" v ",B382)-1))</f>
        <v>Southampton</v>
      </c>
      <c r="I382" s="2" t="str">
        <f aca="false">IF(F382&lt;&gt;"","N",IF(LEFT(B382,10)="Arsenal v ","H","A"))</f>
        <v>H</v>
      </c>
      <c r="J382" s="2"/>
    </row>
    <row r="383" customFormat="false" ht="15" hidden="false" customHeight="false" outlineLevel="0" collapsed="false">
      <c r="A383" s="3" t="n">
        <v>34972</v>
      </c>
      <c r="B383" s="2" t="s">
        <v>426</v>
      </c>
      <c r="C383" s="2" t="s">
        <v>704</v>
      </c>
      <c r="D383" s="2" t="s">
        <v>348</v>
      </c>
      <c r="E383" s="2" t="s">
        <v>356</v>
      </c>
      <c r="F383" s="2"/>
      <c r="G383" s="2" t="s">
        <v>378</v>
      </c>
      <c r="H383" s="2" t="str">
        <f aca="false">IF(LEFT(B383,10)="Arsenal v ",MID(B383,11,100),LEFT(B383,FIND(" v ",B383)-1))</f>
        <v>Chelsea</v>
      </c>
      <c r="I383" s="2" t="str">
        <f aca="false">IF(F383&lt;&gt;"","N",IF(LEFT(B383,10)="Arsenal v ","H","A"))</f>
        <v>A</v>
      </c>
      <c r="J383" s="2"/>
    </row>
    <row r="384" customFormat="false" ht="15" hidden="false" customHeight="false" outlineLevel="0" collapsed="false">
      <c r="A384" s="3" t="n">
        <v>34975</v>
      </c>
      <c r="B384" s="2" t="s">
        <v>749</v>
      </c>
      <c r="C384" s="2" t="s">
        <v>702</v>
      </c>
      <c r="D384" s="2" t="s">
        <v>489</v>
      </c>
      <c r="E384" s="2" t="s">
        <v>379</v>
      </c>
      <c r="F384" s="2"/>
      <c r="G384" s="2" t="s">
        <v>378</v>
      </c>
      <c r="H384" s="2" t="str">
        <f aca="false">IF(LEFT(B384,10)="Arsenal v ",MID(B384,11,100),LEFT(B384,FIND(" v ",B384)-1))</f>
        <v>Hartlepool United</v>
      </c>
      <c r="I384" s="2" t="str">
        <f aca="false">IF(F384&lt;&gt;"","N",IF(LEFT(B384,10)="Arsenal v ","H","A"))</f>
        <v>H</v>
      </c>
      <c r="J384" s="2"/>
    </row>
    <row r="385" customFormat="false" ht="15" hidden="false" customHeight="false" outlineLevel="0" collapsed="false">
      <c r="A385" s="3" t="n">
        <v>34986</v>
      </c>
      <c r="B385" s="2" t="s">
        <v>473</v>
      </c>
      <c r="C385" s="2" t="s">
        <v>702</v>
      </c>
      <c r="D385" s="2" t="s">
        <v>363</v>
      </c>
      <c r="E385" s="2" t="s">
        <v>356</v>
      </c>
      <c r="F385" s="2"/>
      <c r="G385" s="2" t="s">
        <v>378</v>
      </c>
      <c r="H385" s="2" t="str">
        <f aca="false">IF(LEFT(B385,10)="Arsenal v ",MID(B385,11,100),LEFT(B385,FIND(" v ",B385)-1))</f>
        <v>Leeds United</v>
      </c>
      <c r="I385" s="2" t="str">
        <f aca="false">IF(F385&lt;&gt;"","N",IF(LEFT(B385,10)="Arsenal v ","H","A"))</f>
        <v>A</v>
      </c>
      <c r="J385" s="2"/>
    </row>
    <row r="386" customFormat="false" ht="15" hidden="false" customHeight="false" outlineLevel="0" collapsed="false">
      <c r="A386" s="3" t="n">
        <v>34993</v>
      </c>
      <c r="B386" s="2" t="s">
        <v>703</v>
      </c>
      <c r="C386" s="2" t="s">
        <v>702</v>
      </c>
      <c r="D386" s="2" t="s">
        <v>351</v>
      </c>
      <c r="E386" s="2" t="s">
        <v>356</v>
      </c>
      <c r="F386" s="2"/>
      <c r="G386" s="2" t="s">
        <v>378</v>
      </c>
      <c r="H386" s="2" t="str">
        <f aca="false">IF(LEFT(B386,10)="Arsenal v ",MID(B386,11,100),LEFT(B386,FIND(" v ",B386)-1))</f>
        <v>Aston Villa</v>
      </c>
      <c r="I386" s="2" t="str">
        <f aca="false">IF(F386&lt;&gt;"","N",IF(LEFT(B386,10)="Arsenal v ","H","A"))</f>
        <v>H</v>
      </c>
      <c r="J386" s="2"/>
    </row>
    <row r="387" customFormat="false" ht="15" hidden="false" customHeight="false" outlineLevel="0" collapsed="false">
      <c r="A387" s="3" t="n">
        <v>34996</v>
      </c>
      <c r="B387" s="2" t="s">
        <v>398</v>
      </c>
      <c r="C387" s="2" t="s">
        <v>702</v>
      </c>
      <c r="D387" s="2" t="s">
        <v>363</v>
      </c>
      <c r="E387" s="2" t="s">
        <v>379</v>
      </c>
      <c r="F387" s="2"/>
      <c r="G387" s="2" t="s">
        <v>378</v>
      </c>
      <c r="H387" s="2" t="str">
        <f aca="false">IF(LEFT(B387,10)="Arsenal v ",MID(B387,11,100),LEFT(B387,FIND(" v ",B387)-1))</f>
        <v>Barnsley</v>
      </c>
      <c r="I387" s="2" t="str">
        <f aca="false">IF(F387&lt;&gt;"","N",IF(LEFT(B387,10)="Arsenal v ","H","A"))</f>
        <v>A</v>
      </c>
      <c r="J387" s="2"/>
    </row>
    <row r="388" customFormat="false" ht="15" hidden="false" customHeight="false" outlineLevel="0" collapsed="false">
      <c r="A388" s="3" t="n">
        <v>35002</v>
      </c>
      <c r="B388" s="2" t="s">
        <v>410</v>
      </c>
      <c r="C388" s="2" t="s">
        <v>704</v>
      </c>
      <c r="D388" s="2" t="s">
        <v>348</v>
      </c>
      <c r="E388" s="2" t="s">
        <v>356</v>
      </c>
      <c r="F388" s="2"/>
      <c r="G388" s="2" t="s">
        <v>378</v>
      </c>
      <c r="H388" s="2" t="str">
        <f aca="false">IF(LEFT(B388,10)="Arsenal v ",MID(B388,11,100),LEFT(B388,FIND(" v ",B388)-1))</f>
        <v>Bolton Wanderers</v>
      </c>
      <c r="I388" s="2" t="str">
        <f aca="false">IF(F388&lt;&gt;"","N",IF(LEFT(B388,10)="Arsenal v ","H","A"))</f>
        <v>A</v>
      </c>
      <c r="J388" s="2"/>
    </row>
    <row r="389" customFormat="false" ht="15" hidden="false" customHeight="false" outlineLevel="0" collapsed="false">
      <c r="A389" s="3" t="n">
        <v>35007</v>
      </c>
      <c r="B389" s="2" t="s">
        <v>656</v>
      </c>
      <c r="C389" s="2" t="s">
        <v>702</v>
      </c>
      <c r="D389" s="2" t="s">
        <v>348</v>
      </c>
      <c r="E389" s="2" t="s">
        <v>356</v>
      </c>
      <c r="F389" s="2"/>
      <c r="G389" s="2" t="s">
        <v>378</v>
      </c>
      <c r="H389" s="2" t="str">
        <f aca="false">IF(LEFT(B389,10)="Arsenal v ",MID(B389,11,100),LEFT(B389,FIND(" v ",B389)-1))</f>
        <v>Manchester United</v>
      </c>
      <c r="I389" s="2" t="str">
        <f aca="false">IF(F389&lt;&gt;"","N",IF(LEFT(B389,10)="Arsenal v ","H","A"))</f>
        <v>H</v>
      </c>
      <c r="J389" s="2"/>
    </row>
    <row r="390" customFormat="false" ht="15" hidden="false" customHeight="false" outlineLevel="0" collapsed="false">
      <c r="A390" s="3" t="n">
        <v>35021</v>
      </c>
      <c r="B390" s="2" t="s">
        <v>561</v>
      </c>
      <c r="C390" s="2" t="s">
        <v>704</v>
      </c>
      <c r="D390" s="2" t="s">
        <v>359</v>
      </c>
      <c r="E390" s="2" t="s">
        <v>356</v>
      </c>
      <c r="F390" s="2"/>
      <c r="G390" s="2" t="s">
        <v>378</v>
      </c>
      <c r="H390" s="2" t="str">
        <f aca="false">IF(LEFT(B390,10)="Arsenal v ",MID(B390,11,100),LEFT(B390,FIND(" v ",B390)-1))</f>
        <v>Tottenham Hotspur</v>
      </c>
      <c r="I390" s="2" t="str">
        <f aca="false">IF(F390&lt;&gt;"","N",IF(LEFT(B390,10)="Arsenal v ","H","A"))</f>
        <v>A</v>
      </c>
      <c r="J390" s="2"/>
    </row>
    <row r="391" customFormat="false" ht="15" hidden="false" customHeight="false" outlineLevel="0" collapsed="false">
      <c r="A391" s="3" t="n">
        <v>35024</v>
      </c>
      <c r="B391" s="2" t="s">
        <v>713</v>
      </c>
      <c r="C391" s="2" t="s">
        <v>702</v>
      </c>
      <c r="D391" s="2" t="s">
        <v>479</v>
      </c>
      <c r="E391" s="2" t="s">
        <v>356</v>
      </c>
      <c r="F391" s="2"/>
      <c r="G391" s="2" t="s">
        <v>378</v>
      </c>
      <c r="H391" s="2" t="str">
        <f aca="false">IF(LEFT(B391,10)="Arsenal v ",MID(B391,11,100),LEFT(B391,FIND(" v ",B391)-1))</f>
        <v>Sheffield Wednesday</v>
      </c>
      <c r="I391" s="2" t="str">
        <f aca="false">IF(F391&lt;&gt;"","N",IF(LEFT(B391,10)="Arsenal v ","H","A"))</f>
        <v>H</v>
      </c>
      <c r="J391" s="2"/>
    </row>
    <row r="392" customFormat="false" ht="15" hidden="false" customHeight="false" outlineLevel="0" collapsed="false">
      <c r="A392" s="3" t="n">
        <v>35029</v>
      </c>
      <c r="B392" s="2" t="s">
        <v>737</v>
      </c>
      <c r="C392" s="2" t="s">
        <v>706</v>
      </c>
      <c r="D392" s="2" t="s">
        <v>369</v>
      </c>
      <c r="E392" s="2" t="s">
        <v>356</v>
      </c>
      <c r="F392" s="2"/>
      <c r="G392" s="2" t="s">
        <v>378</v>
      </c>
      <c r="H392" s="2" t="str">
        <f aca="false">IF(LEFT(B392,10)="Arsenal v ",MID(B392,11,100),LEFT(B392,FIND(" v ",B392)-1))</f>
        <v>Blackburn Rovers</v>
      </c>
      <c r="I392" s="2" t="str">
        <f aca="false">IF(F392&lt;&gt;"","N",IF(LEFT(B392,10)="Arsenal v ","H","A"))</f>
        <v>H</v>
      </c>
      <c r="J392" s="2"/>
    </row>
    <row r="393" customFormat="false" ht="15" hidden="false" customHeight="false" outlineLevel="0" collapsed="false">
      <c r="A393" s="3" t="n">
        <v>35032</v>
      </c>
      <c r="B393" s="2" t="s">
        <v>713</v>
      </c>
      <c r="C393" s="2" t="s">
        <v>702</v>
      </c>
      <c r="D393" s="2" t="s">
        <v>359</v>
      </c>
      <c r="E393" s="2" t="s">
        <v>379</v>
      </c>
      <c r="F393" s="2"/>
      <c r="G393" s="2" t="s">
        <v>378</v>
      </c>
      <c r="H393" s="2" t="str">
        <f aca="false">IF(LEFT(B393,10)="Arsenal v ",MID(B393,11,100),LEFT(B393,FIND(" v ",B393)-1))</f>
        <v>Sheffield Wednesday</v>
      </c>
      <c r="I393" s="2" t="str">
        <f aca="false">IF(F393&lt;&gt;"","N",IF(LEFT(B393,10)="Arsenal v ","H","A"))</f>
        <v>H</v>
      </c>
      <c r="J393" s="2"/>
    </row>
    <row r="394" customFormat="false" ht="15" hidden="false" customHeight="false" outlineLevel="0" collapsed="false">
      <c r="A394" s="3" t="n">
        <v>35035</v>
      </c>
      <c r="B394" s="2" t="s">
        <v>376</v>
      </c>
      <c r="C394" s="2" t="s">
        <v>706</v>
      </c>
      <c r="D394" s="2" t="s">
        <v>361</v>
      </c>
      <c r="E394" s="2" t="s">
        <v>356</v>
      </c>
      <c r="F394" s="2"/>
      <c r="G394" s="2" t="s">
        <v>378</v>
      </c>
      <c r="H394" s="2" t="str">
        <f aca="false">IF(LEFT(B394,10)="Arsenal v ",MID(B394,11,100),LEFT(B394,FIND(" v ",B394)-1))</f>
        <v>Aston Villa</v>
      </c>
      <c r="I394" s="2" t="str">
        <f aca="false">IF(F394&lt;&gt;"","N",IF(LEFT(B394,10)="Arsenal v ","H","A"))</f>
        <v>A</v>
      </c>
      <c r="J394" s="2"/>
    </row>
    <row r="395" customFormat="false" ht="15" hidden="false" customHeight="false" outlineLevel="0" collapsed="false">
      <c r="A395" s="3" t="n">
        <v>35042</v>
      </c>
      <c r="B395" s="2" t="s">
        <v>546</v>
      </c>
      <c r="C395" s="2" t="s">
        <v>706</v>
      </c>
      <c r="D395" s="2" t="s">
        <v>369</v>
      </c>
      <c r="E395" s="2" t="s">
        <v>356</v>
      </c>
      <c r="F395" s="2"/>
      <c r="G395" s="2" t="s">
        <v>378</v>
      </c>
      <c r="H395" s="2" t="str">
        <f aca="false">IF(LEFT(B395,10)="Arsenal v ",MID(B395,11,100),LEFT(B395,FIND(" v ",B395)-1))</f>
        <v>Southampton</v>
      </c>
      <c r="I395" s="2" t="str">
        <f aca="false">IF(F395&lt;&gt;"","N",IF(LEFT(B395,10)="Arsenal v ","H","A"))</f>
        <v>A</v>
      </c>
      <c r="J395" s="2"/>
    </row>
    <row r="396" customFormat="false" ht="15" hidden="false" customHeight="false" outlineLevel="0" collapsed="false">
      <c r="A396" s="3" t="n">
        <v>35049</v>
      </c>
      <c r="B396" s="2" t="s">
        <v>725</v>
      </c>
      <c r="C396" s="2" t="s">
        <v>706</v>
      </c>
      <c r="D396" s="2" t="s">
        <v>361</v>
      </c>
      <c r="E396" s="2" t="s">
        <v>356</v>
      </c>
      <c r="F396" s="2"/>
      <c r="G396" s="2" t="s">
        <v>378</v>
      </c>
      <c r="H396" s="2" t="str">
        <f aca="false">IF(LEFT(B396,10)="Arsenal v ",MID(B396,11,100),LEFT(B396,FIND(" v ",B396)-1))</f>
        <v>Chelsea</v>
      </c>
      <c r="I396" s="2" t="str">
        <f aca="false">IF(F396&lt;&gt;"","N",IF(LEFT(B396,10)="Arsenal v ","H","A"))</f>
        <v>H</v>
      </c>
      <c r="J396" s="2"/>
    </row>
    <row r="397" customFormat="false" ht="15" hidden="false" customHeight="false" outlineLevel="0" collapsed="false">
      <c r="A397" s="3" t="n">
        <v>35056</v>
      </c>
      <c r="B397" s="2" t="s">
        <v>477</v>
      </c>
      <c r="C397" s="2" t="s">
        <v>704</v>
      </c>
      <c r="D397" s="2" t="s">
        <v>377</v>
      </c>
      <c r="E397" s="2" t="s">
        <v>356</v>
      </c>
      <c r="F397" s="2"/>
      <c r="G397" s="2" t="s">
        <v>378</v>
      </c>
      <c r="H397" s="2" t="str">
        <f aca="false">IF(LEFT(B397,10)="Arsenal v ",MID(B397,11,100),LEFT(B397,FIND(" v ",B397)-1))</f>
        <v>Liverpool</v>
      </c>
      <c r="I397" s="2" t="str">
        <f aca="false">IF(F397&lt;&gt;"","N",IF(LEFT(B397,10)="Arsenal v ","H","A"))</f>
        <v>A</v>
      </c>
      <c r="J397" s="2"/>
    </row>
    <row r="398" customFormat="false" ht="15" hidden="false" customHeight="false" outlineLevel="0" collapsed="false">
      <c r="A398" s="3" t="n">
        <v>35059</v>
      </c>
      <c r="B398" s="2" t="s">
        <v>708</v>
      </c>
      <c r="C398" s="2" t="s">
        <v>702</v>
      </c>
      <c r="D398" s="2" t="s">
        <v>434</v>
      </c>
      <c r="E398" s="2" t="s">
        <v>356</v>
      </c>
      <c r="F398" s="2"/>
      <c r="G398" s="2" t="s">
        <v>378</v>
      </c>
      <c r="H398" s="2" t="str">
        <f aca="false">IF(LEFT(B398,10)="Arsenal v ",MID(B398,11,100),LEFT(B398,FIND(" v ",B398)-1))</f>
        <v>Queens Park Rangers</v>
      </c>
      <c r="I398" s="2" t="str">
        <f aca="false">IF(F398&lt;&gt;"","N",IF(LEFT(B398,10)="Arsenal v ","H","A"))</f>
        <v>H</v>
      </c>
      <c r="J398" s="2"/>
    </row>
    <row r="399" customFormat="false" ht="15" hidden="false" customHeight="false" outlineLevel="0" collapsed="false">
      <c r="A399" s="3" t="n">
        <v>35063</v>
      </c>
      <c r="B399" s="2" t="s">
        <v>722</v>
      </c>
      <c r="C399" s="2" t="s">
        <v>704</v>
      </c>
      <c r="D399" s="2" t="s">
        <v>373</v>
      </c>
      <c r="E399" s="2" t="s">
        <v>356</v>
      </c>
      <c r="F399" s="2"/>
      <c r="G399" s="2" t="s">
        <v>378</v>
      </c>
      <c r="H399" s="2" t="str">
        <f aca="false">IF(LEFT(B399,10)="Arsenal v ",MID(B399,11,100),LEFT(B399,FIND(" v ",B399)-1))</f>
        <v>Wimbledon</v>
      </c>
      <c r="I399" s="2" t="str">
        <f aca="false">IF(F399&lt;&gt;"","N",IF(LEFT(B399,10)="Arsenal v ","H","A"))</f>
        <v>H</v>
      </c>
      <c r="J399" s="2"/>
    </row>
    <row r="400" customFormat="false" ht="15" hidden="false" customHeight="false" outlineLevel="0" collapsed="false">
      <c r="A400" s="3" t="n">
        <v>35066</v>
      </c>
      <c r="B400" s="2" t="s">
        <v>501</v>
      </c>
      <c r="C400" s="2" t="s">
        <v>704</v>
      </c>
      <c r="D400" s="2" t="s">
        <v>351</v>
      </c>
      <c r="E400" s="2" t="s">
        <v>356</v>
      </c>
      <c r="F400" s="2"/>
      <c r="G400" s="2" t="s">
        <v>378</v>
      </c>
      <c r="H400" s="2" t="str">
        <f aca="false">IF(LEFT(B400,10)="Arsenal v ",MID(B400,11,100),LEFT(B400,FIND(" v ",B400)-1))</f>
        <v>Newcastle United</v>
      </c>
      <c r="I400" s="2" t="str">
        <f aca="false">IF(F400&lt;&gt;"","N",IF(LEFT(B400,10)="Arsenal v ","H","A"))</f>
        <v>A</v>
      </c>
      <c r="J400" s="2"/>
    </row>
    <row r="401" customFormat="false" ht="15" hidden="false" customHeight="false" outlineLevel="0" collapsed="false">
      <c r="A401" s="3" t="n">
        <v>35070</v>
      </c>
      <c r="B401" s="2" t="s">
        <v>728</v>
      </c>
      <c r="C401" s="2" t="s">
        <v>706</v>
      </c>
      <c r="D401" s="2" t="s">
        <v>361</v>
      </c>
      <c r="E401" s="2" t="s">
        <v>362</v>
      </c>
      <c r="F401" s="2"/>
      <c r="G401" s="2" t="s">
        <v>378</v>
      </c>
      <c r="H401" s="2" t="str">
        <f aca="false">IF(LEFT(B401,10)="Arsenal v ",MID(B401,11,100),LEFT(B401,FIND(" v ",B401)-1))</f>
        <v>Sheffield United</v>
      </c>
      <c r="I401" s="2" t="str">
        <f aca="false">IF(F401&lt;&gt;"","N",IF(LEFT(B401,10)="Arsenal v ","H","A"))</f>
        <v>H</v>
      </c>
      <c r="J401" s="2"/>
    </row>
    <row r="402" customFormat="false" ht="15" hidden="false" customHeight="false" outlineLevel="0" collapsed="false">
      <c r="A402" s="3" t="n">
        <v>35074</v>
      </c>
      <c r="B402" s="2" t="s">
        <v>719</v>
      </c>
      <c r="C402" s="2" t="s">
        <v>702</v>
      </c>
      <c r="D402" s="2" t="s">
        <v>351</v>
      </c>
      <c r="E402" s="2" t="s">
        <v>379</v>
      </c>
      <c r="F402" s="2"/>
      <c r="G402" s="2" t="s">
        <v>378</v>
      </c>
      <c r="H402" s="2" t="str">
        <f aca="false">IF(LEFT(B402,10)="Arsenal v ",MID(B402,11,100),LEFT(B402,FIND(" v ",B402)-1))</f>
        <v>Newcastle United</v>
      </c>
      <c r="I402" s="2" t="str">
        <f aca="false">IF(F402&lt;&gt;"","N",IF(LEFT(B402,10)="Arsenal v ","H","A"))</f>
        <v>H</v>
      </c>
      <c r="J402" s="2"/>
    </row>
    <row r="403" customFormat="false" ht="15" hidden="false" customHeight="false" outlineLevel="0" collapsed="false">
      <c r="A403" s="3" t="n">
        <v>35077</v>
      </c>
      <c r="B403" s="2" t="s">
        <v>494</v>
      </c>
      <c r="C403" s="2" t="s">
        <v>702</v>
      </c>
      <c r="D403" s="2" t="s">
        <v>366</v>
      </c>
      <c r="E403" s="2" t="s">
        <v>356</v>
      </c>
      <c r="F403" s="2"/>
      <c r="G403" s="2" t="s">
        <v>378</v>
      </c>
      <c r="H403" s="2" t="str">
        <f aca="false">IF(LEFT(B403,10)="Arsenal v ",MID(B403,11,100),LEFT(B403,FIND(" v ",B403)-1))</f>
        <v>Middlesbrough</v>
      </c>
      <c r="I403" s="2" t="str">
        <f aca="false">IF(F403&lt;&gt;"","N",IF(LEFT(B403,10)="Arsenal v ","H","A"))</f>
        <v>A</v>
      </c>
      <c r="J403" s="2"/>
    </row>
    <row r="404" customFormat="false" ht="15" hidden="false" customHeight="false" outlineLevel="0" collapsed="false">
      <c r="A404" s="3" t="n">
        <v>35081</v>
      </c>
      <c r="B404" s="2" t="s">
        <v>541</v>
      </c>
      <c r="C404" s="2" t="s">
        <v>704</v>
      </c>
      <c r="D404" s="2" t="s">
        <v>348</v>
      </c>
      <c r="E404" s="2" t="s">
        <v>362</v>
      </c>
      <c r="F404" s="2"/>
      <c r="G404" s="2" t="s">
        <v>378</v>
      </c>
      <c r="H404" s="2" t="str">
        <f aca="false">IF(LEFT(B404,10)="Arsenal v ",MID(B404,11,100),LEFT(B404,FIND(" v ",B404)-1))</f>
        <v>Sheffield United</v>
      </c>
      <c r="I404" s="2" t="str">
        <f aca="false">IF(F404&lt;&gt;"","N",IF(LEFT(B404,10)="Arsenal v ","H","A"))</f>
        <v>A</v>
      </c>
      <c r="J404" s="2"/>
    </row>
    <row r="405" customFormat="false" ht="15" hidden="false" customHeight="false" outlineLevel="0" collapsed="false">
      <c r="A405" s="3" t="n">
        <v>35084</v>
      </c>
      <c r="B405" s="2" t="s">
        <v>718</v>
      </c>
      <c r="C405" s="2" t="s">
        <v>704</v>
      </c>
      <c r="D405" s="2" t="s">
        <v>360</v>
      </c>
      <c r="E405" s="2" t="s">
        <v>356</v>
      </c>
      <c r="F405" s="2"/>
      <c r="G405" s="2" t="s">
        <v>378</v>
      </c>
      <c r="H405" s="2" t="str">
        <f aca="false">IF(LEFT(B405,10)="Arsenal v ",MID(B405,11,100),LEFT(B405,FIND(" v ",B405)-1))</f>
        <v>Everton</v>
      </c>
      <c r="I405" s="2" t="str">
        <f aca="false">IF(F405&lt;&gt;"","N",IF(LEFT(B405,10)="Arsenal v ","H","A"))</f>
        <v>H</v>
      </c>
      <c r="J405" s="2"/>
    </row>
    <row r="406" customFormat="false" ht="15" hidden="false" customHeight="false" outlineLevel="0" collapsed="false">
      <c r="A406" s="3" t="n">
        <v>35098</v>
      </c>
      <c r="B406" s="2" t="s">
        <v>709</v>
      </c>
      <c r="C406" s="2" t="s">
        <v>706</v>
      </c>
      <c r="D406" s="2" t="s">
        <v>361</v>
      </c>
      <c r="E406" s="2" t="s">
        <v>356</v>
      </c>
      <c r="F406" s="2"/>
      <c r="G406" s="2" t="s">
        <v>378</v>
      </c>
      <c r="H406" s="2" t="str">
        <f aca="false">IF(LEFT(B406,10)="Arsenal v ",MID(B406,11,100),LEFT(B406,FIND(" v ",B406)-1))</f>
        <v>Coventry City</v>
      </c>
      <c r="I406" s="2" t="str">
        <f aca="false">IF(F406&lt;&gt;"","N",IF(LEFT(B406,10)="Arsenal v ","H","A"))</f>
        <v>H</v>
      </c>
      <c r="J406" s="2"/>
    </row>
    <row r="407" customFormat="false" ht="15" hidden="false" customHeight="false" outlineLevel="0" collapsed="false">
      <c r="A407" s="3" t="n">
        <v>35105</v>
      </c>
      <c r="B407" s="2" t="s">
        <v>503</v>
      </c>
      <c r="C407" s="2" t="s">
        <v>702</v>
      </c>
      <c r="D407" s="2" t="s">
        <v>383</v>
      </c>
      <c r="E407" s="2" t="s">
        <v>356</v>
      </c>
      <c r="F407" s="2"/>
      <c r="G407" s="2" t="s">
        <v>378</v>
      </c>
      <c r="H407" s="2" t="str">
        <f aca="false">IF(LEFT(B407,10)="Arsenal v ",MID(B407,11,100),LEFT(B407,FIND(" v ",B407)-1))</f>
        <v>Nottingham Forest</v>
      </c>
      <c r="I407" s="2" t="str">
        <f aca="false">IF(F407&lt;&gt;"","N",IF(LEFT(B407,10)="Arsenal v ","H","A"))</f>
        <v>A</v>
      </c>
      <c r="J407" s="2"/>
    </row>
    <row r="408" customFormat="false" ht="15" hidden="false" customHeight="false" outlineLevel="0" collapsed="false">
      <c r="A408" s="3" t="n">
        <v>35109</v>
      </c>
      <c r="B408" s="2" t="s">
        <v>703</v>
      </c>
      <c r="C408" s="2" t="s">
        <v>706</v>
      </c>
      <c r="D408" s="2" t="s">
        <v>380</v>
      </c>
      <c r="E408" s="2" t="s">
        <v>379</v>
      </c>
      <c r="F408" s="2"/>
      <c r="G408" s="2" t="s">
        <v>378</v>
      </c>
      <c r="H408" s="2" t="str">
        <f aca="false">IF(LEFT(B408,10)="Arsenal v ",MID(B408,11,100),LEFT(B408,FIND(" v ",B408)-1))</f>
        <v>Aston Villa</v>
      </c>
      <c r="I408" s="2" t="str">
        <f aca="false">IF(F408&lt;&gt;"","N",IF(LEFT(B408,10)="Arsenal v ","H","A"))</f>
        <v>H</v>
      </c>
      <c r="J408" s="2"/>
    </row>
    <row r="409" customFormat="false" ht="15" hidden="false" customHeight="false" outlineLevel="0" collapsed="false">
      <c r="A409" s="3" t="n">
        <v>35116</v>
      </c>
      <c r="B409" s="2" t="s">
        <v>376</v>
      </c>
      <c r="C409" s="2" t="s">
        <v>706</v>
      </c>
      <c r="D409" s="2" t="s">
        <v>369</v>
      </c>
      <c r="E409" s="2" t="s">
        <v>379</v>
      </c>
      <c r="F409" s="2"/>
      <c r="G409" s="2" t="s">
        <v>378</v>
      </c>
      <c r="H409" s="2" t="str">
        <f aca="false">IF(LEFT(B409,10)="Arsenal v ",MID(B409,11,100),LEFT(B409,FIND(" v ",B409)-1))</f>
        <v>Aston Villa</v>
      </c>
      <c r="I409" s="2" t="str">
        <f aca="false">IF(F409&lt;&gt;"","N",IF(LEFT(B409,10)="Arsenal v ","H","A"))</f>
        <v>A</v>
      </c>
      <c r="J409" s="2"/>
    </row>
    <row r="410" customFormat="false" ht="15" hidden="false" customHeight="false" outlineLevel="0" collapsed="false">
      <c r="A410" s="3" t="n">
        <v>35119</v>
      </c>
      <c r="B410" s="2" t="s">
        <v>572</v>
      </c>
      <c r="C410" s="2" t="s">
        <v>702</v>
      </c>
      <c r="D410" s="2" t="s">
        <v>383</v>
      </c>
      <c r="E410" s="2" t="s">
        <v>356</v>
      </c>
      <c r="F410" s="2"/>
      <c r="G410" s="2" t="s">
        <v>378</v>
      </c>
      <c r="H410" s="2" t="str">
        <f aca="false">IF(LEFT(B410,10)="Arsenal v ",MID(B410,11,100),LEFT(B410,FIND(" v ",B410)-1))</f>
        <v>West Ham United</v>
      </c>
      <c r="I410" s="2" t="str">
        <f aca="false">IF(F410&lt;&gt;"","N",IF(LEFT(B410,10)="Arsenal v ","H","A"))</f>
        <v>A</v>
      </c>
      <c r="J410" s="2"/>
    </row>
    <row r="411" customFormat="false" ht="15" hidden="false" customHeight="false" outlineLevel="0" collapsed="false">
      <c r="A411" s="3" t="n">
        <v>35126</v>
      </c>
      <c r="B411" s="2" t="s">
        <v>524</v>
      </c>
      <c r="C411" s="2" t="s">
        <v>706</v>
      </c>
      <c r="D411" s="2" t="s">
        <v>361</v>
      </c>
      <c r="E411" s="2" t="s">
        <v>356</v>
      </c>
      <c r="F411" s="2"/>
      <c r="G411" s="2" t="s">
        <v>378</v>
      </c>
      <c r="H411" s="2" t="str">
        <f aca="false">IF(LEFT(B411,10)="Arsenal v ",MID(B411,11,100),LEFT(B411,FIND(" v ",B411)-1))</f>
        <v>Queens Park Rangers</v>
      </c>
      <c r="I411" s="2" t="str">
        <f aca="false">IF(F411&lt;&gt;"","N",IF(LEFT(B411,10)="Arsenal v ","H","A"))</f>
        <v>A</v>
      </c>
      <c r="J411" s="2"/>
    </row>
    <row r="412" customFormat="false" ht="15" hidden="false" customHeight="false" outlineLevel="0" collapsed="false">
      <c r="A412" s="3" t="n">
        <v>35129</v>
      </c>
      <c r="B412" s="2" t="s">
        <v>657</v>
      </c>
      <c r="C412" s="2" t="s">
        <v>702</v>
      </c>
      <c r="D412" s="2" t="s">
        <v>377</v>
      </c>
      <c r="E412" s="2" t="s">
        <v>356</v>
      </c>
      <c r="F412" s="2"/>
      <c r="G412" s="2" t="s">
        <v>378</v>
      </c>
      <c r="H412" s="2" t="str">
        <f aca="false">IF(LEFT(B412,10)="Arsenal v ",MID(B412,11,100),LEFT(B412,FIND(" v ",B412)-1))</f>
        <v>Manchester City</v>
      </c>
      <c r="I412" s="2" t="str">
        <f aca="false">IF(F412&lt;&gt;"","N",IF(LEFT(B412,10)="Arsenal v ","H","A"))</f>
        <v>H</v>
      </c>
      <c r="J412" s="2"/>
    </row>
    <row r="413" customFormat="false" ht="15" hidden="false" customHeight="false" outlineLevel="0" collapsed="false">
      <c r="A413" s="3" t="n">
        <v>35140</v>
      </c>
      <c r="B413" s="2" t="s">
        <v>574</v>
      </c>
      <c r="C413" s="2" t="s">
        <v>702</v>
      </c>
      <c r="D413" s="2" t="s">
        <v>363</v>
      </c>
      <c r="E413" s="2" t="s">
        <v>356</v>
      </c>
      <c r="F413" s="2"/>
      <c r="G413" s="2" t="s">
        <v>378</v>
      </c>
      <c r="H413" s="2" t="str">
        <f aca="false">IF(LEFT(B413,10)="Arsenal v ",MID(B413,11,100),LEFT(B413,FIND(" v ",B413)-1))</f>
        <v>Wimbledon</v>
      </c>
      <c r="I413" s="2" t="str">
        <f aca="false">IF(F413&lt;&gt;"","N",IF(LEFT(B413,10)="Arsenal v ","H","A"))</f>
        <v>A</v>
      </c>
      <c r="J413" s="2"/>
    </row>
    <row r="414" customFormat="false" ht="15" hidden="false" customHeight="false" outlineLevel="0" collapsed="false">
      <c r="A414" s="3" t="n">
        <v>35144</v>
      </c>
      <c r="B414" s="2" t="s">
        <v>490</v>
      </c>
      <c r="C414" s="2" t="s">
        <v>704</v>
      </c>
      <c r="D414" s="2" t="s">
        <v>348</v>
      </c>
      <c r="E414" s="2" t="s">
        <v>356</v>
      </c>
      <c r="F414" s="2"/>
      <c r="G414" s="2" t="s">
        <v>378</v>
      </c>
      <c r="H414" s="2" t="str">
        <f aca="false">IF(LEFT(B414,10)="Arsenal v ",MID(B414,11,100),LEFT(B414,FIND(" v ",B414)-1))</f>
        <v>Manchester United</v>
      </c>
      <c r="I414" s="2" t="str">
        <f aca="false">IF(F414&lt;&gt;"","N",IF(LEFT(B414,10)="Arsenal v ","H","A"))</f>
        <v>A</v>
      </c>
      <c r="J414" s="2"/>
    </row>
    <row r="415" customFormat="false" ht="15" hidden="false" customHeight="false" outlineLevel="0" collapsed="false">
      <c r="A415" s="3" t="n">
        <v>35147</v>
      </c>
      <c r="B415" s="2" t="s">
        <v>719</v>
      </c>
      <c r="C415" s="2" t="s">
        <v>702</v>
      </c>
      <c r="D415" s="2" t="s">
        <v>351</v>
      </c>
      <c r="E415" s="2" t="s">
        <v>356</v>
      </c>
      <c r="F415" s="2"/>
      <c r="G415" s="2" t="s">
        <v>378</v>
      </c>
      <c r="H415" s="2" t="str">
        <f aca="false">IF(LEFT(B415,10)="Arsenal v ",MID(B415,11,100),LEFT(B415,FIND(" v ",B415)-1))</f>
        <v>Newcastle United</v>
      </c>
      <c r="I415" s="2" t="str">
        <f aca="false">IF(F415&lt;&gt;"","N",IF(LEFT(B415,10)="Arsenal v ","H","A"))</f>
        <v>H</v>
      </c>
      <c r="J415" s="2"/>
    </row>
    <row r="416" customFormat="false" ht="15" hidden="false" customHeight="false" outlineLevel="0" collapsed="false">
      <c r="A416" s="3" t="n">
        <v>35161</v>
      </c>
      <c r="B416" s="2" t="s">
        <v>729</v>
      </c>
      <c r="C416" s="2" t="s">
        <v>702</v>
      </c>
      <c r="D416" s="2" t="s">
        <v>359</v>
      </c>
      <c r="E416" s="2" t="s">
        <v>356</v>
      </c>
      <c r="F416" s="2"/>
      <c r="G416" s="2" t="s">
        <v>378</v>
      </c>
      <c r="H416" s="2" t="str">
        <f aca="false">IF(LEFT(B416,10)="Arsenal v ",MID(B416,11,100),LEFT(B416,FIND(" v ",B416)-1))</f>
        <v>Leeds United</v>
      </c>
      <c r="I416" s="2" t="str">
        <f aca="false">IF(F416&lt;&gt;"","N",IF(LEFT(B416,10)="Arsenal v ","H","A"))</f>
        <v>H</v>
      </c>
      <c r="J416" s="2"/>
    </row>
    <row r="417" customFormat="false" ht="15" hidden="false" customHeight="false" outlineLevel="0" collapsed="false">
      <c r="A417" s="3" t="n">
        <v>35163</v>
      </c>
      <c r="B417" s="2" t="s">
        <v>543</v>
      </c>
      <c r="C417" s="2" t="s">
        <v>704</v>
      </c>
      <c r="D417" s="2" t="s">
        <v>348</v>
      </c>
      <c r="E417" s="2" t="s">
        <v>356</v>
      </c>
      <c r="F417" s="2"/>
      <c r="G417" s="2" t="s">
        <v>378</v>
      </c>
      <c r="H417" s="2" t="str">
        <f aca="false">IF(LEFT(B417,10)="Arsenal v ",MID(B417,11,100),LEFT(B417,FIND(" v ",B417)-1))</f>
        <v>Sheffield Wednesday</v>
      </c>
      <c r="I417" s="2" t="str">
        <f aca="false">IF(F417&lt;&gt;"","N",IF(LEFT(B417,10)="Arsenal v ","H","A"))</f>
        <v>A</v>
      </c>
      <c r="J417" s="2"/>
    </row>
    <row r="418" customFormat="false" ht="15" hidden="false" customHeight="false" outlineLevel="0" collapsed="false">
      <c r="A418" s="3" t="n">
        <v>35170</v>
      </c>
      <c r="B418" s="2" t="s">
        <v>655</v>
      </c>
      <c r="C418" s="2" t="s">
        <v>706</v>
      </c>
      <c r="D418" s="2" t="s">
        <v>369</v>
      </c>
      <c r="E418" s="2" t="s">
        <v>356</v>
      </c>
      <c r="F418" s="2"/>
      <c r="G418" s="2" t="s">
        <v>378</v>
      </c>
      <c r="H418" s="2" t="str">
        <f aca="false">IF(LEFT(B418,10)="Arsenal v ",MID(B418,11,100),LEFT(B418,FIND(" v ",B418)-1))</f>
        <v>Tottenham Hotspur</v>
      </c>
      <c r="I418" s="2" t="str">
        <f aca="false">IF(F418&lt;&gt;"","N",IF(LEFT(B418,10)="Arsenal v ","H","A"))</f>
        <v>H</v>
      </c>
      <c r="J418" s="2"/>
    </row>
    <row r="419" customFormat="false" ht="15" hidden="false" customHeight="false" outlineLevel="0" collapsed="false">
      <c r="A419" s="3" t="n">
        <v>35182</v>
      </c>
      <c r="B419" s="2" t="s">
        <v>406</v>
      </c>
      <c r="C419" s="2" t="s">
        <v>706</v>
      </c>
      <c r="D419" s="2" t="s">
        <v>361</v>
      </c>
      <c r="E419" s="2" t="s">
        <v>356</v>
      </c>
      <c r="F419" s="2"/>
      <c r="G419" s="2" t="s">
        <v>378</v>
      </c>
      <c r="H419" s="2" t="str">
        <f aca="false">IF(LEFT(B419,10)="Arsenal v ",MID(B419,11,100),LEFT(B419,FIND(" v ",B419)-1))</f>
        <v>Blackburn Rovers</v>
      </c>
      <c r="I419" s="2" t="str">
        <f aca="false">IF(F419&lt;&gt;"","N",IF(LEFT(B419,10)="Arsenal v ","H","A"))</f>
        <v>A</v>
      </c>
      <c r="J419" s="2"/>
    </row>
    <row r="420" customFormat="false" ht="15" hidden="false" customHeight="false" outlineLevel="0" collapsed="false">
      <c r="A420" s="3" t="n">
        <v>35186</v>
      </c>
      <c r="B420" s="2" t="s">
        <v>710</v>
      </c>
      <c r="C420" s="2" t="s">
        <v>706</v>
      </c>
      <c r="D420" s="2" t="s">
        <v>369</v>
      </c>
      <c r="E420" s="2" t="s">
        <v>356</v>
      </c>
      <c r="F420" s="2"/>
      <c r="G420" s="2" t="s">
        <v>378</v>
      </c>
      <c r="H420" s="2" t="str">
        <f aca="false">IF(LEFT(B420,10)="Arsenal v ",MID(B420,11,100),LEFT(B420,FIND(" v ",B420)-1))</f>
        <v>Liverpool</v>
      </c>
      <c r="I420" s="2" t="str">
        <f aca="false">IF(F420&lt;&gt;"","N",IF(LEFT(B420,10)="Arsenal v ","H","A"))</f>
        <v>H</v>
      </c>
      <c r="J420" s="2"/>
    </row>
    <row r="421" customFormat="false" ht="15" hidden="false" customHeight="false" outlineLevel="0" collapsed="false">
      <c r="A421" s="3" t="n">
        <v>35190</v>
      </c>
      <c r="B421" s="2" t="s">
        <v>743</v>
      </c>
      <c r="C421" s="2" t="s">
        <v>702</v>
      </c>
      <c r="D421" s="2" t="s">
        <v>359</v>
      </c>
      <c r="E421" s="2" t="s">
        <v>356</v>
      </c>
      <c r="F421" s="2"/>
      <c r="G421" s="2" t="s">
        <v>378</v>
      </c>
      <c r="H421" s="2" t="str">
        <f aca="false">IF(LEFT(B421,10)="Arsenal v ",MID(B421,11,100),LEFT(B421,FIND(" v ",B421)-1))</f>
        <v>Bolton Wanderers</v>
      </c>
      <c r="I421" s="2" t="str">
        <f aca="false">IF(F421&lt;&gt;"","N",IF(LEFT(B421,10)="Arsenal v ","H","A"))</f>
        <v>H</v>
      </c>
      <c r="J421" s="2"/>
    </row>
    <row r="422" customFormat="false" ht="15" hidden="false" customHeight="false" outlineLevel="0" collapsed="false">
      <c r="A422" s="3" t="n">
        <v>35294</v>
      </c>
      <c r="B422" s="2" t="s">
        <v>712</v>
      </c>
      <c r="C422" s="2" t="s">
        <v>702</v>
      </c>
      <c r="D422" s="2" t="s">
        <v>351</v>
      </c>
      <c r="E422" s="2" t="s">
        <v>356</v>
      </c>
      <c r="F422" s="2"/>
      <c r="G422" s="2" t="s">
        <v>73</v>
      </c>
      <c r="H422" s="2" t="str">
        <f aca="false">IF(LEFT(B422,10)="Arsenal v ",MID(B422,11,100),LEFT(B422,FIND(" v ",B422)-1))</f>
        <v>West Ham United</v>
      </c>
      <c r="I422" s="2" t="str">
        <f aca="false">IF(F422&lt;&gt;"","N",IF(LEFT(B422,10)="Arsenal v ","H","A"))</f>
        <v>H</v>
      </c>
      <c r="J422" s="2"/>
    </row>
    <row r="423" customFormat="false" ht="15" hidden="false" customHeight="false" outlineLevel="0" collapsed="false">
      <c r="A423" s="3" t="n">
        <v>35296</v>
      </c>
      <c r="B423" s="2" t="s">
        <v>477</v>
      </c>
      <c r="C423" s="2" t="s">
        <v>704</v>
      </c>
      <c r="D423" s="2" t="s">
        <v>351</v>
      </c>
      <c r="E423" s="2" t="s">
        <v>356</v>
      </c>
      <c r="F423" s="2"/>
      <c r="G423" s="2" t="s">
        <v>73</v>
      </c>
      <c r="H423" s="2" t="str">
        <f aca="false">IF(LEFT(B423,10)="Arsenal v ",MID(B423,11,100),LEFT(B423,FIND(" v ",B423)-1))</f>
        <v>Liverpool</v>
      </c>
      <c r="I423" s="2" t="str">
        <f aca="false">IF(F423&lt;&gt;"","N",IF(LEFT(B423,10)="Arsenal v ","H","A"))</f>
        <v>A</v>
      </c>
      <c r="J423" s="2"/>
    </row>
    <row r="424" customFormat="false" ht="15" hidden="false" customHeight="false" outlineLevel="0" collapsed="false">
      <c r="A424" s="3" t="n">
        <v>35301</v>
      </c>
      <c r="B424" s="2" t="s">
        <v>474</v>
      </c>
      <c r="C424" s="2" t="s">
        <v>702</v>
      </c>
      <c r="D424" s="2" t="s">
        <v>353</v>
      </c>
      <c r="E424" s="2" t="s">
        <v>356</v>
      </c>
      <c r="F424" s="2"/>
      <c r="G424" s="2" t="s">
        <v>73</v>
      </c>
      <c r="H424" s="2" t="str">
        <f aca="false">IF(LEFT(B424,10)="Arsenal v ",MID(B424,11,100),LEFT(B424,FIND(" v ",B424)-1))</f>
        <v>Leicester City</v>
      </c>
      <c r="I424" s="2" t="str">
        <f aca="false">IF(F424&lt;&gt;"","N",IF(LEFT(B424,10)="Arsenal v ","H","A"))</f>
        <v>A</v>
      </c>
      <c r="J424" s="2"/>
    </row>
    <row r="425" customFormat="false" ht="15" hidden="false" customHeight="false" outlineLevel="0" collapsed="false">
      <c r="A425" s="3" t="n">
        <v>35312</v>
      </c>
      <c r="B425" s="2" t="s">
        <v>725</v>
      </c>
      <c r="C425" s="2" t="s">
        <v>706</v>
      </c>
      <c r="D425" s="2" t="s">
        <v>358</v>
      </c>
      <c r="E425" s="2" t="s">
        <v>356</v>
      </c>
      <c r="F425" s="2"/>
      <c r="G425" s="2" t="s">
        <v>73</v>
      </c>
      <c r="H425" s="2" t="str">
        <f aca="false">IF(LEFT(B425,10)="Arsenal v ",MID(B425,11,100),LEFT(B425,FIND(" v ",B425)-1))</f>
        <v>Chelsea</v>
      </c>
      <c r="I425" s="2" t="str">
        <f aca="false">IF(F425&lt;&gt;"","N",IF(LEFT(B425,10)="Arsenal v ","H","A"))</f>
        <v>H</v>
      </c>
      <c r="J425" s="2"/>
    </row>
    <row r="426" customFormat="false" ht="15" hidden="false" customHeight="false" outlineLevel="0" collapsed="false">
      <c r="A426" s="3" t="n">
        <v>35315</v>
      </c>
      <c r="B426" s="2" t="s">
        <v>376</v>
      </c>
      <c r="C426" s="2" t="s">
        <v>706</v>
      </c>
      <c r="D426" s="2" t="s">
        <v>380</v>
      </c>
      <c r="E426" s="2" t="s">
        <v>356</v>
      </c>
      <c r="F426" s="2"/>
      <c r="G426" s="2" t="s">
        <v>73</v>
      </c>
      <c r="H426" s="2" t="str">
        <f aca="false">IF(LEFT(B426,10)="Arsenal v ",MID(B426,11,100),LEFT(B426,FIND(" v ",B426)-1))</f>
        <v>Aston Villa</v>
      </c>
      <c r="I426" s="2" t="str">
        <f aca="false">IF(F426&lt;&gt;"","N",IF(LEFT(B426,10)="Arsenal v ","H","A"))</f>
        <v>A</v>
      </c>
      <c r="J426" s="2"/>
    </row>
    <row r="427" customFormat="false" ht="15" hidden="false" customHeight="false" outlineLevel="0" collapsed="false">
      <c r="A427" s="3" t="n">
        <v>35318</v>
      </c>
      <c r="B427" s="2" t="s">
        <v>756</v>
      </c>
      <c r="C427" s="2" t="s">
        <v>704</v>
      </c>
      <c r="D427" s="2" t="s">
        <v>366</v>
      </c>
      <c r="E427" s="2" t="s">
        <v>412</v>
      </c>
      <c r="F427" s="2"/>
      <c r="G427" s="2" t="s">
        <v>73</v>
      </c>
      <c r="H427" s="2" t="str">
        <f aca="false">IF(LEFT(B427,10)="Arsenal v ",MID(B427,11,100),LEFT(B427,FIND(" v ",B427)-1))</f>
        <v>Borussia Mönchengladbach</v>
      </c>
      <c r="I427" s="2" t="str">
        <f aca="false">IF(F427&lt;&gt;"","N",IF(LEFT(B427,10)="Arsenal v ","H","A"))</f>
        <v>H</v>
      </c>
      <c r="J427" s="2"/>
    </row>
    <row r="428" customFormat="false" ht="15" hidden="false" customHeight="false" outlineLevel="0" collapsed="false">
      <c r="A428" s="3" t="n">
        <v>35324</v>
      </c>
      <c r="B428" s="2" t="s">
        <v>713</v>
      </c>
      <c r="C428" s="2" t="s">
        <v>702</v>
      </c>
      <c r="D428" s="2" t="s">
        <v>397</v>
      </c>
      <c r="E428" s="2" t="s">
        <v>356</v>
      </c>
      <c r="F428" s="2"/>
      <c r="G428" s="2" t="s">
        <v>73</v>
      </c>
      <c r="H428" s="2" t="str">
        <f aca="false">IF(LEFT(B428,10)="Arsenal v ",MID(B428,11,100),LEFT(B428,FIND(" v ",B428)-1))</f>
        <v>Sheffield Wednesday</v>
      </c>
      <c r="I428" s="2" t="str">
        <f aca="false">IF(F428&lt;&gt;"","N",IF(LEFT(B428,10)="Arsenal v ","H","A"))</f>
        <v>H</v>
      </c>
      <c r="J428" s="2"/>
    </row>
    <row r="429" customFormat="false" ht="15" hidden="false" customHeight="false" outlineLevel="0" collapsed="false">
      <c r="A429" s="3" t="n">
        <v>35329</v>
      </c>
      <c r="B429" s="2" t="s">
        <v>494</v>
      </c>
      <c r="C429" s="2" t="s">
        <v>702</v>
      </c>
      <c r="D429" s="2" t="s">
        <v>353</v>
      </c>
      <c r="E429" s="2" t="s">
        <v>356</v>
      </c>
      <c r="F429" s="2"/>
      <c r="G429" s="2" t="s">
        <v>73</v>
      </c>
      <c r="H429" s="2" t="str">
        <f aca="false">IF(LEFT(B429,10)="Arsenal v ",MID(B429,11,100),LEFT(B429,FIND(" v ",B429)-1))</f>
        <v>Middlesbrough</v>
      </c>
      <c r="I429" s="2" t="str">
        <f aca="false">IF(F429&lt;&gt;"","N",IF(LEFT(B429,10)="Arsenal v ","H","A"))</f>
        <v>A</v>
      </c>
      <c r="J429" s="2"/>
    </row>
    <row r="430" customFormat="false" ht="15" hidden="false" customHeight="false" outlineLevel="0" collapsed="false">
      <c r="A430" s="3" t="n">
        <v>35333</v>
      </c>
      <c r="B430" s="2" t="s">
        <v>413</v>
      </c>
      <c r="C430" s="2" t="s">
        <v>704</v>
      </c>
      <c r="D430" s="2" t="s">
        <v>382</v>
      </c>
      <c r="E430" s="2" t="s">
        <v>412</v>
      </c>
      <c r="F430" s="2"/>
      <c r="G430" s="2" t="s">
        <v>73</v>
      </c>
      <c r="H430" s="2" t="str">
        <f aca="false">IF(LEFT(B430,10)="Arsenal v ",MID(B430,11,100),LEFT(B430,FIND(" v ",B430)-1))</f>
        <v>Borussia Mönchengladbach</v>
      </c>
      <c r="I430" s="2" t="str">
        <f aca="false">IF(F430&lt;&gt;"","N",IF(LEFT(B430,10)="Arsenal v ","H","A"))</f>
        <v>A</v>
      </c>
      <c r="J430" s="2"/>
    </row>
    <row r="431" customFormat="false" ht="15" hidden="false" customHeight="false" outlineLevel="0" collapsed="false">
      <c r="A431" s="3" t="n">
        <v>35336</v>
      </c>
      <c r="B431" s="2" t="s">
        <v>727</v>
      </c>
      <c r="C431" s="2" t="s">
        <v>702</v>
      </c>
      <c r="D431" s="2" t="s">
        <v>351</v>
      </c>
      <c r="E431" s="2" t="s">
        <v>356</v>
      </c>
      <c r="F431" s="2"/>
      <c r="G431" s="2" t="s">
        <v>73</v>
      </c>
      <c r="H431" s="2" t="str">
        <f aca="false">IF(LEFT(B431,10)="Arsenal v ",MID(B431,11,100),LEFT(B431,FIND(" v ",B431)-1))</f>
        <v>Sunderland</v>
      </c>
      <c r="I431" s="2" t="str">
        <f aca="false">IF(F431&lt;&gt;"","N",IF(LEFT(B431,10)="Arsenal v ","H","A"))</f>
        <v>H</v>
      </c>
      <c r="J431" s="2"/>
    </row>
    <row r="432" customFormat="false" ht="15" hidden="false" customHeight="false" outlineLevel="0" collapsed="false">
      <c r="A432" s="3" t="n">
        <v>35350</v>
      </c>
      <c r="B432" s="2" t="s">
        <v>406</v>
      </c>
      <c r="C432" s="2" t="s">
        <v>702</v>
      </c>
      <c r="D432" s="2" t="s">
        <v>353</v>
      </c>
      <c r="E432" s="2" t="s">
        <v>356</v>
      </c>
      <c r="F432" s="2"/>
      <c r="G432" s="2" t="s">
        <v>73</v>
      </c>
      <c r="H432" s="2" t="str">
        <f aca="false">IF(LEFT(B432,10)="Arsenal v ",MID(B432,11,100),LEFT(B432,FIND(" v ",B432)-1))</f>
        <v>Blackburn Rovers</v>
      </c>
      <c r="I432" s="2" t="str">
        <f aca="false">IF(F432&lt;&gt;"","N",IF(LEFT(B432,10)="Arsenal v ","H","A"))</f>
        <v>A</v>
      </c>
      <c r="J432" s="2"/>
    </row>
    <row r="433" customFormat="false" ht="15" hidden="false" customHeight="false" outlineLevel="0" collapsed="false">
      <c r="A433" s="3" t="n">
        <v>35357</v>
      </c>
      <c r="B433" s="2" t="s">
        <v>709</v>
      </c>
      <c r="C433" s="2" t="s">
        <v>706</v>
      </c>
      <c r="D433" s="2" t="s">
        <v>369</v>
      </c>
      <c r="E433" s="2" t="s">
        <v>356</v>
      </c>
      <c r="F433" s="2"/>
      <c r="G433" s="2" t="s">
        <v>73</v>
      </c>
      <c r="H433" s="2" t="str">
        <f aca="false">IF(LEFT(B433,10)="Arsenal v ",MID(B433,11,100),LEFT(B433,FIND(" v ",B433)-1))</f>
        <v>Coventry City</v>
      </c>
      <c r="I433" s="2" t="str">
        <f aca="false">IF(F433&lt;&gt;"","N",IF(LEFT(B433,10)="Arsenal v ","H","A"))</f>
        <v>H</v>
      </c>
      <c r="J433" s="2"/>
    </row>
    <row r="434" customFormat="false" ht="15" hidden="false" customHeight="false" outlineLevel="0" collapsed="false">
      <c r="A434" s="3" t="n">
        <v>35361</v>
      </c>
      <c r="B434" s="2" t="s">
        <v>555</v>
      </c>
      <c r="C434" s="2" t="s">
        <v>706</v>
      </c>
      <c r="D434" s="2" t="s">
        <v>361</v>
      </c>
      <c r="E434" s="2" t="s">
        <v>379</v>
      </c>
      <c r="F434" s="2"/>
      <c r="G434" s="2" t="s">
        <v>73</v>
      </c>
      <c r="H434" s="2" t="str">
        <f aca="false">IF(LEFT(B434,10)="Arsenal v ",MID(B434,11,100),LEFT(B434,FIND(" v ",B434)-1))</f>
        <v>Stoke City</v>
      </c>
      <c r="I434" s="2" t="str">
        <f aca="false">IF(F434&lt;&gt;"","N",IF(LEFT(B434,10)="Arsenal v ","H","A"))</f>
        <v>A</v>
      </c>
      <c r="J434" s="2"/>
    </row>
    <row r="435" customFormat="false" ht="15" hidden="false" customHeight="false" outlineLevel="0" collapsed="false">
      <c r="A435" s="3" t="n">
        <v>35364</v>
      </c>
      <c r="B435" s="2" t="s">
        <v>729</v>
      </c>
      <c r="C435" s="2" t="s">
        <v>702</v>
      </c>
      <c r="D435" s="2" t="s">
        <v>434</v>
      </c>
      <c r="E435" s="2" t="s">
        <v>356</v>
      </c>
      <c r="F435" s="2"/>
      <c r="G435" s="2" t="s">
        <v>73</v>
      </c>
      <c r="H435" s="2" t="str">
        <f aca="false">IF(LEFT(B435,10)="Arsenal v ",MID(B435,11,100),LEFT(B435,FIND(" v ",B435)-1))</f>
        <v>Leeds United</v>
      </c>
      <c r="I435" s="2" t="str">
        <f aca="false">IF(F435&lt;&gt;"","N",IF(LEFT(B435,10)="Arsenal v ","H","A"))</f>
        <v>H</v>
      </c>
      <c r="J435" s="2"/>
    </row>
    <row r="436" customFormat="false" ht="15" hidden="false" customHeight="false" outlineLevel="0" collapsed="false">
      <c r="A436" s="3" t="n">
        <v>35371</v>
      </c>
      <c r="B436" s="2" t="s">
        <v>574</v>
      </c>
      <c r="C436" s="2" t="s">
        <v>706</v>
      </c>
      <c r="D436" s="2" t="s">
        <v>380</v>
      </c>
      <c r="E436" s="2" t="s">
        <v>356</v>
      </c>
      <c r="F436" s="2"/>
      <c r="G436" s="2" t="s">
        <v>73</v>
      </c>
      <c r="H436" s="2" t="str">
        <f aca="false">IF(LEFT(B436,10)="Arsenal v ",MID(B436,11,100),LEFT(B436,FIND(" v ",B436)-1))</f>
        <v>Wimbledon</v>
      </c>
      <c r="I436" s="2" t="str">
        <f aca="false">IF(F436&lt;&gt;"","N",IF(LEFT(B436,10)="Arsenal v ","H","A"))</f>
        <v>A</v>
      </c>
      <c r="J436" s="2"/>
    </row>
    <row r="437" customFormat="false" ht="15" hidden="false" customHeight="false" outlineLevel="0" collapsed="false">
      <c r="A437" s="3" t="n">
        <v>35382</v>
      </c>
      <c r="B437" s="2" t="s">
        <v>757</v>
      </c>
      <c r="C437" s="2" t="s">
        <v>702</v>
      </c>
      <c r="D437" s="2" t="s">
        <v>732</v>
      </c>
      <c r="E437" s="2" t="s">
        <v>379</v>
      </c>
      <c r="F437" s="2"/>
      <c r="G437" s="2" t="s">
        <v>73</v>
      </c>
      <c r="H437" s="2" t="str">
        <f aca="false">IF(LEFT(B437,10)="Arsenal v ",MID(B437,11,100),LEFT(B437,FIND(" v ",B437)-1))</f>
        <v>Stoke City</v>
      </c>
      <c r="I437" s="2" t="str">
        <f aca="false">IF(F437&lt;&gt;"","N",IF(LEFT(B437,10)="Arsenal v ","H","A"))</f>
        <v>H</v>
      </c>
      <c r="J437" s="2"/>
    </row>
    <row r="438" customFormat="false" ht="15" hidden="false" customHeight="false" outlineLevel="0" collapsed="false">
      <c r="A438" s="3" t="n">
        <v>35385</v>
      </c>
      <c r="B438" s="2" t="s">
        <v>490</v>
      </c>
      <c r="C438" s="2" t="s">
        <v>704</v>
      </c>
      <c r="D438" s="2" t="s">
        <v>348</v>
      </c>
      <c r="E438" s="2" t="s">
        <v>356</v>
      </c>
      <c r="F438" s="2"/>
      <c r="G438" s="2" t="s">
        <v>73</v>
      </c>
      <c r="H438" s="2" t="str">
        <f aca="false">IF(LEFT(B438,10)="Arsenal v ",MID(B438,11,100),LEFT(B438,FIND(" v ",B438)-1))</f>
        <v>Manchester United</v>
      </c>
      <c r="I438" s="2" t="str">
        <f aca="false">IF(F438&lt;&gt;"","N",IF(LEFT(B438,10)="Arsenal v ","H","A"))</f>
        <v>A</v>
      </c>
      <c r="J438" s="2"/>
    </row>
    <row r="439" customFormat="false" ht="15" hidden="false" customHeight="false" outlineLevel="0" collapsed="false">
      <c r="A439" s="3" t="n">
        <v>35393</v>
      </c>
      <c r="B439" s="2" t="s">
        <v>655</v>
      </c>
      <c r="C439" s="2" t="s">
        <v>702</v>
      </c>
      <c r="D439" s="2" t="s">
        <v>377</v>
      </c>
      <c r="E439" s="2" t="s">
        <v>356</v>
      </c>
      <c r="F439" s="2"/>
      <c r="G439" s="2" t="s">
        <v>73</v>
      </c>
      <c r="H439" s="2" t="str">
        <f aca="false">IF(LEFT(B439,10)="Arsenal v ",MID(B439,11,100),LEFT(B439,FIND(" v ",B439)-1))</f>
        <v>Tottenham Hotspur</v>
      </c>
      <c r="I439" s="2" t="str">
        <f aca="false">IF(F439&lt;&gt;"","N",IF(LEFT(B439,10)="Arsenal v ","H","A"))</f>
        <v>H</v>
      </c>
      <c r="J439" s="2"/>
    </row>
    <row r="440" customFormat="false" ht="15" hidden="false" customHeight="false" outlineLevel="0" collapsed="false">
      <c r="A440" s="3" t="n">
        <v>35396</v>
      </c>
      <c r="B440" s="2" t="s">
        <v>477</v>
      </c>
      <c r="C440" s="2" t="s">
        <v>704</v>
      </c>
      <c r="D440" s="2" t="s">
        <v>479</v>
      </c>
      <c r="E440" s="2" t="s">
        <v>379</v>
      </c>
      <c r="F440" s="2"/>
      <c r="G440" s="2" t="s">
        <v>73</v>
      </c>
      <c r="H440" s="2" t="str">
        <f aca="false">IF(LEFT(B440,10)="Arsenal v ",MID(B440,11,100),LEFT(B440,FIND(" v ",B440)-1))</f>
        <v>Liverpool</v>
      </c>
      <c r="I440" s="2" t="str">
        <f aca="false">IF(F440&lt;&gt;"","N",IF(LEFT(B440,10)="Arsenal v ","H","A"))</f>
        <v>A</v>
      </c>
      <c r="J440" s="2"/>
    </row>
    <row r="441" customFormat="false" ht="15" hidden="false" customHeight="false" outlineLevel="0" collapsed="false">
      <c r="A441" s="3" t="n">
        <v>35399</v>
      </c>
      <c r="B441" s="2" t="s">
        <v>501</v>
      </c>
      <c r="C441" s="2" t="s">
        <v>702</v>
      </c>
      <c r="D441" s="2" t="s">
        <v>360</v>
      </c>
      <c r="E441" s="2" t="s">
        <v>356</v>
      </c>
      <c r="F441" s="2"/>
      <c r="G441" s="2" t="s">
        <v>73</v>
      </c>
      <c r="H441" s="2" t="str">
        <f aca="false">IF(LEFT(B441,10)="Arsenal v ",MID(B441,11,100),LEFT(B441,FIND(" v ",B441)-1))</f>
        <v>Newcastle United</v>
      </c>
      <c r="I441" s="2" t="str">
        <f aca="false">IF(F441&lt;&gt;"","N",IF(LEFT(B441,10)="Arsenal v ","H","A"))</f>
        <v>A</v>
      </c>
      <c r="J441" s="2"/>
    </row>
    <row r="442" customFormat="false" ht="15" hidden="false" customHeight="false" outlineLevel="0" collapsed="false">
      <c r="A442" s="3" t="n">
        <v>35403</v>
      </c>
      <c r="B442" s="2" t="s">
        <v>705</v>
      </c>
      <c r="C442" s="2" t="s">
        <v>702</v>
      </c>
      <c r="D442" s="2" t="s">
        <v>377</v>
      </c>
      <c r="E442" s="2" t="s">
        <v>356</v>
      </c>
      <c r="F442" s="2"/>
      <c r="G442" s="2" t="s">
        <v>73</v>
      </c>
      <c r="H442" s="2" t="str">
        <f aca="false">IF(LEFT(B442,10)="Arsenal v ",MID(B442,11,100),LEFT(B442,FIND(" v ",B442)-1))</f>
        <v>Southampton</v>
      </c>
      <c r="I442" s="2" t="str">
        <f aca="false">IF(F442&lt;&gt;"","N",IF(LEFT(B442,10)="Arsenal v ","H","A"))</f>
        <v>H</v>
      </c>
      <c r="J442" s="2"/>
    </row>
    <row r="443" customFormat="false" ht="15" hidden="false" customHeight="false" outlineLevel="0" collapsed="false">
      <c r="A443" s="3" t="n">
        <v>35406</v>
      </c>
      <c r="B443" s="2" t="s">
        <v>721</v>
      </c>
      <c r="C443" s="2" t="s">
        <v>706</v>
      </c>
      <c r="D443" s="2" t="s">
        <v>380</v>
      </c>
      <c r="E443" s="2" t="s">
        <v>356</v>
      </c>
      <c r="F443" s="2"/>
      <c r="G443" s="2" t="s">
        <v>73</v>
      </c>
      <c r="H443" s="2" t="str">
        <f aca="false">IF(LEFT(B443,10)="Arsenal v ",MID(B443,11,100),LEFT(B443,FIND(" v ",B443)-1))</f>
        <v>Derby County</v>
      </c>
      <c r="I443" s="2" t="str">
        <f aca="false">IF(F443&lt;&gt;"","N",IF(LEFT(B443,10)="Arsenal v ","H","A"))</f>
        <v>H</v>
      </c>
      <c r="J443" s="2"/>
    </row>
    <row r="444" customFormat="false" ht="15" hidden="false" customHeight="false" outlineLevel="0" collapsed="false">
      <c r="A444" s="3" t="n">
        <v>35420</v>
      </c>
      <c r="B444" s="2" t="s">
        <v>503</v>
      </c>
      <c r="C444" s="2" t="s">
        <v>704</v>
      </c>
      <c r="D444" s="2" t="s">
        <v>359</v>
      </c>
      <c r="E444" s="2" t="s">
        <v>356</v>
      </c>
      <c r="F444" s="2"/>
      <c r="G444" s="2" t="s">
        <v>73</v>
      </c>
      <c r="H444" s="2" t="str">
        <f aca="false">IF(LEFT(B444,10)="Arsenal v ",MID(B444,11,100),LEFT(B444,FIND(" v ",B444)-1))</f>
        <v>Nottingham Forest</v>
      </c>
      <c r="I444" s="2" t="str">
        <f aca="false">IF(F444&lt;&gt;"","N",IF(LEFT(B444,10)="Arsenal v ","H","A"))</f>
        <v>A</v>
      </c>
      <c r="J444" s="2"/>
    </row>
    <row r="445" customFormat="false" ht="15" hidden="false" customHeight="false" outlineLevel="0" collapsed="false">
      <c r="A445" s="3" t="n">
        <v>35425</v>
      </c>
      <c r="B445" s="2" t="s">
        <v>543</v>
      </c>
      <c r="C445" s="2" t="s">
        <v>706</v>
      </c>
      <c r="D445" s="2" t="s">
        <v>369</v>
      </c>
      <c r="E445" s="2" t="s">
        <v>356</v>
      </c>
      <c r="F445" s="2"/>
      <c r="G445" s="2" t="s">
        <v>73</v>
      </c>
      <c r="H445" s="2" t="str">
        <f aca="false">IF(LEFT(B445,10)="Arsenal v ",MID(B445,11,100),LEFT(B445,FIND(" v ",B445)-1))</f>
        <v>Sheffield Wednesday</v>
      </c>
      <c r="I445" s="2" t="str">
        <f aca="false">IF(F445&lt;&gt;"","N",IF(LEFT(B445,10)="Arsenal v ","H","A"))</f>
        <v>A</v>
      </c>
      <c r="J445" s="2"/>
    </row>
    <row r="446" customFormat="false" ht="15" hidden="false" customHeight="false" outlineLevel="0" collapsed="false">
      <c r="A446" s="3" t="n">
        <v>35427</v>
      </c>
      <c r="B446" s="2" t="s">
        <v>703</v>
      </c>
      <c r="C446" s="2" t="s">
        <v>706</v>
      </c>
      <c r="D446" s="2" t="s">
        <v>380</v>
      </c>
      <c r="E446" s="2" t="s">
        <v>356</v>
      </c>
      <c r="F446" s="2"/>
      <c r="G446" s="2" t="s">
        <v>73</v>
      </c>
      <c r="H446" s="2" t="str">
        <f aca="false">IF(LEFT(B446,10)="Arsenal v ",MID(B446,11,100),LEFT(B446,FIND(" v ",B446)-1))</f>
        <v>Aston Villa</v>
      </c>
      <c r="I446" s="2" t="str">
        <f aca="false">IF(F446&lt;&gt;"","N",IF(LEFT(B446,10)="Arsenal v ","H","A"))</f>
        <v>H</v>
      </c>
      <c r="J446" s="2"/>
    </row>
    <row r="447" customFormat="false" ht="15" hidden="false" customHeight="false" outlineLevel="0" collapsed="false">
      <c r="A447" s="3" t="n">
        <v>35431</v>
      </c>
      <c r="B447" s="2" t="s">
        <v>711</v>
      </c>
      <c r="C447" s="2" t="s">
        <v>702</v>
      </c>
      <c r="D447" s="2" t="s">
        <v>351</v>
      </c>
      <c r="E447" s="2" t="s">
        <v>356</v>
      </c>
      <c r="F447" s="2"/>
      <c r="G447" s="2" t="s">
        <v>73</v>
      </c>
      <c r="H447" s="2" t="str">
        <f aca="false">IF(LEFT(B447,10)="Arsenal v ",MID(B447,11,100),LEFT(B447,FIND(" v ",B447)-1))</f>
        <v>Middlesbrough</v>
      </c>
      <c r="I447" s="2" t="str">
        <f aca="false">IF(F447&lt;&gt;"","N",IF(LEFT(B447,10)="Arsenal v ","H","A"))</f>
        <v>H</v>
      </c>
      <c r="J447" s="2"/>
    </row>
    <row r="448" customFormat="false" ht="15" hidden="false" customHeight="false" outlineLevel="0" collapsed="false">
      <c r="A448" s="3" t="n">
        <v>35434</v>
      </c>
      <c r="B448" s="2" t="s">
        <v>727</v>
      </c>
      <c r="C448" s="2" t="s">
        <v>706</v>
      </c>
      <c r="D448" s="2" t="s">
        <v>361</v>
      </c>
      <c r="E448" s="2" t="s">
        <v>362</v>
      </c>
      <c r="F448" s="2"/>
      <c r="G448" s="2" t="s">
        <v>73</v>
      </c>
      <c r="H448" s="2" t="str">
        <f aca="false">IF(LEFT(B448,10)="Arsenal v ",MID(B448,11,100),LEFT(B448,FIND(" v ",B448)-1))</f>
        <v>Sunderland</v>
      </c>
      <c r="I448" s="2" t="str">
        <f aca="false">IF(F448&lt;&gt;"","N",IF(LEFT(B448,10)="Arsenal v ","H","A"))</f>
        <v>H</v>
      </c>
      <c r="J448" s="2"/>
    </row>
    <row r="449" customFormat="false" ht="15" hidden="false" customHeight="false" outlineLevel="0" collapsed="false">
      <c r="A449" s="3" t="n">
        <v>35441</v>
      </c>
      <c r="B449" s="2" t="s">
        <v>556</v>
      </c>
      <c r="C449" s="2" t="s">
        <v>704</v>
      </c>
      <c r="D449" s="2" t="s">
        <v>348</v>
      </c>
      <c r="E449" s="2" t="s">
        <v>356</v>
      </c>
      <c r="F449" s="2"/>
      <c r="G449" s="2" t="s">
        <v>73</v>
      </c>
      <c r="H449" s="2" t="str">
        <f aca="false">IF(LEFT(B449,10)="Arsenal v ",MID(B449,11,100),LEFT(B449,FIND(" v ",B449)-1))</f>
        <v>Sunderland</v>
      </c>
      <c r="I449" s="2" t="str">
        <f aca="false">IF(F449&lt;&gt;"","N",IF(LEFT(B449,10)="Arsenal v ","H","A"))</f>
        <v>A</v>
      </c>
      <c r="J449" s="2"/>
    </row>
    <row r="450" customFormat="false" ht="15" hidden="false" customHeight="false" outlineLevel="0" collapsed="false">
      <c r="A450" s="3" t="n">
        <v>35445</v>
      </c>
      <c r="B450" s="2" t="s">
        <v>556</v>
      </c>
      <c r="C450" s="2" t="s">
        <v>702</v>
      </c>
      <c r="D450" s="2" t="s">
        <v>353</v>
      </c>
      <c r="E450" s="2" t="s">
        <v>362</v>
      </c>
      <c r="F450" s="2"/>
      <c r="G450" s="2" t="s">
        <v>73</v>
      </c>
      <c r="H450" s="2" t="str">
        <f aca="false">IF(LEFT(B450,10)="Arsenal v ",MID(B450,11,100),LEFT(B450,FIND(" v ",B450)-1))</f>
        <v>Sunderland</v>
      </c>
      <c r="I450" s="2" t="str">
        <f aca="false">IF(F450&lt;&gt;"","N",IF(LEFT(B450,10)="Arsenal v ","H","A"))</f>
        <v>A</v>
      </c>
      <c r="J450" s="2"/>
    </row>
    <row r="451" customFormat="false" ht="15" hidden="false" customHeight="false" outlineLevel="0" collapsed="false">
      <c r="A451" s="3" t="n">
        <v>35449</v>
      </c>
      <c r="B451" s="2" t="s">
        <v>718</v>
      </c>
      <c r="C451" s="2" t="s">
        <v>702</v>
      </c>
      <c r="D451" s="2" t="s">
        <v>377</v>
      </c>
      <c r="E451" s="2" t="s">
        <v>356</v>
      </c>
      <c r="F451" s="2"/>
      <c r="G451" s="2" t="s">
        <v>73</v>
      </c>
      <c r="H451" s="2" t="str">
        <f aca="false">IF(LEFT(B451,10)="Arsenal v ",MID(B451,11,100),LEFT(B451,FIND(" v ",B451)-1))</f>
        <v>Everton</v>
      </c>
      <c r="I451" s="2" t="str">
        <f aca="false">IF(F451&lt;&gt;"","N",IF(LEFT(B451,10)="Arsenal v ","H","A"))</f>
        <v>H</v>
      </c>
      <c r="J451" s="2"/>
    </row>
    <row r="452" customFormat="false" ht="15" hidden="false" customHeight="false" outlineLevel="0" collapsed="false">
      <c r="A452" s="3" t="n">
        <v>35459</v>
      </c>
      <c r="B452" s="2" t="s">
        <v>572</v>
      </c>
      <c r="C452" s="2" t="s">
        <v>702</v>
      </c>
      <c r="D452" s="2" t="s">
        <v>360</v>
      </c>
      <c r="E452" s="2" t="s">
        <v>356</v>
      </c>
      <c r="F452" s="2"/>
      <c r="G452" s="2" t="s">
        <v>73</v>
      </c>
      <c r="H452" s="2" t="str">
        <f aca="false">IF(LEFT(B452,10)="Arsenal v ",MID(B452,11,100),LEFT(B452,FIND(" v ",B452)-1))</f>
        <v>West Ham United</v>
      </c>
      <c r="I452" s="2" t="str">
        <f aca="false">IF(F452&lt;&gt;"","N",IF(LEFT(B452,10)="Arsenal v ","H","A"))</f>
        <v>A</v>
      </c>
      <c r="J452" s="2"/>
    </row>
    <row r="453" customFormat="false" ht="15" hidden="false" customHeight="false" outlineLevel="0" collapsed="false">
      <c r="A453" s="3" t="n">
        <v>35462</v>
      </c>
      <c r="B453" s="2" t="s">
        <v>473</v>
      </c>
      <c r="C453" s="2" t="s">
        <v>706</v>
      </c>
      <c r="D453" s="2" t="s">
        <v>369</v>
      </c>
      <c r="E453" s="2" t="s">
        <v>356</v>
      </c>
      <c r="F453" s="2"/>
      <c r="G453" s="2" t="s">
        <v>73</v>
      </c>
      <c r="H453" s="2" t="str">
        <f aca="false">IF(LEFT(B453,10)="Arsenal v ",MID(B453,11,100),LEFT(B453,FIND(" v ",B453)-1))</f>
        <v>Leeds United</v>
      </c>
      <c r="I453" s="2" t="str">
        <f aca="false">IF(F453&lt;&gt;"","N",IF(LEFT(B453,10)="Arsenal v ","H","A"))</f>
        <v>A</v>
      </c>
      <c r="J453" s="2"/>
    </row>
    <row r="454" customFormat="false" ht="15" hidden="false" customHeight="false" outlineLevel="0" collapsed="false">
      <c r="A454" s="3" t="n">
        <v>35465</v>
      </c>
      <c r="B454" s="2" t="s">
        <v>729</v>
      </c>
      <c r="C454" s="2" t="s">
        <v>704</v>
      </c>
      <c r="D454" s="2" t="s">
        <v>383</v>
      </c>
      <c r="E454" s="2" t="s">
        <v>362</v>
      </c>
      <c r="F454" s="2"/>
      <c r="G454" s="2" t="s">
        <v>73</v>
      </c>
      <c r="H454" s="2" t="str">
        <f aca="false">IF(LEFT(B454,10)="Arsenal v ",MID(B454,11,100),LEFT(B454,FIND(" v ",B454)-1))</f>
        <v>Leeds United</v>
      </c>
      <c r="I454" s="2" t="str">
        <f aca="false">IF(F454&lt;&gt;"","N",IF(LEFT(B454,10)="Arsenal v ","H","A"))</f>
        <v>H</v>
      </c>
      <c r="J454" s="2"/>
    </row>
    <row r="455" customFormat="false" ht="15" hidden="false" customHeight="false" outlineLevel="0" collapsed="false">
      <c r="A455" s="3" t="n">
        <v>35476</v>
      </c>
      <c r="B455" s="2" t="s">
        <v>561</v>
      </c>
      <c r="C455" s="2" t="s">
        <v>706</v>
      </c>
      <c r="D455" s="2" t="s">
        <v>369</v>
      </c>
      <c r="E455" s="2" t="s">
        <v>356</v>
      </c>
      <c r="F455" s="2"/>
      <c r="G455" s="2" t="s">
        <v>73</v>
      </c>
      <c r="H455" s="2" t="str">
        <f aca="false">IF(LEFT(B455,10)="Arsenal v ",MID(B455,11,100),LEFT(B455,FIND(" v ",B455)-1))</f>
        <v>Tottenham Hotspur</v>
      </c>
      <c r="I455" s="2" t="str">
        <f aca="false">IF(F455&lt;&gt;"","N",IF(LEFT(B455,10)="Arsenal v ","H","A"))</f>
        <v>A</v>
      </c>
      <c r="J455" s="2"/>
    </row>
    <row r="456" customFormat="false" ht="15" hidden="false" customHeight="false" outlineLevel="0" collapsed="false">
      <c r="A456" s="3" t="n">
        <v>35480</v>
      </c>
      <c r="B456" s="2" t="s">
        <v>656</v>
      </c>
      <c r="C456" s="2" t="s">
        <v>704</v>
      </c>
      <c r="D456" s="2" t="s">
        <v>360</v>
      </c>
      <c r="E456" s="2" t="s">
        <v>356</v>
      </c>
      <c r="F456" s="2"/>
      <c r="G456" s="2" t="s">
        <v>73</v>
      </c>
      <c r="H456" s="2" t="str">
        <f aca="false">IF(LEFT(B456,10)="Arsenal v ",MID(B456,11,100),LEFT(B456,FIND(" v ",B456)-1))</f>
        <v>Manchester United</v>
      </c>
      <c r="I456" s="2" t="str">
        <f aca="false">IF(F456&lt;&gt;"","N",IF(LEFT(B456,10)="Arsenal v ","H","A"))</f>
        <v>H</v>
      </c>
      <c r="J456" s="2"/>
    </row>
    <row r="457" customFormat="false" ht="15" hidden="false" customHeight="false" outlineLevel="0" collapsed="false">
      <c r="A457" s="3" t="n">
        <v>35484</v>
      </c>
      <c r="B457" s="2" t="s">
        <v>722</v>
      </c>
      <c r="C457" s="2" t="s">
        <v>704</v>
      </c>
      <c r="D457" s="2" t="s">
        <v>383</v>
      </c>
      <c r="E457" s="2" t="s">
        <v>356</v>
      </c>
      <c r="F457" s="2"/>
      <c r="G457" s="2" t="s">
        <v>73</v>
      </c>
      <c r="H457" s="2" t="str">
        <f aca="false">IF(LEFT(B457,10)="Arsenal v ",MID(B457,11,100),LEFT(B457,FIND(" v ",B457)-1))</f>
        <v>Wimbledon</v>
      </c>
      <c r="I457" s="2" t="str">
        <f aca="false">IF(F457&lt;&gt;"","N",IF(LEFT(B457,10)="Arsenal v ","H","A"))</f>
        <v>H</v>
      </c>
      <c r="J457" s="2"/>
    </row>
    <row r="458" customFormat="false" ht="15" hidden="false" customHeight="false" outlineLevel="0" collapsed="false">
      <c r="A458" s="3" t="n">
        <v>35490</v>
      </c>
      <c r="B458" s="2" t="s">
        <v>448</v>
      </c>
      <c r="C458" s="2" t="s">
        <v>702</v>
      </c>
      <c r="D458" s="2" t="s">
        <v>353</v>
      </c>
      <c r="E458" s="2" t="s">
        <v>356</v>
      </c>
      <c r="F458" s="2"/>
      <c r="G458" s="2" t="s">
        <v>73</v>
      </c>
      <c r="H458" s="2" t="str">
        <f aca="false">IF(LEFT(B458,10)="Arsenal v ",MID(B458,11,100),LEFT(B458,FIND(" v ",B458)-1))</f>
        <v>Everton</v>
      </c>
      <c r="I458" s="2" t="str">
        <f aca="false">IF(F458&lt;&gt;"","N",IF(LEFT(B458,10)="Arsenal v ","H","A"))</f>
        <v>A</v>
      </c>
      <c r="J458" s="2"/>
    </row>
    <row r="459" customFormat="false" ht="15" hidden="false" customHeight="false" outlineLevel="0" collapsed="false">
      <c r="A459" s="3" t="n">
        <v>35497</v>
      </c>
      <c r="B459" s="2" t="s">
        <v>716</v>
      </c>
      <c r="C459" s="2" t="s">
        <v>702</v>
      </c>
      <c r="D459" s="2" t="s">
        <v>351</v>
      </c>
      <c r="E459" s="2" t="s">
        <v>356</v>
      </c>
      <c r="F459" s="2"/>
      <c r="G459" s="2" t="s">
        <v>73</v>
      </c>
      <c r="H459" s="2" t="str">
        <f aca="false">IF(LEFT(B459,10)="Arsenal v ",MID(B459,11,100),LEFT(B459,FIND(" v ",B459)-1))</f>
        <v>Nottingham Forest</v>
      </c>
      <c r="I459" s="2" t="str">
        <f aca="false">IF(F459&lt;&gt;"","N",IF(LEFT(B459,10)="Arsenal v ","H","A"))</f>
        <v>H</v>
      </c>
      <c r="J459" s="2"/>
    </row>
    <row r="460" customFormat="false" ht="15" hidden="false" customHeight="false" outlineLevel="0" collapsed="false">
      <c r="A460" s="3" t="n">
        <v>35504</v>
      </c>
      <c r="B460" s="2" t="s">
        <v>546</v>
      </c>
      <c r="C460" s="2" t="s">
        <v>702</v>
      </c>
      <c r="D460" s="2" t="s">
        <v>353</v>
      </c>
      <c r="E460" s="2" t="s">
        <v>356</v>
      </c>
      <c r="F460" s="2"/>
      <c r="G460" s="2" t="s">
        <v>73</v>
      </c>
      <c r="H460" s="2" t="str">
        <f aca="false">IF(LEFT(B460,10)="Arsenal v ",MID(B460,11,100),LEFT(B460,FIND(" v ",B460)-1))</f>
        <v>Southampton</v>
      </c>
      <c r="I460" s="2" t="str">
        <f aca="false">IF(F460&lt;&gt;"","N",IF(LEFT(B460,10)="Arsenal v ","H","A"))</f>
        <v>A</v>
      </c>
      <c r="J460" s="2"/>
    </row>
    <row r="461" customFormat="false" ht="15" hidden="false" customHeight="false" outlineLevel="0" collapsed="false">
      <c r="A461" s="3" t="n">
        <v>35513</v>
      </c>
      <c r="B461" s="2" t="s">
        <v>710</v>
      </c>
      <c r="C461" s="2" t="s">
        <v>704</v>
      </c>
      <c r="D461" s="2" t="s">
        <v>360</v>
      </c>
      <c r="E461" s="2" t="s">
        <v>356</v>
      </c>
      <c r="F461" s="2"/>
      <c r="G461" s="2" t="s">
        <v>73</v>
      </c>
      <c r="H461" s="2" t="str">
        <f aca="false">IF(LEFT(B461,10)="Arsenal v ",MID(B461,11,100),LEFT(B461,FIND(" v ",B461)-1))</f>
        <v>Liverpool</v>
      </c>
      <c r="I461" s="2" t="str">
        <f aca="false">IF(F461&lt;&gt;"","N",IF(LEFT(B461,10)="Arsenal v ","H","A"))</f>
        <v>H</v>
      </c>
      <c r="J461" s="2"/>
    </row>
    <row r="462" customFormat="false" ht="15" hidden="false" customHeight="false" outlineLevel="0" collapsed="false">
      <c r="A462" s="3" t="n">
        <v>35525</v>
      </c>
      <c r="B462" s="2" t="s">
        <v>426</v>
      </c>
      <c r="C462" s="2" t="s">
        <v>702</v>
      </c>
      <c r="D462" s="2" t="s">
        <v>363</v>
      </c>
      <c r="E462" s="2" t="s">
        <v>356</v>
      </c>
      <c r="F462" s="2"/>
      <c r="G462" s="2" t="s">
        <v>73</v>
      </c>
      <c r="H462" s="2" t="str">
        <f aca="false">IF(LEFT(B462,10)="Arsenal v ",MID(B462,11,100),LEFT(B462,FIND(" v ",B462)-1))</f>
        <v>Chelsea</v>
      </c>
      <c r="I462" s="2" t="str">
        <f aca="false">IF(F462&lt;&gt;"","N",IF(LEFT(B462,10)="Arsenal v ","H","A"))</f>
        <v>A</v>
      </c>
      <c r="J462" s="2"/>
    </row>
    <row r="463" customFormat="false" ht="15" hidden="false" customHeight="false" outlineLevel="0" collapsed="false">
      <c r="A463" s="3" t="n">
        <v>35532</v>
      </c>
      <c r="B463" s="2" t="s">
        <v>733</v>
      </c>
      <c r="C463" s="2" t="s">
        <v>702</v>
      </c>
      <c r="D463" s="2" t="s">
        <v>351</v>
      </c>
      <c r="E463" s="2" t="s">
        <v>356</v>
      </c>
      <c r="F463" s="2"/>
      <c r="G463" s="2" t="s">
        <v>73</v>
      </c>
      <c r="H463" s="2" t="str">
        <f aca="false">IF(LEFT(B463,10)="Arsenal v ",MID(B463,11,100),LEFT(B463,FIND(" v ",B463)-1))</f>
        <v>Leicester City</v>
      </c>
      <c r="I463" s="2" t="str">
        <f aca="false">IF(F463&lt;&gt;"","N",IF(LEFT(B463,10)="Arsenal v ","H","A"))</f>
        <v>H</v>
      </c>
      <c r="J463" s="2"/>
    </row>
    <row r="464" customFormat="false" ht="15" hidden="false" customHeight="false" outlineLevel="0" collapsed="false">
      <c r="A464" s="3" t="n">
        <v>35539</v>
      </c>
      <c r="B464" s="2" t="s">
        <v>737</v>
      </c>
      <c r="C464" s="2" t="s">
        <v>706</v>
      </c>
      <c r="D464" s="2" t="s">
        <v>361</v>
      </c>
      <c r="E464" s="2" t="s">
        <v>356</v>
      </c>
      <c r="F464" s="2"/>
      <c r="G464" s="2" t="s">
        <v>73</v>
      </c>
      <c r="H464" s="2" t="str">
        <f aca="false">IF(LEFT(B464,10)="Arsenal v ",MID(B464,11,100),LEFT(B464,FIND(" v ",B464)-1))</f>
        <v>Blackburn Rovers</v>
      </c>
      <c r="I464" s="2" t="str">
        <f aca="false">IF(F464&lt;&gt;"","N",IF(LEFT(B464,10)="Arsenal v ","H","A"))</f>
        <v>H</v>
      </c>
      <c r="J464" s="2"/>
    </row>
    <row r="465" customFormat="false" ht="15" hidden="false" customHeight="false" outlineLevel="0" collapsed="false">
      <c r="A465" s="3" t="n">
        <v>35541</v>
      </c>
      <c r="B465" s="2" t="s">
        <v>431</v>
      </c>
      <c r="C465" s="2" t="s">
        <v>706</v>
      </c>
      <c r="D465" s="2" t="s">
        <v>361</v>
      </c>
      <c r="E465" s="2" t="s">
        <v>356</v>
      </c>
      <c r="F465" s="2"/>
      <c r="G465" s="2" t="s">
        <v>73</v>
      </c>
      <c r="H465" s="2" t="str">
        <f aca="false">IF(LEFT(B465,10)="Arsenal v ",MID(B465,11,100),LEFT(B465,FIND(" v ",B465)-1))</f>
        <v>Coventry City</v>
      </c>
      <c r="I465" s="2" t="str">
        <f aca="false">IF(F465&lt;&gt;"","N",IF(LEFT(B465,10)="Arsenal v ","H","A"))</f>
        <v>A</v>
      </c>
      <c r="J465" s="2"/>
    </row>
    <row r="466" customFormat="false" ht="15" hidden="false" customHeight="false" outlineLevel="0" collapsed="false">
      <c r="A466" s="3" t="n">
        <v>35553</v>
      </c>
      <c r="B466" s="2" t="s">
        <v>719</v>
      </c>
      <c r="C466" s="2" t="s">
        <v>704</v>
      </c>
      <c r="D466" s="2" t="s">
        <v>383</v>
      </c>
      <c r="E466" s="2" t="s">
        <v>356</v>
      </c>
      <c r="F466" s="2"/>
      <c r="G466" s="2" t="s">
        <v>73</v>
      </c>
      <c r="H466" s="2" t="str">
        <f aca="false">IF(LEFT(B466,10)="Arsenal v ",MID(B466,11,100),LEFT(B466,FIND(" v ",B466)-1))</f>
        <v>Newcastle United</v>
      </c>
      <c r="I466" s="2" t="str">
        <f aca="false">IF(F466&lt;&gt;"","N",IF(LEFT(B466,10)="Arsenal v ","H","A"))</f>
        <v>H</v>
      </c>
      <c r="J466" s="2"/>
    </row>
    <row r="467" customFormat="false" ht="15" hidden="false" customHeight="false" outlineLevel="0" collapsed="false">
      <c r="A467" s="3" t="n">
        <v>35561</v>
      </c>
      <c r="B467" s="2" t="s">
        <v>440</v>
      </c>
      <c r="C467" s="2" t="s">
        <v>702</v>
      </c>
      <c r="D467" s="2" t="s">
        <v>373</v>
      </c>
      <c r="E467" s="2" t="s">
        <v>356</v>
      </c>
      <c r="F467" s="2"/>
      <c r="G467" s="2" t="s">
        <v>73</v>
      </c>
      <c r="H467" s="2" t="str">
        <f aca="false">IF(LEFT(B467,10)="Arsenal v ",MID(B467,11,100),LEFT(B467,FIND(" v ",B467)-1))</f>
        <v>Derby County</v>
      </c>
      <c r="I467" s="2" t="str">
        <f aca="false">IF(F467&lt;&gt;"","N",IF(LEFT(B467,10)="Arsenal v ","H","A"))</f>
        <v>A</v>
      </c>
      <c r="J467" s="2"/>
    </row>
    <row r="468" customFormat="false" ht="15" hidden="false" customHeight="false" outlineLevel="0" collapsed="false">
      <c r="A468" s="3" t="n">
        <v>35651</v>
      </c>
      <c r="B468" s="2" t="s">
        <v>473</v>
      </c>
      <c r="C468" s="2" t="s">
        <v>706</v>
      </c>
      <c r="D468" s="2" t="s">
        <v>361</v>
      </c>
      <c r="E468" s="2" t="s">
        <v>356</v>
      </c>
      <c r="F468" s="2"/>
      <c r="G468" s="2" t="s">
        <v>232</v>
      </c>
      <c r="H468" s="2" t="str">
        <f aca="false">IF(LEFT(B468,10)="Arsenal v ",MID(B468,11,100),LEFT(B468,FIND(" v ",B468)-1))</f>
        <v>Leeds United</v>
      </c>
      <c r="I468" s="2" t="str">
        <f aca="false">IF(F468&lt;&gt;"","N",IF(LEFT(B468,10)="Arsenal v ","H","A"))</f>
        <v>A</v>
      </c>
      <c r="J468" s="2"/>
    </row>
    <row r="469" customFormat="false" ht="15" hidden="false" customHeight="false" outlineLevel="0" collapsed="false">
      <c r="A469" s="3" t="n">
        <v>35653</v>
      </c>
      <c r="B469" s="2" t="s">
        <v>709</v>
      </c>
      <c r="C469" s="2" t="s">
        <v>702</v>
      </c>
      <c r="D469" s="2" t="s">
        <v>351</v>
      </c>
      <c r="E469" s="2" t="s">
        <v>356</v>
      </c>
      <c r="F469" s="2"/>
      <c r="G469" s="2" t="s">
        <v>232</v>
      </c>
      <c r="H469" s="2" t="str">
        <f aca="false">IF(LEFT(B469,10)="Arsenal v ",MID(B469,11,100),LEFT(B469,FIND(" v ",B469)-1))</f>
        <v>Coventry City</v>
      </c>
      <c r="I469" s="2" t="str">
        <f aca="false">IF(F469&lt;&gt;"","N",IF(LEFT(B469,10)="Arsenal v ","H","A"))</f>
        <v>H</v>
      </c>
      <c r="J469" s="2"/>
    </row>
    <row r="470" customFormat="false" ht="15" hidden="false" customHeight="false" outlineLevel="0" collapsed="false">
      <c r="A470" s="3" t="n">
        <v>35665</v>
      </c>
      <c r="B470" s="2" t="s">
        <v>546</v>
      </c>
      <c r="C470" s="2" t="s">
        <v>702</v>
      </c>
      <c r="D470" s="2" t="s">
        <v>373</v>
      </c>
      <c r="E470" s="2" t="s">
        <v>356</v>
      </c>
      <c r="F470" s="2"/>
      <c r="G470" s="2" t="s">
        <v>232</v>
      </c>
      <c r="H470" s="2" t="str">
        <f aca="false">IF(LEFT(B470,10)="Arsenal v ",MID(B470,11,100),LEFT(B470,FIND(" v ",B470)-1))</f>
        <v>Southampton</v>
      </c>
      <c r="I470" s="2" t="str">
        <f aca="false">IF(F470&lt;&gt;"","N",IF(LEFT(B470,10)="Arsenal v ","H","A"))</f>
        <v>A</v>
      </c>
      <c r="J470" s="2"/>
    </row>
    <row r="471" customFormat="false" ht="15" hidden="false" customHeight="false" outlineLevel="0" collapsed="false">
      <c r="A471" s="3" t="n">
        <v>35669</v>
      </c>
      <c r="B471" s="2" t="s">
        <v>474</v>
      </c>
      <c r="C471" s="2" t="s">
        <v>706</v>
      </c>
      <c r="D471" s="2" t="s">
        <v>358</v>
      </c>
      <c r="E471" s="2" t="s">
        <v>356</v>
      </c>
      <c r="F471" s="2"/>
      <c r="G471" s="2" t="s">
        <v>232</v>
      </c>
      <c r="H471" s="2" t="str">
        <f aca="false">IF(LEFT(B471,10)="Arsenal v ",MID(B471,11,100),LEFT(B471,FIND(" v ",B471)-1))</f>
        <v>Leicester City</v>
      </c>
      <c r="I471" s="2" t="str">
        <f aca="false">IF(F471&lt;&gt;"","N",IF(LEFT(B471,10)="Arsenal v ","H","A"))</f>
        <v>A</v>
      </c>
      <c r="J471" s="2"/>
    </row>
    <row r="472" customFormat="false" ht="15" hidden="false" customHeight="false" outlineLevel="0" collapsed="false">
      <c r="A472" s="3" t="n">
        <v>35672</v>
      </c>
      <c r="B472" s="2" t="s">
        <v>655</v>
      </c>
      <c r="C472" s="2" t="s">
        <v>706</v>
      </c>
      <c r="D472" s="2" t="s">
        <v>369</v>
      </c>
      <c r="E472" s="2" t="s">
        <v>356</v>
      </c>
      <c r="F472" s="2"/>
      <c r="G472" s="2" t="s">
        <v>232</v>
      </c>
      <c r="H472" s="2" t="str">
        <f aca="false">IF(LEFT(B472,10)="Arsenal v ",MID(B472,11,100),LEFT(B472,FIND(" v ",B472)-1))</f>
        <v>Tottenham Hotspur</v>
      </c>
      <c r="I472" s="2" t="str">
        <f aca="false">IF(F472&lt;&gt;"","N",IF(LEFT(B472,10)="Arsenal v ","H","A"))</f>
        <v>H</v>
      </c>
      <c r="J472" s="2"/>
    </row>
    <row r="473" customFormat="false" ht="15" hidden="false" customHeight="false" outlineLevel="0" collapsed="false">
      <c r="A473" s="3" t="n">
        <v>35686</v>
      </c>
      <c r="B473" s="2" t="s">
        <v>743</v>
      </c>
      <c r="C473" s="2" t="s">
        <v>702</v>
      </c>
      <c r="D473" s="2" t="s">
        <v>397</v>
      </c>
      <c r="E473" s="2" t="s">
        <v>356</v>
      </c>
      <c r="F473" s="2"/>
      <c r="G473" s="2" t="s">
        <v>232</v>
      </c>
      <c r="H473" s="2" t="str">
        <f aca="false">IF(LEFT(B473,10)="Arsenal v ",MID(B473,11,100),LEFT(B473,FIND(" v ",B473)-1))</f>
        <v>Bolton Wanderers</v>
      </c>
      <c r="I473" s="2" t="str">
        <f aca="false">IF(F473&lt;&gt;"","N",IF(LEFT(B473,10)="Arsenal v ","H","A"))</f>
        <v>H</v>
      </c>
      <c r="J473" s="2"/>
    </row>
    <row r="474" customFormat="false" ht="15" hidden="false" customHeight="false" outlineLevel="0" collapsed="false">
      <c r="A474" s="3" t="n">
        <v>35689</v>
      </c>
      <c r="B474" s="2" t="s">
        <v>513</v>
      </c>
      <c r="C474" s="2" t="s">
        <v>704</v>
      </c>
      <c r="D474" s="2" t="s">
        <v>348</v>
      </c>
      <c r="E474" s="2" t="s">
        <v>412</v>
      </c>
      <c r="F474" s="2"/>
      <c r="G474" s="2" t="s">
        <v>232</v>
      </c>
      <c r="H474" s="2" t="str">
        <f aca="false">IF(LEFT(B474,10)="Arsenal v ",MID(B474,11,100),LEFT(B474,FIND(" v ",B474)-1))</f>
        <v>PAOK Salonika</v>
      </c>
      <c r="I474" s="2" t="str">
        <f aca="false">IF(F474&lt;&gt;"","N",IF(LEFT(B474,10)="Arsenal v ","H","A"))</f>
        <v>A</v>
      </c>
      <c r="J474" s="2"/>
    </row>
    <row r="475" customFormat="false" ht="15" hidden="false" customHeight="false" outlineLevel="0" collapsed="false">
      <c r="A475" s="3" t="n">
        <v>35694</v>
      </c>
      <c r="B475" s="2" t="s">
        <v>426</v>
      </c>
      <c r="C475" s="2" t="s">
        <v>702</v>
      </c>
      <c r="D475" s="2" t="s">
        <v>366</v>
      </c>
      <c r="E475" s="2" t="s">
        <v>356</v>
      </c>
      <c r="F475" s="2"/>
      <c r="G475" s="2" t="s">
        <v>232</v>
      </c>
      <c r="H475" s="2" t="str">
        <f aca="false">IF(LEFT(B475,10)="Arsenal v ",MID(B475,11,100),LEFT(B475,FIND(" v ",B475)-1))</f>
        <v>Chelsea</v>
      </c>
      <c r="I475" s="2" t="str">
        <f aca="false">IF(F475&lt;&gt;"","N",IF(LEFT(B475,10)="Arsenal v ","H","A"))</f>
        <v>A</v>
      </c>
      <c r="J475" s="2"/>
    </row>
    <row r="476" customFormat="false" ht="15" hidden="false" customHeight="false" outlineLevel="0" collapsed="false">
      <c r="A476" s="3" t="n">
        <v>35697</v>
      </c>
      <c r="B476" s="2" t="s">
        <v>712</v>
      </c>
      <c r="C476" s="2" t="s">
        <v>702</v>
      </c>
      <c r="D476" s="2" t="s">
        <v>354</v>
      </c>
      <c r="E476" s="2" t="s">
        <v>356</v>
      </c>
      <c r="F476" s="2"/>
      <c r="G476" s="2" t="s">
        <v>232</v>
      </c>
      <c r="H476" s="2" t="str">
        <f aca="false">IF(LEFT(B476,10)="Arsenal v ",MID(B476,11,100),LEFT(B476,FIND(" v ",B476)-1))</f>
        <v>West Ham United</v>
      </c>
      <c r="I476" s="2" t="str">
        <f aca="false">IF(F476&lt;&gt;"","N",IF(LEFT(B476,10)="Arsenal v ","H","A"))</f>
        <v>H</v>
      </c>
      <c r="J476" s="2"/>
    </row>
    <row r="477" customFormat="false" ht="15" hidden="false" customHeight="false" outlineLevel="0" collapsed="false">
      <c r="A477" s="3" t="n">
        <v>35700</v>
      </c>
      <c r="B477" s="2" t="s">
        <v>448</v>
      </c>
      <c r="C477" s="2" t="s">
        <v>706</v>
      </c>
      <c r="D477" s="2" t="s">
        <v>380</v>
      </c>
      <c r="E477" s="2" t="s">
        <v>356</v>
      </c>
      <c r="F477" s="2"/>
      <c r="G477" s="2" t="s">
        <v>232</v>
      </c>
      <c r="H477" s="2" t="str">
        <f aca="false">IF(LEFT(B477,10)="Arsenal v ",MID(B477,11,100),LEFT(B477,FIND(" v ",B477)-1))</f>
        <v>Everton</v>
      </c>
      <c r="I477" s="2" t="str">
        <f aca="false">IF(F477&lt;&gt;"","N",IF(LEFT(B477,10)="Arsenal v ","H","A"))</f>
        <v>A</v>
      </c>
      <c r="J477" s="2"/>
    </row>
    <row r="478" customFormat="false" ht="15" hidden="false" customHeight="false" outlineLevel="0" collapsed="false">
      <c r="A478" s="3" t="n">
        <v>35703</v>
      </c>
      <c r="B478" s="2" t="s">
        <v>758</v>
      </c>
      <c r="C478" s="2" t="s">
        <v>706</v>
      </c>
      <c r="D478" s="2" t="s">
        <v>361</v>
      </c>
      <c r="E478" s="2" t="s">
        <v>412</v>
      </c>
      <c r="F478" s="2"/>
      <c r="G478" s="2" t="s">
        <v>232</v>
      </c>
      <c r="H478" s="2" t="str">
        <f aca="false">IF(LEFT(B478,10)="Arsenal v ",MID(B478,11,100),LEFT(B478,FIND(" v ",B478)-1))</f>
        <v>PAOK Salonika</v>
      </c>
      <c r="I478" s="2" t="str">
        <f aca="false">IF(F478&lt;&gt;"","N",IF(LEFT(B478,10)="Arsenal v ","H","A"))</f>
        <v>H</v>
      </c>
      <c r="J478" s="2"/>
    </row>
    <row r="479" customFormat="false" ht="15" hidden="false" customHeight="false" outlineLevel="0" collapsed="false">
      <c r="A479" s="3" t="n">
        <v>35707</v>
      </c>
      <c r="B479" s="2" t="s">
        <v>759</v>
      </c>
      <c r="C479" s="2" t="s">
        <v>702</v>
      </c>
      <c r="D479" s="2" t="s">
        <v>489</v>
      </c>
      <c r="E479" s="2" t="s">
        <v>356</v>
      </c>
      <c r="F479" s="2"/>
      <c r="G479" s="2" t="s">
        <v>232</v>
      </c>
      <c r="H479" s="2" t="str">
        <f aca="false">IF(LEFT(B479,10)="Arsenal v ",MID(B479,11,100),LEFT(B479,FIND(" v ",B479)-1))</f>
        <v>Barnsley</v>
      </c>
      <c r="I479" s="2" t="str">
        <f aca="false">IF(F479&lt;&gt;"","N",IF(LEFT(B479,10)="Arsenal v ","H","A"))</f>
        <v>H</v>
      </c>
      <c r="J479" s="2"/>
    </row>
    <row r="480" customFormat="false" ht="15" hidden="false" customHeight="false" outlineLevel="0" collapsed="false">
      <c r="A480" s="3" t="n">
        <v>35717</v>
      </c>
      <c r="B480" s="2" t="s">
        <v>760</v>
      </c>
      <c r="C480" s="2" t="s">
        <v>702</v>
      </c>
      <c r="D480" s="2" t="s">
        <v>397</v>
      </c>
      <c r="E480" s="2" t="s">
        <v>379</v>
      </c>
      <c r="F480" s="2"/>
      <c r="G480" s="2" t="s">
        <v>232</v>
      </c>
      <c r="H480" s="2" t="str">
        <f aca="false">IF(LEFT(B480,10)="Arsenal v ",MID(B480,11,100),LEFT(B480,FIND(" v ",B480)-1))</f>
        <v>Birmingham City</v>
      </c>
      <c r="I480" s="2" t="str">
        <f aca="false">IF(F480&lt;&gt;"","N",IF(LEFT(B480,10)="Arsenal v ","H","A"))</f>
        <v>H</v>
      </c>
      <c r="J480" s="2"/>
    </row>
    <row r="481" customFormat="false" ht="15" hidden="false" customHeight="false" outlineLevel="0" collapsed="false">
      <c r="A481" s="3" t="n">
        <v>35721</v>
      </c>
      <c r="B481" s="2" t="s">
        <v>433</v>
      </c>
      <c r="C481" s="2" t="s">
        <v>706</v>
      </c>
      <c r="D481" s="2" t="s">
        <v>369</v>
      </c>
      <c r="E481" s="2" t="s">
        <v>356</v>
      </c>
      <c r="F481" s="2"/>
      <c r="G481" s="2" t="s">
        <v>232</v>
      </c>
      <c r="H481" s="2" t="str">
        <f aca="false">IF(LEFT(B481,10)="Arsenal v ",MID(B481,11,100),LEFT(B481,FIND(" v ",B481)-1))</f>
        <v>Crystal Palace</v>
      </c>
      <c r="I481" s="2" t="str">
        <f aca="false">IF(F481&lt;&gt;"","N",IF(LEFT(B481,10)="Arsenal v ","H","A"))</f>
        <v>A</v>
      </c>
      <c r="J481" s="2"/>
    </row>
    <row r="482" customFormat="false" ht="15" hidden="false" customHeight="false" outlineLevel="0" collapsed="false">
      <c r="A482" s="3" t="n">
        <v>35729</v>
      </c>
      <c r="B482" s="2" t="s">
        <v>703</v>
      </c>
      <c r="C482" s="2" t="s">
        <v>706</v>
      </c>
      <c r="D482" s="2" t="s">
        <v>369</v>
      </c>
      <c r="E482" s="2" t="s">
        <v>356</v>
      </c>
      <c r="F482" s="2"/>
      <c r="G482" s="2" t="s">
        <v>232</v>
      </c>
      <c r="H482" s="2" t="str">
        <f aca="false">IF(LEFT(B482,10)="Arsenal v ",MID(B482,11,100),LEFT(B482,FIND(" v ",B482)-1))</f>
        <v>Aston Villa</v>
      </c>
      <c r="I482" s="2" t="str">
        <f aca="false">IF(F482&lt;&gt;"","N",IF(LEFT(B482,10)="Arsenal v ","H","A"))</f>
        <v>H</v>
      </c>
      <c r="J482" s="2"/>
    </row>
    <row r="483" customFormat="false" ht="15" hidden="false" customHeight="false" outlineLevel="0" collapsed="false">
      <c r="A483" s="3" t="n">
        <v>35735</v>
      </c>
      <c r="B483" s="2" t="s">
        <v>440</v>
      </c>
      <c r="C483" s="2" t="s">
        <v>704</v>
      </c>
      <c r="D483" s="2" t="s">
        <v>434</v>
      </c>
      <c r="E483" s="2" t="s">
        <v>356</v>
      </c>
      <c r="F483" s="2"/>
      <c r="G483" s="2" t="s">
        <v>232</v>
      </c>
      <c r="H483" s="2" t="str">
        <f aca="false">IF(LEFT(B483,10)="Arsenal v ",MID(B483,11,100),LEFT(B483,FIND(" v ",B483)-1))</f>
        <v>Derby County</v>
      </c>
      <c r="I483" s="2" t="str">
        <f aca="false">IF(F483&lt;&gt;"","N",IF(LEFT(B483,10)="Arsenal v ","H","A"))</f>
        <v>A</v>
      </c>
      <c r="J483" s="2"/>
    </row>
    <row r="484" customFormat="false" ht="15" hidden="false" customHeight="false" outlineLevel="0" collapsed="false">
      <c r="A484" s="3" t="n">
        <v>35743</v>
      </c>
      <c r="B484" s="2" t="s">
        <v>656</v>
      </c>
      <c r="C484" s="2" t="s">
        <v>702</v>
      </c>
      <c r="D484" s="2" t="s">
        <v>382</v>
      </c>
      <c r="E484" s="2" t="s">
        <v>356</v>
      </c>
      <c r="F484" s="2"/>
      <c r="G484" s="2" t="s">
        <v>232</v>
      </c>
      <c r="H484" s="2" t="str">
        <f aca="false">IF(LEFT(B484,10)="Arsenal v ",MID(B484,11,100),LEFT(B484,FIND(" v ",B484)-1))</f>
        <v>Manchester United</v>
      </c>
      <c r="I484" s="2" t="str">
        <f aca="false">IF(F484&lt;&gt;"","N",IF(LEFT(B484,10)="Arsenal v ","H","A"))</f>
        <v>H</v>
      </c>
      <c r="J484" s="2"/>
    </row>
    <row r="485" customFormat="false" ht="15" hidden="false" customHeight="false" outlineLevel="0" collapsed="false">
      <c r="A485" s="3" t="n">
        <v>35752</v>
      </c>
      <c r="B485" s="2" t="s">
        <v>709</v>
      </c>
      <c r="C485" s="2" t="s">
        <v>702</v>
      </c>
      <c r="D485" s="2" t="s">
        <v>348</v>
      </c>
      <c r="E485" s="2" t="s">
        <v>379</v>
      </c>
      <c r="F485" s="2"/>
      <c r="G485" s="2" t="s">
        <v>232</v>
      </c>
      <c r="H485" s="2" t="str">
        <f aca="false">IF(LEFT(B485,10)="Arsenal v ",MID(B485,11,100),LEFT(B485,FIND(" v ",B485)-1))</f>
        <v>Coventry City</v>
      </c>
      <c r="I485" s="2" t="str">
        <f aca="false">IF(F485&lt;&gt;"","N",IF(LEFT(B485,10)="Arsenal v ","H","A"))</f>
        <v>H</v>
      </c>
      <c r="J485" s="2"/>
    </row>
    <row r="486" customFormat="false" ht="15" hidden="false" customHeight="false" outlineLevel="0" collapsed="false">
      <c r="A486" s="3" t="n">
        <v>35756</v>
      </c>
      <c r="B486" s="2" t="s">
        <v>543</v>
      </c>
      <c r="C486" s="2" t="s">
        <v>704</v>
      </c>
      <c r="D486" s="2" t="s">
        <v>351</v>
      </c>
      <c r="E486" s="2" t="s">
        <v>356</v>
      </c>
      <c r="F486" s="2"/>
      <c r="G486" s="2" t="s">
        <v>232</v>
      </c>
      <c r="H486" s="2" t="str">
        <f aca="false">IF(LEFT(B486,10)="Arsenal v ",MID(B486,11,100),LEFT(B486,FIND(" v ",B486)-1))</f>
        <v>Sheffield Wednesday</v>
      </c>
      <c r="I486" s="2" t="str">
        <f aca="false">IF(F486&lt;&gt;"","N",IF(LEFT(B486,10)="Arsenal v ","H","A"))</f>
        <v>A</v>
      </c>
      <c r="J486" s="2"/>
    </row>
    <row r="487" customFormat="false" ht="15" hidden="false" customHeight="false" outlineLevel="0" collapsed="false">
      <c r="A487" s="3" t="n">
        <v>35764</v>
      </c>
      <c r="B487" s="2" t="s">
        <v>710</v>
      </c>
      <c r="C487" s="2" t="s">
        <v>704</v>
      </c>
      <c r="D487" s="2" t="s">
        <v>383</v>
      </c>
      <c r="E487" s="2" t="s">
        <v>356</v>
      </c>
      <c r="F487" s="2"/>
      <c r="G487" s="2" t="s">
        <v>232</v>
      </c>
      <c r="H487" s="2" t="str">
        <f aca="false">IF(LEFT(B487,10)="Arsenal v ",MID(B487,11,100),LEFT(B487,FIND(" v ",B487)-1))</f>
        <v>Liverpool</v>
      </c>
      <c r="I487" s="2" t="str">
        <f aca="false">IF(F487&lt;&gt;"","N",IF(LEFT(B487,10)="Arsenal v ","H","A"))</f>
        <v>H</v>
      </c>
      <c r="J487" s="2"/>
    </row>
    <row r="488" customFormat="false" ht="15" hidden="false" customHeight="false" outlineLevel="0" collapsed="false">
      <c r="A488" s="3" t="n">
        <v>35770</v>
      </c>
      <c r="B488" s="2" t="s">
        <v>501</v>
      </c>
      <c r="C488" s="2" t="s">
        <v>702</v>
      </c>
      <c r="D488" s="2" t="s">
        <v>383</v>
      </c>
      <c r="E488" s="2" t="s">
        <v>356</v>
      </c>
      <c r="F488" s="2"/>
      <c r="G488" s="2" t="s">
        <v>232</v>
      </c>
      <c r="H488" s="2" t="str">
        <f aca="false">IF(LEFT(B488,10)="Arsenal v ",MID(B488,11,100),LEFT(B488,FIND(" v ",B488)-1))</f>
        <v>Newcastle United</v>
      </c>
      <c r="I488" s="2" t="str">
        <f aca="false">IF(F488&lt;&gt;"","N",IF(LEFT(B488,10)="Arsenal v ","H","A"))</f>
        <v>A</v>
      </c>
      <c r="J488" s="2"/>
    </row>
    <row r="489" customFormat="false" ht="15" hidden="false" customHeight="false" outlineLevel="0" collapsed="false">
      <c r="A489" s="3" t="n">
        <v>35777</v>
      </c>
      <c r="B489" s="2" t="s">
        <v>737</v>
      </c>
      <c r="C489" s="2" t="s">
        <v>704</v>
      </c>
      <c r="D489" s="2" t="s">
        <v>373</v>
      </c>
      <c r="E489" s="2" t="s">
        <v>356</v>
      </c>
      <c r="F489" s="2"/>
      <c r="G489" s="2" t="s">
        <v>232</v>
      </c>
      <c r="H489" s="2" t="str">
        <f aca="false">IF(LEFT(B489,10)="Arsenal v ",MID(B489,11,100),LEFT(B489,FIND(" v ",B489)-1))</f>
        <v>Blackburn Rovers</v>
      </c>
      <c r="I489" s="2" t="str">
        <f aca="false">IF(F489&lt;&gt;"","N",IF(LEFT(B489,10)="Arsenal v ","H","A"))</f>
        <v>H</v>
      </c>
      <c r="J489" s="2"/>
    </row>
    <row r="490" customFormat="false" ht="15" hidden="false" customHeight="false" outlineLevel="0" collapsed="false">
      <c r="A490" s="3" t="n">
        <v>35790</v>
      </c>
      <c r="B490" s="2" t="s">
        <v>733</v>
      </c>
      <c r="C490" s="2" t="s">
        <v>702</v>
      </c>
      <c r="D490" s="2" t="s">
        <v>359</v>
      </c>
      <c r="E490" s="2" t="s">
        <v>356</v>
      </c>
      <c r="F490" s="2"/>
      <c r="G490" s="2" t="s">
        <v>232</v>
      </c>
      <c r="H490" s="2" t="str">
        <f aca="false">IF(LEFT(B490,10)="Arsenal v ",MID(B490,11,100),LEFT(B490,FIND(" v ",B490)-1))</f>
        <v>Leicester City</v>
      </c>
      <c r="I490" s="2" t="str">
        <f aca="false">IF(F490&lt;&gt;"","N",IF(LEFT(B490,10)="Arsenal v ","H","A"))</f>
        <v>H</v>
      </c>
      <c r="J490" s="2"/>
    </row>
    <row r="491" customFormat="false" ht="15" hidden="false" customHeight="false" outlineLevel="0" collapsed="false">
      <c r="A491" s="3" t="n">
        <v>35792</v>
      </c>
      <c r="B491" s="2" t="s">
        <v>561</v>
      </c>
      <c r="C491" s="2" t="s">
        <v>706</v>
      </c>
      <c r="D491" s="2" t="s">
        <v>361</v>
      </c>
      <c r="E491" s="2" t="s">
        <v>356</v>
      </c>
      <c r="F491" s="2"/>
      <c r="G491" s="2" t="s">
        <v>232</v>
      </c>
      <c r="H491" s="2" t="str">
        <f aca="false">IF(LEFT(B491,10)="Arsenal v ",MID(B491,11,100),LEFT(B491,FIND(" v ",B491)-1))</f>
        <v>Tottenham Hotspur</v>
      </c>
      <c r="I491" s="2" t="str">
        <f aca="false">IF(F491&lt;&gt;"","N",IF(LEFT(B491,10)="Arsenal v ","H","A"))</f>
        <v>A</v>
      </c>
      <c r="J491" s="2"/>
    </row>
    <row r="492" customFormat="false" ht="15" hidden="false" customHeight="false" outlineLevel="0" collapsed="false">
      <c r="A492" s="3" t="n">
        <v>35798</v>
      </c>
      <c r="B492" s="2" t="s">
        <v>761</v>
      </c>
      <c r="C492" s="2" t="s">
        <v>706</v>
      </c>
      <c r="D492" s="2" t="s">
        <v>369</v>
      </c>
      <c r="E492" s="2" t="s">
        <v>362</v>
      </c>
      <c r="F492" s="2"/>
      <c r="G492" s="2" t="s">
        <v>232</v>
      </c>
      <c r="H492" s="2" t="str">
        <f aca="false">IF(LEFT(B492,10)="Arsenal v ",MID(B492,11,100),LEFT(B492,FIND(" v ",B492)-1))</f>
        <v>Port Vale</v>
      </c>
      <c r="I492" s="2" t="str">
        <f aca="false">IF(F492&lt;&gt;"","N",IF(LEFT(B492,10)="Arsenal v ","H","A"))</f>
        <v>H</v>
      </c>
      <c r="J492" s="2"/>
    </row>
    <row r="493" customFormat="false" ht="15" hidden="false" customHeight="false" outlineLevel="0" collapsed="false">
      <c r="A493" s="3" t="n">
        <v>35801</v>
      </c>
      <c r="B493" s="2" t="s">
        <v>572</v>
      </c>
      <c r="C493" s="2" t="s">
        <v>702</v>
      </c>
      <c r="D493" s="2" t="s">
        <v>360</v>
      </c>
      <c r="E493" s="2" t="s">
        <v>379</v>
      </c>
      <c r="F493" s="2"/>
      <c r="G493" s="2" t="s">
        <v>232</v>
      </c>
      <c r="H493" s="2" t="str">
        <f aca="false">IF(LEFT(B493,10)="Arsenal v ",MID(B493,11,100),LEFT(B493,FIND(" v ",B493)-1))</f>
        <v>West Ham United</v>
      </c>
      <c r="I493" s="2" t="str">
        <f aca="false">IF(F493&lt;&gt;"","N",IF(LEFT(B493,10)="Arsenal v ","H","A"))</f>
        <v>A</v>
      </c>
      <c r="J493" s="2"/>
    </row>
    <row r="494" customFormat="false" ht="15" hidden="false" customHeight="false" outlineLevel="0" collapsed="false">
      <c r="A494" s="3" t="n">
        <v>35805</v>
      </c>
      <c r="B494" s="2" t="s">
        <v>729</v>
      </c>
      <c r="C494" s="2" t="s">
        <v>702</v>
      </c>
      <c r="D494" s="2" t="s">
        <v>359</v>
      </c>
      <c r="E494" s="2" t="s">
        <v>356</v>
      </c>
      <c r="F494" s="2"/>
      <c r="G494" s="2" t="s">
        <v>232</v>
      </c>
      <c r="H494" s="2" t="str">
        <f aca="false">IF(LEFT(B494,10)="Arsenal v ",MID(B494,11,100),LEFT(B494,FIND(" v ",B494)-1))</f>
        <v>Leeds United</v>
      </c>
      <c r="I494" s="2" t="str">
        <f aca="false">IF(F494&lt;&gt;"","N",IF(LEFT(B494,10)="Arsenal v ","H","A"))</f>
        <v>H</v>
      </c>
      <c r="J494" s="2"/>
    </row>
    <row r="495" customFormat="false" ht="15" hidden="false" customHeight="false" outlineLevel="0" collapsed="false">
      <c r="A495" s="3" t="n">
        <v>35809</v>
      </c>
      <c r="B495" s="2" t="s">
        <v>518</v>
      </c>
      <c r="C495" s="2" t="s">
        <v>702</v>
      </c>
      <c r="D495" s="2" t="s">
        <v>519</v>
      </c>
      <c r="E495" s="2" t="s">
        <v>362</v>
      </c>
      <c r="F495" s="2"/>
      <c r="G495" s="2" t="s">
        <v>232</v>
      </c>
      <c r="H495" s="2" t="str">
        <f aca="false">IF(LEFT(B495,10)="Arsenal v ",MID(B495,11,100),LEFT(B495,FIND(" v ",B495)-1))</f>
        <v>Port Vale</v>
      </c>
      <c r="I495" s="2" t="str">
        <f aca="false">IF(F495&lt;&gt;"","N",IF(LEFT(B495,10)="Arsenal v ","H","A"))</f>
        <v>A</v>
      </c>
      <c r="J495" s="2"/>
    </row>
    <row r="496" customFormat="false" ht="15" hidden="false" customHeight="false" outlineLevel="0" collapsed="false">
      <c r="A496" s="3" t="n">
        <v>35812</v>
      </c>
      <c r="B496" s="2" t="s">
        <v>431</v>
      </c>
      <c r="C496" s="2" t="s">
        <v>706</v>
      </c>
      <c r="D496" s="2" t="s">
        <v>380</v>
      </c>
      <c r="E496" s="2" t="s">
        <v>356</v>
      </c>
      <c r="F496" s="2"/>
      <c r="G496" s="2" t="s">
        <v>232</v>
      </c>
      <c r="H496" s="2" t="str">
        <f aca="false">IF(LEFT(B496,10)="Arsenal v ",MID(B496,11,100),LEFT(B496,FIND(" v ",B496)-1))</f>
        <v>Coventry City</v>
      </c>
      <c r="I496" s="2" t="str">
        <f aca="false">IF(F496&lt;&gt;"","N",IF(LEFT(B496,10)="Arsenal v ","H","A"))</f>
        <v>A</v>
      </c>
      <c r="J496" s="2"/>
    </row>
    <row r="497" customFormat="false" ht="15" hidden="false" customHeight="false" outlineLevel="0" collapsed="false">
      <c r="A497" s="3" t="n">
        <v>35819</v>
      </c>
      <c r="B497" s="2" t="s">
        <v>494</v>
      </c>
      <c r="C497" s="2" t="s">
        <v>702</v>
      </c>
      <c r="D497" s="2" t="s">
        <v>360</v>
      </c>
      <c r="E497" s="2" t="s">
        <v>362</v>
      </c>
      <c r="F497" s="2"/>
      <c r="G497" s="2" t="s">
        <v>232</v>
      </c>
      <c r="H497" s="2" t="str">
        <f aca="false">IF(LEFT(B497,10)="Arsenal v ",MID(B497,11,100),LEFT(B497,FIND(" v ",B497)-1))</f>
        <v>Middlesbrough</v>
      </c>
      <c r="I497" s="2" t="str">
        <f aca="false">IF(F497&lt;&gt;"","N",IF(LEFT(B497,10)="Arsenal v ","H","A"))</f>
        <v>A</v>
      </c>
      <c r="J497" s="2"/>
    </row>
    <row r="498" customFormat="false" ht="15" hidden="false" customHeight="false" outlineLevel="0" collapsed="false">
      <c r="A498" s="3" t="n">
        <v>35823</v>
      </c>
      <c r="B498" s="2" t="s">
        <v>725</v>
      </c>
      <c r="C498" s="2" t="s">
        <v>702</v>
      </c>
      <c r="D498" s="2" t="s">
        <v>359</v>
      </c>
      <c r="E498" s="2" t="s">
        <v>379</v>
      </c>
      <c r="F498" s="2"/>
      <c r="G498" s="2" t="s">
        <v>232</v>
      </c>
      <c r="H498" s="2" t="str">
        <f aca="false">IF(LEFT(B498,10)="Arsenal v ",MID(B498,11,100),LEFT(B498,FIND(" v ",B498)-1))</f>
        <v>Chelsea</v>
      </c>
      <c r="I498" s="2" t="str">
        <f aca="false">IF(F498&lt;&gt;"","N",IF(LEFT(B498,10)="Arsenal v ","H","A"))</f>
        <v>H</v>
      </c>
      <c r="J498" s="2"/>
    </row>
    <row r="499" customFormat="false" ht="15" hidden="false" customHeight="false" outlineLevel="0" collapsed="false">
      <c r="A499" s="3" t="n">
        <v>35826</v>
      </c>
      <c r="B499" s="2" t="s">
        <v>705</v>
      </c>
      <c r="C499" s="2" t="s">
        <v>702</v>
      </c>
      <c r="D499" s="2" t="s">
        <v>434</v>
      </c>
      <c r="E499" s="2" t="s">
        <v>356</v>
      </c>
      <c r="F499" s="2"/>
      <c r="G499" s="2" t="s">
        <v>232</v>
      </c>
      <c r="H499" s="2" t="str">
        <f aca="false">IF(LEFT(B499,10)="Arsenal v ",MID(B499,11,100),LEFT(B499,FIND(" v ",B499)-1))</f>
        <v>Southampton</v>
      </c>
      <c r="I499" s="2" t="str">
        <f aca="false">IF(F499&lt;&gt;"","N",IF(LEFT(B499,10)="Arsenal v ","H","A"))</f>
        <v>H</v>
      </c>
      <c r="J499" s="2"/>
    </row>
    <row r="500" customFormat="false" ht="15" hidden="false" customHeight="false" outlineLevel="0" collapsed="false">
      <c r="A500" s="3" t="n">
        <v>35834</v>
      </c>
      <c r="B500" s="2" t="s">
        <v>725</v>
      </c>
      <c r="C500" s="2" t="s">
        <v>702</v>
      </c>
      <c r="D500" s="2" t="s">
        <v>351</v>
      </c>
      <c r="E500" s="2" t="s">
        <v>356</v>
      </c>
      <c r="F500" s="2"/>
      <c r="G500" s="2" t="s">
        <v>232</v>
      </c>
      <c r="H500" s="2" t="str">
        <f aca="false">IF(LEFT(B500,10)="Arsenal v ",MID(B500,11,100),LEFT(B500,FIND(" v ",B500)-1))</f>
        <v>Chelsea</v>
      </c>
      <c r="I500" s="2" t="str">
        <f aca="false">IF(F500&lt;&gt;"","N",IF(LEFT(B500,10)="Arsenal v ","H","A"))</f>
        <v>H</v>
      </c>
      <c r="J500" s="2"/>
    </row>
    <row r="501" customFormat="false" ht="15" hidden="false" customHeight="false" outlineLevel="0" collapsed="false">
      <c r="A501" s="3" t="n">
        <v>35841</v>
      </c>
      <c r="B501" s="2" t="s">
        <v>724</v>
      </c>
      <c r="C501" s="2" t="s">
        <v>706</v>
      </c>
      <c r="D501" s="2" t="s">
        <v>369</v>
      </c>
      <c r="E501" s="2" t="s">
        <v>362</v>
      </c>
      <c r="F501" s="2"/>
      <c r="G501" s="2" t="s">
        <v>232</v>
      </c>
      <c r="H501" s="2" t="str">
        <f aca="false">IF(LEFT(B501,10)="Arsenal v ",MID(B501,11,100),LEFT(B501,FIND(" v ",B501)-1))</f>
        <v>Crystal Palace</v>
      </c>
      <c r="I501" s="2" t="str">
        <f aca="false">IF(F501&lt;&gt;"","N",IF(LEFT(B501,10)="Arsenal v ","H","A"))</f>
        <v>H</v>
      </c>
      <c r="J501" s="2"/>
    </row>
    <row r="502" customFormat="false" ht="15" hidden="false" customHeight="false" outlineLevel="0" collapsed="false">
      <c r="A502" s="3" t="n">
        <v>35844</v>
      </c>
      <c r="B502" s="2" t="s">
        <v>426</v>
      </c>
      <c r="C502" s="2" t="s">
        <v>704</v>
      </c>
      <c r="D502" s="2" t="s">
        <v>377</v>
      </c>
      <c r="E502" s="2" t="s">
        <v>379</v>
      </c>
      <c r="F502" s="2"/>
      <c r="G502" s="2" t="s">
        <v>232</v>
      </c>
      <c r="H502" s="2" t="str">
        <f aca="false">IF(LEFT(B502,10)="Arsenal v ",MID(B502,11,100),LEFT(B502,FIND(" v ",B502)-1))</f>
        <v>Chelsea</v>
      </c>
      <c r="I502" s="2" t="str">
        <f aca="false">IF(F502&lt;&gt;"","N",IF(LEFT(B502,10)="Arsenal v ","H","A"))</f>
        <v>A</v>
      </c>
      <c r="J502" s="2"/>
    </row>
    <row r="503" customFormat="false" ht="15" hidden="false" customHeight="false" outlineLevel="0" collapsed="false">
      <c r="A503" s="3" t="n">
        <v>35847</v>
      </c>
      <c r="B503" s="2" t="s">
        <v>724</v>
      </c>
      <c r="C503" s="2" t="s">
        <v>702</v>
      </c>
      <c r="D503" s="2" t="s">
        <v>348</v>
      </c>
      <c r="E503" s="2" t="s">
        <v>356</v>
      </c>
      <c r="F503" s="2"/>
      <c r="G503" s="2" t="s">
        <v>232</v>
      </c>
      <c r="H503" s="2" t="str">
        <f aca="false">IF(LEFT(B503,10)="Arsenal v ",MID(B503,11,100),LEFT(B503,FIND(" v ",B503)-1))</f>
        <v>Crystal Palace</v>
      </c>
      <c r="I503" s="2" t="str">
        <f aca="false">IF(F503&lt;&gt;"","N",IF(LEFT(B503,10)="Arsenal v ","H","A"))</f>
        <v>H</v>
      </c>
      <c r="J503" s="2"/>
    </row>
    <row r="504" customFormat="false" ht="15" hidden="false" customHeight="false" outlineLevel="0" collapsed="false">
      <c r="A504" s="3" t="n">
        <v>35851</v>
      </c>
      <c r="B504" s="2" t="s">
        <v>433</v>
      </c>
      <c r="C504" s="2" t="s">
        <v>702</v>
      </c>
      <c r="D504" s="2" t="s">
        <v>360</v>
      </c>
      <c r="E504" s="2" t="s">
        <v>362</v>
      </c>
      <c r="F504" s="2"/>
      <c r="G504" s="2" t="s">
        <v>232</v>
      </c>
      <c r="H504" s="2" t="str">
        <f aca="false">IF(LEFT(B504,10)="Arsenal v ",MID(B504,11,100),LEFT(B504,FIND(" v ",B504)-1))</f>
        <v>Crystal Palace</v>
      </c>
      <c r="I504" s="2" t="str">
        <f aca="false">IF(F504&lt;&gt;"","N",IF(LEFT(B504,10)="Arsenal v ","H","A"))</f>
        <v>A</v>
      </c>
      <c r="J504" s="2"/>
    </row>
    <row r="505" customFormat="false" ht="15" hidden="false" customHeight="false" outlineLevel="0" collapsed="false">
      <c r="A505" s="3" t="n">
        <v>35856</v>
      </c>
      <c r="B505" s="2" t="s">
        <v>572</v>
      </c>
      <c r="C505" s="2" t="s">
        <v>706</v>
      </c>
      <c r="D505" s="2" t="s">
        <v>369</v>
      </c>
      <c r="E505" s="2" t="s">
        <v>356</v>
      </c>
      <c r="F505" s="2"/>
      <c r="G505" s="2" t="s">
        <v>232</v>
      </c>
      <c r="H505" s="2" t="str">
        <f aca="false">IF(LEFT(B505,10)="Arsenal v ",MID(B505,11,100),LEFT(B505,FIND(" v ",B505)-1))</f>
        <v>West Ham United</v>
      </c>
      <c r="I505" s="2" t="str">
        <f aca="false">IF(F505&lt;&gt;"","N",IF(LEFT(B505,10)="Arsenal v ","H","A"))</f>
        <v>A</v>
      </c>
      <c r="J505" s="2"/>
    </row>
    <row r="506" customFormat="false" ht="15" hidden="false" customHeight="false" outlineLevel="0" collapsed="false">
      <c r="A506" s="3" t="n">
        <v>35862</v>
      </c>
      <c r="B506" s="2" t="s">
        <v>712</v>
      </c>
      <c r="C506" s="2" t="s">
        <v>706</v>
      </c>
      <c r="D506" s="2" t="s">
        <v>361</v>
      </c>
      <c r="E506" s="2" t="s">
        <v>362</v>
      </c>
      <c r="F506" s="2"/>
      <c r="G506" s="2" t="s">
        <v>232</v>
      </c>
      <c r="H506" s="2" t="str">
        <f aca="false">IF(LEFT(B506,10)="Arsenal v ",MID(B506,11,100),LEFT(B506,FIND(" v ",B506)-1))</f>
        <v>West Ham United</v>
      </c>
      <c r="I506" s="2" t="str">
        <f aca="false">IF(F506&lt;&gt;"","N",IF(LEFT(B506,10)="Arsenal v ","H","A"))</f>
        <v>H</v>
      </c>
      <c r="J506" s="2"/>
    </row>
    <row r="507" customFormat="false" ht="15" hidden="false" customHeight="false" outlineLevel="0" collapsed="false">
      <c r="A507" s="3" t="n">
        <v>35865</v>
      </c>
      <c r="B507" s="2" t="s">
        <v>574</v>
      </c>
      <c r="C507" s="2" t="s">
        <v>702</v>
      </c>
      <c r="D507" s="2" t="s">
        <v>383</v>
      </c>
      <c r="E507" s="2" t="s">
        <v>356</v>
      </c>
      <c r="F507" s="2"/>
      <c r="G507" s="2" t="s">
        <v>232</v>
      </c>
      <c r="H507" s="2" t="str">
        <f aca="false">IF(LEFT(B507,10)="Arsenal v ",MID(B507,11,100),LEFT(B507,FIND(" v ",B507)-1))</f>
        <v>Wimbledon</v>
      </c>
      <c r="I507" s="2" t="str">
        <f aca="false">IF(F507&lt;&gt;"","N",IF(LEFT(B507,10)="Arsenal v ","H","A"))</f>
        <v>A</v>
      </c>
      <c r="J507" s="2"/>
    </row>
    <row r="508" customFormat="false" ht="15" hidden="false" customHeight="false" outlineLevel="0" collapsed="false">
      <c r="A508" s="3" t="n">
        <v>35868</v>
      </c>
      <c r="B508" s="2" t="s">
        <v>490</v>
      </c>
      <c r="C508" s="2" t="s">
        <v>702</v>
      </c>
      <c r="D508" s="2" t="s">
        <v>383</v>
      </c>
      <c r="E508" s="2" t="s">
        <v>356</v>
      </c>
      <c r="F508" s="2"/>
      <c r="G508" s="2" t="s">
        <v>232</v>
      </c>
      <c r="H508" s="2" t="str">
        <f aca="false">IF(LEFT(B508,10)="Arsenal v ",MID(B508,11,100),LEFT(B508,FIND(" v ",B508)-1))</f>
        <v>Manchester United</v>
      </c>
      <c r="I508" s="2" t="str">
        <f aca="false">IF(F508&lt;&gt;"","N",IF(LEFT(B508,10)="Arsenal v ","H","A"))</f>
        <v>A</v>
      </c>
      <c r="J508" s="2"/>
    </row>
    <row r="509" customFormat="false" ht="15" hidden="false" customHeight="false" outlineLevel="0" collapsed="false">
      <c r="A509" s="3" t="n">
        <v>35871</v>
      </c>
      <c r="B509" s="2" t="s">
        <v>572</v>
      </c>
      <c r="C509" s="2" t="s">
        <v>702</v>
      </c>
      <c r="D509" s="2" t="s">
        <v>519</v>
      </c>
      <c r="E509" s="2" t="s">
        <v>362</v>
      </c>
      <c r="F509" s="2"/>
      <c r="G509" s="2" t="s">
        <v>232</v>
      </c>
      <c r="H509" s="2" t="str">
        <f aca="false">IF(LEFT(B509,10)="Arsenal v ",MID(B509,11,100),LEFT(B509,FIND(" v ",B509)-1))</f>
        <v>West Ham United</v>
      </c>
      <c r="I509" s="2" t="str">
        <f aca="false">IF(F509&lt;&gt;"","N",IF(LEFT(B509,10)="Arsenal v ","H","A"))</f>
        <v>A</v>
      </c>
      <c r="J509" s="2"/>
    </row>
    <row r="510" customFormat="false" ht="15" hidden="false" customHeight="false" outlineLevel="0" collapsed="false">
      <c r="A510" s="3" t="n">
        <v>35882</v>
      </c>
      <c r="B510" s="2" t="s">
        <v>713</v>
      </c>
      <c r="C510" s="2" t="s">
        <v>702</v>
      </c>
      <c r="D510" s="2" t="s">
        <v>348</v>
      </c>
      <c r="E510" s="2" t="s">
        <v>356</v>
      </c>
      <c r="F510" s="2"/>
      <c r="G510" s="2" t="s">
        <v>232</v>
      </c>
      <c r="H510" s="2" t="str">
        <f aca="false">IF(LEFT(B510,10)="Arsenal v ",MID(B510,11,100),LEFT(B510,FIND(" v ",B510)-1))</f>
        <v>Sheffield Wednesday</v>
      </c>
      <c r="I510" s="2" t="str">
        <f aca="false">IF(F510&lt;&gt;"","N",IF(LEFT(B510,10)="Arsenal v ","H","A"))</f>
        <v>H</v>
      </c>
      <c r="J510" s="2"/>
    </row>
    <row r="511" customFormat="false" ht="15" hidden="false" customHeight="false" outlineLevel="0" collapsed="false">
      <c r="A511" s="3" t="n">
        <v>35885</v>
      </c>
      <c r="B511" s="2" t="s">
        <v>410</v>
      </c>
      <c r="C511" s="2" t="s">
        <v>702</v>
      </c>
      <c r="D511" s="2" t="s">
        <v>383</v>
      </c>
      <c r="E511" s="2" t="s">
        <v>356</v>
      </c>
      <c r="F511" s="2"/>
      <c r="G511" s="2" t="s">
        <v>232</v>
      </c>
      <c r="H511" s="2" t="str">
        <f aca="false">IF(LEFT(B511,10)="Arsenal v ",MID(B511,11,100),LEFT(B511,FIND(" v ",B511)-1))</f>
        <v>Bolton Wanderers</v>
      </c>
      <c r="I511" s="2" t="str">
        <f aca="false">IF(F511&lt;&gt;"","N",IF(LEFT(B511,10)="Arsenal v ","H","A"))</f>
        <v>A</v>
      </c>
      <c r="J511" s="2"/>
    </row>
    <row r="512" customFormat="false" ht="15" hidden="false" customHeight="false" outlineLevel="0" collapsed="false">
      <c r="A512" s="3" t="n">
        <v>35890</v>
      </c>
      <c r="B512" s="2" t="s">
        <v>762</v>
      </c>
      <c r="C512" s="2" t="s">
        <v>702</v>
      </c>
      <c r="D512" s="2" t="s">
        <v>348</v>
      </c>
      <c r="E512" s="2" t="s">
        <v>362</v>
      </c>
      <c r="F512" s="2" t="s">
        <v>608</v>
      </c>
      <c r="G512" s="2" t="s">
        <v>232</v>
      </c>
      <c r="H512" s="2" t="str">
        <f aca="false">IF(LEFT(B512,10)="Arsenal v ",MID(B512,11,100),LEFT(B512,FIND(" v ",B512)-1))</f>
        <v>Wolverhampton Wanderers</v>
      </c>
      <c r="I512" s="2" t="str">
        <f aca="false">IF(F512&lt;&gt;"","N",IF(LEFT(B512,10)="Arsenal v ","H","A"))</f>
        <v>N</v>
      </c>
      <c r="J512" s="2"/>
    </row>
    <row r="513" customFormat="false" ht="15" hidden="false" customHeight="false" outlineLevel="0" collapsed="false">
      <c r="A513" s="3" t="n">
        <v>35896</v>
      </c>
      <c r="B513" s="2" t="s">
        <v>719</v>
      </c>
      <c r="C513" s="2" t="s">
        <v>702</v>
      </c>
      <c r="D513" s="2" t="s">
        <v>377</v>
      </c>
      <c r="E513" s="2" t="s">
        <v>356</v>
      </c>
      <c r="F513" s="2"/>
      <c r="G513" s="2" t="s">
        <v>232</v>
      </c>
      <c r="H513" s="2" t="str">
        <f aca="false">IF(LEFT(B513,10)="Arsenal v ",MID(B513,11,100),LEFT(B513,FIND(" v ",B513)-1))</f>
        <v>Newcastle United</v>
      </c>
      <c r="I513" s="2" t="str">
        <f aca="false">IF(F513&lt;&gt;"","N",IF(LEFT(B513,10)="Arsenal v ","H","A"))</f>
        <v>H</v>
      </c>
      <c r="J513" s="2"/>
    </row>
    <row r="514" customFormat="false" ht="15" hidden="false" customHeight="false" outlineLevel="0" collapsed="false">
      <c r="A514" s="3" t="n">
        <v>35898</v>
      </c>
      <c r="B514" s="2" t="s">
        <v>406</v>
      </c>
      <c r="C514" s="2" t="s">
        <v>702</v>
      </c>
      <c r="D514" s="2" t="s">
        <v>407</v>
      </c>
      <c r="E514" s="2" t="s">
        <v>356</v>
      </c>
      <c r="F514" s="2"/>
      <c r="G514" s="2" t="s">
        <v>232</v>
      </c>
      <c r="H514" s="2" t="str">
        <f aca="false">IF(LEFT(B514,10)="Arsenal v ",MID(B514,11,100),LEFT(B514,FIND(" v ",B514)-1))</f>
        <v>Blackburn Rovers</v>
      </c>
      <c r="I514" s="2" t="str">
        <f aca="false">IF(F514&lt;&gt;"","N",IF(LEFT(B514,10)="Arsenal v ","H","A"))</f>
        <v>A</v>
      </c>
      <c r="J514" s="2"/>
    </row>
    <row r="515" customFormat="false" ht="15" hidden="false" customHeight="false" outlineLevel="0" collapsed="false">
      <c r="A515" s="3" t="n">
        <v>35903</v>
      </c>
      <c r="B515" s="2" t="s">
        <v>722</v>
      </c>
      <c r="C515" s="2" t="s">
        <v>702</v>
      </c>
      <c r="D515" s="2" t="s">
        <v>489</v>
      </c>
      <c r="E515" s="2" t="s">
        <v>356</v>
      </c>
      <c r="F515" s="2"/>
      <c r="G515" s="2" t="s">
        <v>232</v>
      </c>
      <c r="H515" s="2" t="str">
        <f aca="false">IF(LEFT(B515,10)="Arsenal v ",MID(B515,11,100),LEFT(B515,FIND(" v ",B515)-1))</f>
        <v>Wimbledon</v>
      </c>
      <c r="I515" s="2" t="str">
        <f aca="false">IF(F515&lt;&gt;"","N",IF(LEFT(B515,10)="Arsenal v ","H","A"))</f>
        <v>H</v>
      </c>
      <c r="J515" s="2"/>
    </row>
    <row r="516" customFormat="false" ht="15" hidden="false" customHeight="false" outlineLevel="0" collapsed="false">
      <c r="A516" s="3" t="n">
        <v>35910</v>
      </c>
      <c r="B516" s="2" t="s">
        <v>398</v>
      </c>
      <c r="C516" s="2" t="s">
        <v>702</v>
      </c>
      <c r="D516" s="2" t="s">
        <v>353</v>
      </c>
      <c r="E516" s="2" t="s">
        <v>356</v>
      </c>
      <c r="F516" s="2"/>
      <c r="G516" s="2" t="s">
        <v>232</v>
      </c>
      <c r="H516" s="2" t="str">
        <f aca="false">IF(LEFT(B516,10)="Arsenal v ",MID(B516,11,100),LEFT(B516,FIND(" v ",B516)-1))</f>
        <v>Barnsley</v>
      </c>
      <c r="I516" s="2" t="str">
        <f aca="false">IF(F516&lt;&gt;"","N",IF(LEFT(B516,10)="Arsenal v ","H","A"))</f>
        <v>A</v>
      </c>
      <c r="J516" s="2"/>
    </row>
    <row r="517" customFormat="false" ht="15" hidden="false" customHeight="false" outlineLevel="0" collapsed="false">
      <c r="A517" s="3" t="n">
        <v>35914</v>
      </c>
      <c r="B517" s="2" t="s">
        <v>721</v>
      </c>
      <c r="C517" s="2" t="s">
        <v>702</v>
      </c>
      <c r="D517" s="2" t="s">
        <v>348</v>
      </c>
      <c r="E517" s="2" t="s">
        <v>356</v>
      </c>
      <c r="F517" s="2"/>
      <c r="G517" s="2" t="s">
        <v>232</v>
      </c>
      <c r="H517" s="2" t="str">
        <f aca="false">IF(LEFT(B517,10)="Arsenal v ",MID(B517,11,100),LEFT(B517,FIND(" v ",B517)-1))</f>
        <v>Derby County</v>
      </c>
      <c r="I517" s="2" t="str">
        <f aca="false">IF(F517&lt;&gt;"","N",IF(LEFT(B517,10)="Arsenal v ","H","A"))</f>
        <v>H</v>
      </c>
      <c r="J517" s="2"/>
    </row>
    <row r="518" customFormat="false" ht="15" hidden="false" customHeight="false" outlineLevel="0" collapsed="false">
      <c r="A518" s="3" t="n">
        <v>35918</v>
      </c>
      <c r="B518" s="2" t="s">
        <v>718</v>
      </c>
      <c r="C518" s="2" t="s">
        <v>702</v>
      </c>
      <c r="D518" s="2" t="s">
        <v>354</v>
      </c>
      <c r="E518" s="2" t="s">
        <v>356</v>
      </c>
      <c r="F518" s="2"/>
      <c r="G518" s="2" t="s">
        <v>232</v>
      </c>
      <c r="H518" s="2" t="str">
        <f aca="false">IF(LEFT(B518,10)="Arsenal v ",MID(B518,11,100),LEFT(B518,FIND(" v ",B518)-1))</f>
        <v>Everton</v>
      </c>
      <c r="I518" s="2" t="str">
        <f aca="false">IF(F518&lt;&gt;"","N",IF(LEFT(B518,10)="Arsenal v ","H","A"))</f>
        <v>H</v>
      </c>
      <c r="J518" s="2"/>
    </row>
    <row r="519" customFormat="false" ht="15" hidden="false" customHeight="false" outlineLevel="0" collapsed="false">
      <c r="A519" s="3" t="n">
        <v>35921</v>
      </c>
      <c r="B519" s="2" t="s">
        <v>477</v>
      </c>
      <c r="C519" s="2" t="s">
        <v>704</v>
      </c>
      <c r="D519" s="2" t="s">
        <v>354</v>
      </c>
      <c r="E519" s="2" t="s">
        <v>356</v>
      </c>
      <c r="F519" s="2"/>
      <c r="G519" s="2" t="s">
        <v>232</v>
      </c>
      <c r="H519" s="2" t="str">
        <f aca="false">IF(LEFT(B519,10)="Arsenal v ",MID(B519,11,100),LEFT(B519,FIND(" v ",B519)-1))</f>
        <v>Liverpool</v>
      </c>
      <c r="I519" s="2" t="str">
        <f aca="false">IF(F519&lt;&gt;"","N",IF(LEFT(B519,10)="Arsenal v ","H","A"))</f>
        <v>A</v>
      </c>
      <c r="J519" s="2"/>
    </row>
    <row r="520" customFormat="false" ht="15" hidden="false" customHeight="false" outlineLevel="0" collapsed="false">
      <c r="A520" s="3" t="n">
        <v>35925</v>
      </c>
      <c r="B520" s="2" t="s">
        <v>376</v>
      </c>
      <c r="C520" s="2" t="s">
        <v>704</v>
      </c>
      <c r="D520" s="2" t="s">
        <v>348</v>
      </c>
      <c r="E520" s="2" t="s">
        <v>356</v>
      </c>
      <c r="F520" s="2"/>
      <c r="G520" s="2" t="s">
        <v>232</v>
      </c>
      <c r="H520" s="2" t="str">
        <f aca="false">IF(LEFT(B520,10)="Arsenal v ",MID(B520,11,100),LEFT(B520,FIND(" v ",B520)-1))</f>
        <v>Aston Villa</v>
      </c>
      <c r="I520" s="2" t="str">
        <f aca="false">IF(F520&lt;&gt;"","N",IF(LEFT(B520,10)="Arsenal v ","H","A"))</f>
        <v>A</v>
      </c>
      <c r="J520" s="2"/>
    </row>
    <row r="521" customFormat="false" ht="15" hidden="false" customHeight="false" outlineLevel="0" collapsed="false">
      <c r="A521" s="3" t="n">
        <v>35931</v>
      </c>
      <c r="B521" s="2" t="s">
        <v>719</v>
      </c>
      <c r="C521" s="2" t="s">
        <v>702</v>
      </c>
      <c r="D521" s="2" t="s">
        <v>351</v>
      </c>
      <c r="E521" s="2" t="s">
        <v>362</v>
      </c>
      <c r="F521" s="2" t="s">
        <v>652</v>
      </c>
      <c r="G521" s="2" t="s">
        <v>232</v>
      </c>
      <c r="H521" s="2" t="str">
        <f aca="false">IF(LEFT(B521,10)="Arsenal v ",MID(B521,11,100),LEFT(B521,FIND(" v ",B521)-1))</f>
        <v>Newcastle United</v>
      </c>
      <c r="I521" s="2" t="str">
        <f aca="false">IF(F521&lt;&gt;"","N",IF(LEFT(B521,10)="Arsenal v ","H","A"))</f>
        <v>N</v>
      </c>
      <c r="J521" s="2"/>
    </row>
    <row r="522" customFormat="false" ht="15" hidden="false" customHeight="false" outlineLevel="0" collapsed="false">
      <c r="A522" s="3" t="n">
        <v>36016</v>
      </c>
      <c r="B522" s="2" t="s">
        <v>656</v>
      </c>
      <c r="C522" s="2" t="s">
        <v>702</v>
      </c>
      <c r="D522" s="2" t="s">
        <v>434</v>
      </c>
      <c r="E522" s="2" t="s">
        <v>478</v>
      </c>
      <c r="F522" s="2"/>
      <c r="G522" s="2" t="s">
        <v>381</v>
      </c>
      <c r="H522" s="2" t="str">
        <f aca="false">IF(LEFT(B522,10)="Arsenal v ",MID(B522,11,100),LEFT(B522,FIND(" v ",B522)-1))</f>
        <v>Manchester United</v>
      </c>
      <c r="I522" s="2" t="str">
        <f aca="false">IF(F522&lt;&gt;"","N",IF(LEFT(B522,10)="Arsenal v ","H","A"))</f>
        <v>H</v>
      </c>
      <c r="J522" s="2"/>
    </row>
    <row r="523" customFormat="false" ht="15" hidden="false" customHeight="false" outlineLevel="0" collapsed="false">
      <c r="A523" s="3" t="n">
        <v>36024</v>
      </c>
      <c r="B523" s="2" t="s">
        <v>716</v>
      </c>
      <c r="C523" s="2" t="s">
        <v>702</v>
      </c>
      <c r="D523" s="2" t="s">
        <v>359</v>
      </c>
      <c r="E523" s="2" t="s">
        <v>356</v>
      </c>
      <c r="F523" s="2"/>
      <c r="G523" s="2" t="s">
        <v>381</v>
      </c>
      <c r="H523" s="2" t="str">
        <f aca="false">IF(LEFT(B523,10)="Arsenal v ",MID(B523,11,100),LEFT(B523,FIND(" v ",B523)-1))</f>
        <v>Nottingham Forest</v>
      </c>
      <c r="I523" s="2" t="str">
        <f aca="false">IF(F523&lt;&gt;"","N",IF(LEFT(B523,10)="Arsenal v ","H","A"))</f>
        <v>H</v>
      </c>
      <c r="J523" s="2"/>
    </row>
    <row r="524" customFormat="false" ht="15" hidden="false" customHeight="false" outlineLevel="0" collapsed="false">
      <c r="A524" s="3" t="n">
        <v>36029</v>
      </c>
      <c r="B524" s="2" t="s">
        <v>477</v>
      </c>
      <c r="C524" s="2" t="s">
        <v>706</v>
      </c>
      <c r="D524" s="2" t="s">
        <v>369</v>
      </c>
      <c r="E524" s="2" t="s">
        <v>356</v>
      </c>
      <c r="F524" s="2"/>
      <c r="G524" s="2" t="s">
        <v>381</v>
      </c>
      <c r="H524" s="2" t="str">
        <f aca="false">IF(LEFT(B524,10)="Arsenal v ",MID(B524,11,100),LEFT(B524,FIND(" v ",B524)-1))</f>
        <v>Liverpool</v>
      </c>
      <c r="I524" s="2" t="str">
        <f aca="false">IF(F524&lt;&gt;"","N",IF(LEFT(B524,10)="Arsenal v ","H","A"))</f>
        <v>A</v>
      </c>
      <c r="J524" s="2"/>
    </row>
    <row r="525" customFormat="false" ht="15" hidden="false" customHeight="false" outlineLevel="0" collapsed="false">
      <c r="A525" s="3" t="n">
        <v>36036</v>
      </c>
      <c r="B525" s="2" t="s">
        <v>717</v>
      </c>
      <c r="C525" s="2" t="s">
        <v>706</v>
      </c>
      <c r="D525" s="2" t="s">
        <v>369</v>
      </c>
      <c r="E525" s="2" t="s">
        <v>356</v>
      </c>
      <c r="F525" s="2"/>
      <c r="G525" s="2" t="s">
        <v>381</v>
      </c>
      <c r="H525" s="2" t="str">
        <f aca="false">IF(LEFT(B525,10)="Arsenal v ",MID(B525,11,100),LEFT(B525,FIND(" v ",B525)-1))</f>
        <v>Charlton Athletic</v>
      </c>
      <c r="I525" s="2" t="str">
        <f aca="false">IF(F525&lt;&gt;"","N",IF(LEFT(B525,10)="Arsenal v ","H","A"))</f>
        <v>H</v>
      </c>
      <c r="J525" s="2"/>
    </row>
    <row r="526" customFormat="false" ht="15" hidden="false" customHeight="false" outlineLevel="0" collapsed="false">
      <c r="A526" s="3" t="n">
        <v>36047</v>
      </c>
      <c r="B526" s="2" t="s">
        <v>426</v>
      </c>
      <c r="C526" s="2" t="s">
        <v>706</v>
      </c>
      <c r="D526" s="2" t="s">
        <v>369</v>
      </c>
      <c r="E526" s="2" t="s">
        <v>356</v>
      </c>
      <c r="F526" s="2"/>
      <c r="G526" s="2" t="s">
        <v>381</v>
      </c>
      <c r="H526" s="2" t="str">
        <f aca="false">IF(LEFT(B526,10)="Arsenal v ",MID(B526,11,100),LEFT(B526,FIND(" v ",B526)-1))</f>
        <v>Chelsea</v>
      </c>
      <c r="I526" s="2" t="str">
        <f aca="false">IF(F526&lt;&gt;"","N",IF(LEFT(B526,10)="Arsenal v ","H","A"))</f>
        <v>A</v>
      </c>
      <c r="J526" s="2"/>
    </row>
    <row r="527" customFormat="false" ht="15" hidden="false" customHeight="false" outlineLevel="0" collapsed="false">
      <c r="A527" s="3" t="n">
        <v>36050</v>
      </c>
      <c r="B527" s="2" t="s">
        <v>474</v>
      </c>
      <c r="C527" s="2" t="s">
        <v>706</v>
      </c>
      <c r="D527" s="2" t="s">
        <v>361</v>
      </c>
      <c r="E527" s="2" t="s">
        <v>356</v>
      </c>
      <c r="F527" s="2"/>
      <c r="G527" s="2" t="s">
        <v>381</v>
      </c>
      <c r="H527" s="2" t="str">
        <f aca="false">IF(LEFT(B527,10)="Arsenal v ",MID(B527,11,100),LEFT(B527,FIND(" v ",B527)-1))</f>
        <v>Leicester City</v>
      </c>
      <c r="I527" s="2" t="str">
        <f aca="false">IF(F527&lt;&gt;"","N",IF(LEFT(B527,10)="Arsenal v ","H","A"))</f>
        <v>A</v>
      </c>
      <c r="J527" s="2"/>
    </row>
    <row r="528" customFormat="false" ht="15" hidden="false" customHeight="false" outlineLevel="0" collapsed="false">
      <c r="A528" s="3" t="n">
        <v>36054</v>
      </c>
      <c r="B528" s="2" t="s">
        <v>529</v>
      </c>
      <c r="C528" s="2" t="s">
        <v>706</v>
      </c>
      <c r="D528" s="2" t="s">
        <v>361</v>
      </c>
      <c r="E528" s="2" t="s">
        <v>352</v>
      </c>
      <c r="F528" s="2"/>
      <c r="G528" s="2" t="s">
        <v>381</v>
      </c>
      <c r="H528" s="2" t="str">
        <f aca="false">IF(LEFT(B528,10)="Arsenal v ",MID(B528,11,100),LEFT(B528,FIND(" v ",B528)-1))</f>
        <v>RC Lens</v>
      </c>
      <c r="I528" s="2" t="str">
        <f aca="false">IF(F528&lt;&gt;"","N",IF(LEFT(B528,10)="Arsenal v ","H","A"))</f>
        <v>A</v>
      </c>
      <c r="J528" s="2"/>
    </row>
    <row r="529" customFormat="false" ht="15" hidden="false" customHeight="false" outlineLevel="0" collapsed="false">
      <c r="A529" s="3" t="n">
        <v>36058</v>
      </c>
      <c r="B529" s="2" t="s">
        <v>656</v>
      </c>
      <c r="C529" s="2" t="s">
        <v>702</v>
      </c>
      <c r="D529" s="2" t="s">
        <v>434</v>
      </c>
      <c r="E529" s="2" t="s">
        <v>356</v>
      </c>
      <c r="F529" s="2"/>
      <c r="G529" s="2" t="s">
        <v>381</v>
      </c>
      <c r="H529" s="2" t="str">
        <f aca="false">IF(LEFT(B529,10)="Arsenal v ",MID(B529,11,100),LEFT(B529,FIND(" v ",B529)-1))</f>
        <v>Manchester United</v>
      </c>
      <c r="I529" s="2" t="str">
        <f aca="false">IF(F529&lt;&gt;"","N",IF(LEFT(B529,10)="Arsenal v ","H","A"))</f>
        <v>H</v>
      </c>
      <c r="J529" s="2"/>
    </row>
    <row r="530" customFormat="false" ht="15" hidden="false" customHeight="false" outlineLevel="0" collapsed="false">
      <c r="A530" s="3" t="n">
        <v>36064</v>
      </c>
      <c r="B530" s="2" t="s">
        <v>543</v>
      </c>
      <c r="C530" s="2" t="s">
        <v>704</v>
      </c>
      <c r="D530" s="2" t="s">
        <v>348</v>
      </c>
      <c r="E530" s="2" t="s">
        <v>356</v>
      </c>
      <c r="F530" s="2"/>
      <c r="G530" s="2" t="s">
        <v>381</v>
      </c>
      <c r="H530" s="2" t="str">
        <f aca="false">IF(LEFT(B530,10)="Arsenal v ",MID(B530,11,100),LEFT(B530,FIND(" v ",B530)-1))</f>
        <v>Sheffield Wednesday</v>
      </c>
      <c r="I530" s="2" t="str">
        <f aca="false">IF(F530&lt;&gt;"","N",IF(LEFT(B530,10)="Arsenal v ","H","A"))</f>
        <v>A</v>
      </c>
      <c r="J530" s="2"/>
    </row>
    <row r="531" customFormat="false" ht="15" hidden="false" customHeight="false" outlineLevel="0" collapsed="false">
      <c r="A531" s="3" t="n">
        <v>36068</v>
      </c>
      <c r="B531" s="2" t="s">
        <v>659</v>
      </c>
      <c r="C531" s="2" t="s">
        <v>702</v>
      </c>
      <c r="D531" s="2" t="s">
        <v>359</v>
      </c>
      <c r="E531" s="2" t="s">
        <v>352</v>
      </c>
      <c r="F531" s="2"/>
      <c r="G531" s="2" t="s">
        <v>381</v>
      </c>
      <c r="H531" s="2" t="str">
        <f aca="false">IF(LEFT(B531,10)="Arsenal v ",MID(B531,11,100),LEFT(B531,FIND(" v ",B531)-1))</f>
        <v>Panathinaikos</v>
      </c>
      <c r="I531" s="2" t="str">
        <f aca="false">IF(F531&lt;&gt;"","N",IF(LEFT(B531,10)="Arsenal v ","H","A"))</f>
        <v>H</v>
      </c>
      <c r="J531" s="2"/>
    </row>
    <row r="532" customFormat="false" ht="15" hidden="false" customHeight="false" outlineLevel="0" collapsed="false">
      <c r="A532" s="3" t="n">
        <v>36072</v>
      </c>
      <c r="B532" s="2" t="s">
        <v>719</v>
      </c>
      <c r="C532" s="2" t="s">
        <v>702</v>
      </c>
      <c r="D532" s="2" t="s">
        <v>434</v>
      </c>
      <c r="E532" s="2" t="s">
        <v>356</v>
      </c>
      <c r="F532" s="2"/>
      <c r="G532" s="2" t="s">
        <v>381</v>
      </c>
      <c r="H532" s="2" t="str">
        <f aca="false">IF(LEFT(B532,10)="Arsenal v ",MID(B532,11,100),LEFT(B532,FIND(" v ",B532)-1))</f>
        <v>Newcastle United</v>
      </c>
      <c r="I532" s="2" t="str">
        <f aca="false">IF(F532&lt;&gt;"","N",IF(LEFT(B532,10)="Arsenal v ","H","A"))</f>
        <v>H</v>
      </c>
      <c r="J532" s="2"/>
    </row>
    <row r="533" customFormat="false" ht="15" hidden="false" customHeight="false" outlineLevel="0" collapsed="false">
      <c r="A533" s="3" t="n">
        <v>36085</v>
      </c>
      <c r="B533" s="2" t="s">
        <v>705</v>
      </c>
      <c r="C533" s="2" t="s">
        <v>706</v>
      </c>
      <c r="D533" s="2" t="s">
        <v>361</v>
      </c>
      <c r="E533" s="2" t="s">
        <v>356</v>
      </c>
      <c r="F533" s="2"/>
      <c r="G533" s="2" t="s">
        <v>381</v>
      </c>
      <c r="H533" s="2" t="str">
        <f aca="false">IF(LEFT(B533,10)="Arsenal v ",MID(B533,11,100),LEFT(B533,FIND(" v ",B533)-1))</f>
        <v>Southampton</v>
      </c>
      <c r="I533" s="2" t="str">
        <f aca="false">IF(F533&lt;&gt;"","N",IF(LEFT(B533,10)="Arsenal v ","H","A"))</f>
        <v>H</v>
      </c>
      <c r="J533" s="2"/>
    </row>
    <row r="534" customFormat="false" ht="15" hidden="false" customHeight="false" outlineLevel="0" collapsed="false">
      <c r="A534" s="3" t="n">
        <v>36089</v>
      </c>
      <c r="B534" s="2" t="s">
        <v>661</v>
      </c>
      <c r="C534" s="2" t="s">
        <v>706</v>
      </c>
      <c r="D534" s="2" t="s">
        <v>361</v>
      </c>
      <c r="E534" s="2" t="s">
        <v>352</v>
      </c>
      <c r="F534" s="2"/>
      <c r="G534" s="2" t="s">
        <v>381</v>
      </c>
      <c r="H534" s="2" t="str">
        <f aca="false">IF(LEFT(B534,10)="Arsenal v ",MID(B534,11,100),LEFT(B534,FIND(" v ",B534)-1))</f>
        <v>Dynamo Kiev</v>
      </c>
      <c r="I534" s="2" t="str">
        <f aca="false">IF(F534&lt;&gt;"","N",IF(LEFT(B534,10)="Arsenal v ","H","A"))</f>
        <v>H</v>
      </c>
      <c r="J534" s="2"/>
    </row>
    <row r="535" customFormat="false" ht="15" hidden="false" customHeight="false" outlineLevel="0" collapsed="false">
      <c r="A535" s="3" t="n">
        <v>36093</v>
      </c>
      <c r="B535" s="2" t="s">
        <v>406</v>
      </c>
      <c r="C535" s="2" t="s">
        <v>702</v>
      </c>
      <c r="D535" s="2" t="s">
        <v>360</v>
      </c>
      <c r="E535" s="2" t="s">
        <v>356</v>
      </c>
      <c r="F535" s="2"/>
      <c r="G535" s="2" t="s">
        <v>381</v>
      </c>
      <c r="H535" s="2" t="str">
        <f aca="false">IF(LEFT(B535,10)="Arsenal v ",MID(B535,11,100),LEFT(B535,FIND(" v ",B535)-1))</f>
        <v>Blackburn Rovers</v>
      </c>
      <c r="I535" s="2" t="str">
        <f aca="false">IF(F535&lt;&gt;"","N",IF(LEFT(B535,10)="Arsenal v ","H","A"))</f>
        <v>A</v>
      </c>
      <c r="J535" s="2"/>
    </row>
    <row r="536" customFormat="false" ht="15" hidden="false" customHeight="false" outlineLevel="0" collapsed="false">
      <c r="A536" s="3" t="n">
        <v>36096</v>
      </c>
      <c r="B536" s="2" t="s">
        <v>440</v>
      </c>
      <c r="C536" s="2" t="s">
        <v>702</v>
      </c>
      <c r="D536" s="2" t="s">
        <v>360</v>
      </c>
      <c r="E536" s="2" t="s">
        <v>379</v>
      </c>
      <c r="F536" s="2"/>
      <c r="G536" s="2" t="s">
        <v>381</v>
      </c>
      <c r="H536" s="2" t="str">
        <f aca="false">IF(LEFT(B536,10)="Arsenal v ",MID(B536,11,100),LEFT(B536,FIND(" v ",B536)-1))</f>
        <v>Derby County</v>
      </c>
      <c r="I536" s="2" t="str">
        <f aca="false">IF(F536&lt;&gt;"","N",IF(LEFT(B536,10)="Arsenal v ","H","A"))</f>
        <v>A</v>
      </c>
      <c r="J536" s="2"/>
    </row>
    <row r="537" customFormat="false" ht="15" hidden="false" customHeight="false" outlineLevel="0" collapsed="false">
      <c r="A537" s="3" t="n">
        <v>36099</v>
      </c>
      <c r="B537" s="2" t="s">
        <v>431</v>
      </c>
      <c r="C537" s="2" t="s">
        <v>702</v>
      </c>
      <c r="D537" s="2" t="s">
        <v>383</v>
      </c>
      <c r="E537" s="2" t="s">
        <v>356</v>
      </c>
      <c r="F537" s="2"/>
      <c r="G537" s="2" t="s">
        <v>381</v>
      </c>
      <c r="H537" s="2" t="str">
        <f aca="false">IF(LEFT(B537,10)="Arsenal v ",MID(B537,11,100),LEFT(B537,FIND(" v ",B537)-1))</f>
        <v>Coventry City</v>
      </c>
      <c r="I537" s="2" t="str">
        <f aca="false">IF(F537&lt;&gt;"","N",IF(LEFT(B537,10)="Arsenal v ","H","A"))</f>
        <v>A</v>
      </c>
      <c r="J537" s="2"/>
    </row>
    <row r="538" customFormat="false" ht="15" hidden="false" customHeight="false" outlineLevel="0" collapsed="false">
      <c r="A538" s="3" t="n">
        <v>36103</v>
      </c>
      <c r="B538" s="2" t="s">
        <v>446</v>
      </c>
      <c r="C538" s="2" t="s">
        <v>704</v>
      </c>
      <c r="D538" s="2" t="s">
        <v>377</v>
      </c>
      <c r="E538" s="2" t="s">
        <v>352</v>
      </c>
      <c r="F538" s="2"/>
      <c r="G538" s="2" t="s">
        <v>381</v>
      </c>
      <c r="H538" s="2" t="str">
        <f aca="false">IF(LEFT(B538,10)="Arsenal v ",MID(B538,11,100),LEFT(B538,FIND(" v ",B538)-1))</f>
        <v>Dynamo Kiev</v>
      </c>
      <c r="I538" s="2" t="str">
        <f aca="false">IF(F538&lt;&gt;"","N",IF(LEFT(B538,10)="Arsenal v ","H","A"))</f>
        <v>A</v>
      </c>
      <c r="J538" s="2"/>
    </row>
    <row r="539" customFormat="false" ht="15" hidden="false" customHeight="false" outlineLevel="0" collapsed="false">
      <c r="A539" s="3" t="n">
        <v>36107</v>
      </c>
      <c r="B539" s="2" t="s">
        <v>718</v>
      </c>
      <c r="C539" s="2" t="s">
        <v>702</v>
      </c>
      <c r="D539" s="2" t="s">
        <v>348</v>
      </c>
      <c r="E539" s="2" t="s">
        <v>356</v>
      </c>
      <c r="F539" s="2"/>
      <c r="G539" s="2" t="s">
        <v>381</v>
      </c>
      <c r="H539" s="2" t="str">
        <f aca="false">IF(LEFT(B539,10)="Arsenal v ",MID(B539,11,100),LEFT(B539,FIND(" v ",B539)-1))</f>
        <v>Everton</v>
      </c>
      <c r="I539" s="2" t="str">
        <f aca="false">IF(F539&lt;&gt;"","N",IF(LEFT(B539,10)="Arsenal v ","H","A"))</f>
        <v>H</v>
      </c>
      <c r="J539" s="2"/>
    </row>
    <row r="540" customFormat="false" ht="15" hidden="false" customHeight="false" outlineLevel="0" collapsed="false">
      <c r="A540" s="3" t="n">
        <v>36110</v>
      </c>
      <c r="B540" s="2" t="s">
        <v>725</v>
      </c>
      <c r="C540" s="2" t="s">
        <v>704</v>
      </c>
      <c r="D540" s="2" t="s">
        <v>420</v>
      </c>
      <c r="E540" s="2" t="s">
        <v>379</v>
      </c>
      <c r="F540" s="2"/>
      <c r="G540" s="2" t="s">
        <v>381</v>
      </c>
      <c r="H540" s="2" t="str">
        <f aca="false">IF(LEFT(B540,10)="Arsenal v ",MID(B540,11,100),LEFT(B540,FIND(" v ",B540)-1))</f>
        <v>Chelsea</v>
      </c>
      <c r="I540" s="2" t="str">
        <f aca="false">IF(F540&lt;&gt;"","N",IF(LEFT(B540,10)="Arsenal v ","H","A"))</f>
        <v>H</v>
      </c>
      <c r="J540" s="2"/>
    </row>
    <row r="541" customFormat="false" ht="15" hidden="false" customHeight="false" outlineLevel="0" collapsed="false">
      <c r="A541" s="3" t="n">
        <v>36113</v>
      </c>
      <c r="B541" s="2" t="s">
        <v>655</v>
      </c>
      <c r="C541" s="2" t="s">
        <v>706</v>
      </c>
      <c r="D541" s="2" t="s">
        <v>369</v>
      </c>
      <c r="E541" s="2" t="s">
        <v>356</v>
      </c>
      <c r="F541" s="2"/>
      <c r="G541" s="2" t="s">
        <v>381</v>
      </c>
      <c r="H541" s="2" t="str">
        <f aca="false">IF(LEFT(B541,10)="Arsenal v ",MID(B541,11,100),LEFT(B541,FIND(" v ",B541)-1))</f>
        <v>Tottenham Hotspur</v>
      </c>
      <c r="I541" s="2" t="str">
        <f aca="false">IF(F541&lt;&gt;"","N",IF(LEFT(B541,10)="Arsenal v ","H","A"))</f>
        <v>H</v>
      </c>
      <c r="J541" s="2"/>
    </row>
    <row r="542" customFormat="false" ht="15" hidden="false" customHeight="false" outlineLevel="0" collapsed="false">
      <c r="A542" s="3" t="n">
        <v>36120</v>
      </c>
      <c r="B542" s="2" t="s">
        <v>574</v>
      </c>
      <c r="C542" s="2" t="s">
        <v>704</v>
      </c>
      <c r="D542" s="2" t="s">
        <v>348</v>
      </c>
      <c r="E542" s="2" t="s">
        <v>356</v>
      </c>
      <c r="F542" s="2"/>
      <c r="G542" s="2" t="s">
        <v>381</v>
      </c>
      <c r="H542" s="2" t="str">
        <f aca="false">IF(LEFT(B542,10)="Arsenal v ",MID(B542,11,100),LEFT(B542,FIND(" v ",B542)-1))</f>
        <v>Wimbledon</v>
      </c>
      <c r="I542" s="2" t="str">
        <f aca="false">IF(F542&lt;&gt;"","N",IF(LEFT(B542,10)="Arsenal v ","H","A"))</f>
        <v>A</v>
      </c>
      <c r="J542" s="2"/>
    </row>
    <row r="543" customFormat="false" ht="15" hidden="false" customHeight="false" outlineLevel="0" collapsed="false">
      <c r="A543" s="3" t="n">
        <v>36124</v>
      </c>
      <c r="B543" s="2" t="s">
        <v>662</v>
      </c>
      <c r="C543" s="2" t="s">
        <v>704</v>
      </c>
      <c r="D543" s="2" t="s">
        <v>383</v>
      </c>
      <c r="E543" s="2" t="s">
        <v>352</v>
      </c>
      <c r="F543" s="2"/>
      <c r="G543" s="2" t="s">
        <v>381</v>
      </c>
      <c r="H543" s="2" t="str">
        <f aca="false">IF(LEFT(B543,10)="Arsenal v ",MID(B543,11,100),LEFT(B543,FIND(" v ",B543)-1))</f>
        <v>RC Lens</v>
      </c>
      <c r="I543" s="2" t="str">
        <f aca="false">IF(F543&lt;&gt;"","N",IF(LEFT(B543,10)="Arsenal v ","H","A"))</f>
        <v>H</v>
      </c>
      <c r="J543" s="2"/>
    </row>
    <row r="544" customFormat="false" ht="15" hidden="false" customHeight="false" outlineLevel="0" collapsed="false">
      <c r="A544" s="3" t="n">
        <v>36128</v>
      </c>
      <c r="B544" s="2" t="s">
        <v>711</v>
      </c>
      <c r="C544" s="2" t="s">
        <v>706</v>
      </c>
      <c r="D544" s="2" t="s">
        <v>361</v>
      </c>
      <c r="E544" s="2" t="s">
        <v>356</v>
      </c>
      <c r="F544" s="2"/>
      <c r="G544" s="2" t="s">
        <v>381</v>
      </c>
      <c r="H544" s="2" t="str">
        <f aca="false">IF(LEFT(B544,10)="Arsenal v ",MID(B544,11,100),LEFT(B544,FIND(" v ",B544)-1))</f>
        <v>Middlesbrough</v>
      </c>
      <c r="I544" s="2" t="str">
        <f aca="false">IF(F544&lt;&gt;"","N",IF(LEFT(B544,10)="Arsenal v ","H","A"))</f>
        <v>H</v>
      </c>
      <c r="J544" s="2"/>
    </row>
    <row r="545" customFormat="false" ht="15" hidden="false" customHeight="false" outlineLevel="0" collapsed="false">
      <c r="A545" s="3" t="n">
        <v>36134</v>
      </c>
      <c r="B545" s="2" t="s">
        <v>440</v>
      </c>
      <c r="C545" s="2" t="s">
        <v>706</v>
      </c>
      <c r="D545" s="2" t="s">
        <v>369</v>
      </c>
      <c r="E545" s="2" t="s">
        <v>356</v>
      </c>
      <c r="F545" s="2"/>
      <c r="G545" s="2" t="s">
        <v>381</v>
      </c>
      <c r="H545" s="2" t="str">
        <f aca="false">IF(LEFT(B545,10)="Arsenal v ",MID(B545,11,100),LEFT(B545,FIND(" v ",B545)-1))</f>
        <v>Derby County</v>
      </c>
      <c r="I545" s="2" t="str">
        <f aca="false">IF(F545&lt;&gt;"","N",IF(LEFT(B545,10)="Arsenal v ","H","A"))</f>
        <v>A</v>
      </c>
      <c r="J545" s="2"/>
    </row>
    <row r="546" customFormat="false" ht="15" hidden="false" customHeight="false" outlineLevel="0" collapsed="false">
      <c r="A546" s="3" t="n">
        <v>36138</v>
      </c>
      <c r="B546" s="2" t="s">
        <v>512</v>
      </c>
      <c r="C546" s="2" t="s">
        <v>702</v>
      </c>
      <c r="D546" s="2" t="s">
        <v>373</v>
      </c>
      <c r="E546" s="2" t="s">
        <v>352</v>
      </c>
      <c r="F546" s="2"/>
      <c r="G546" s="2" t="s">
        <v>381</v>
      </c>
      <c r="H546" s="2" t="str">
        <f aca="false">IF(LEFT(B546,10)="Arsenal v ",MID(B546,11,100),LEFT(B546,FIND(" v ",B546)-1))</f>
        <v>Panathinaikos</v>
      </c>
      <c r="I546" s="2" t="str">
        <f aca="false">IF(F546&lt;&gt;"","N",IF(LEFT(B546,10)="Arsenal v ","H","A"))</f>
        <v>A</v>
      </c>
      <c r="J546" s="2"/>
    </row>
    <row r="547" customFormat="false" ht="15" hidden="false" customHeight="false" outlineLevel="0" collapsed="false">
      <c r="A547" s="3" t="n">
        <v>36142</v>
      </c>
      <c r="B547" s="2" t="s">
        <v>376</v>
      </c>
      <c r="C547" s="2" t="s">
        <v>704</v>
      </c>
      <c r="D547" s="2" t="s">
        <v>382</v>
      </c>
      <c r="E547" s="2" t="s">
        <v>356</v>
      </c>
      <c r="F547" s="2"/>
      <c r="G547" s="2" t="s">
        <v>381</v>
      </c>
      <c r="H547" s="2" t="str">
        <f aca="false">IF(LEFT(B547,10)="Arsenal v ",MID(B547,11,100),LEFT(B547,FIND(" v ",B547)-1))</f>
        <v>Aston Villa</v>
      </c>
      <c r="I547" s="2" t="str">
        <f aca="false">IF(F547&lt;&gt;"","N",IF(LEFT(B547,10)="Arsenal v ","H","A"))</f>
        <v>A</v>
      </c>
      <c r="J547" s="2"/>
    </row>
    <row r="548" customFormat="false" ht="15" hidden="false" customHeight="false" outlineLevel="0" collapsed="false">
      <c r="A548" s="3" t="n">
        <v>36149</v>
      </c>
      <c r="B548" s="2" t="s">
        <v>729</v>
      </c>
      <c r="C548" s="2" t="s">
        <v>702</v>
      </c>
      <c r="D548" s="2" t="s">
        <v>377</v>
      </c>
      <c r="E548" s="2" t="s">
        <v>356</v>
      </c>
      <c r="F548" s="2"/>
      <c r="G548" s="2" t="s">
        <v>381</v>
      </c>
      <c r="H548" s="2" t="str">
        <f aca="false">IF(LEFT(B548,10)="Arsenal v ",MID(B548,11,100),LEFT(B548,FIND(" v ",B548)-1))</f>
        <v>Leeds United</v>
      </c>
      <c r="I548" s="2" t="str">
        <f aca="false">IF(F548&lt;&gt;"","N",IF(LEFT(B548,10)="Arsenal v ","H","A"))</f>
        <v>H</v>
      </c>
      <c r="J548" s="2"/>
    </row>
    <row r="549" customFormat="false" ht="15" hidden="false" customHeight="false" outlineLevel="0" collapsed="false">
      <c r="A549" s="3" t="n">
        <v>36155</v>
      </c>
      <c r="B549" s="2" t="s">
        <v>712</v>
      </c>
      <c r="C549" s="2" t="s">
        <v>702</v>
      </c>
      <c r="D549" s="2" t="s">
        <v>348</v>
      </c>
      <c r="E549" s="2" t="s">
        <v>356</v>
      </c>
      <c r="F549" s="2"/>
      <c r="G549" s="2" t="s">
        <v>381</v>
      </c>
      <c r="H549" s="2" t="str">
        <f aca="false">IF(LEFT(B549,10)="Arsenal v ",MID(B549,11,100),LEFT(B549,FIND(" v ",B549)-1))</f>
        <v>West Ham United</v>
      </c>
      <c r="I549" s="2" t="str">
        <f aca="false">IF(F549&lt;&gt;"","N",IF(LEFT(B549,10)="Arsenal v ","H","A"))</f>
        <v>H</v>
      </c>
      <c r="J549" s="2"/>
    </row>
    <row r="550" customFormat="false" ht="15" hidden="false" customHeight="false" outlineLevel="0" collapsed="false">
      <c r="A550" s="3" t="n">
        <v>36157</v>
      </c>
      <c r="B550" s="2" t="s">
        <v>425</v>
      </c>
      <c r="C550" s="2" t="s">
        <v>702</v>
      </c>
      <c r="D550" s="2" t="s">
        <v>383</v>
      </c>
      <c r="E550" s="2" t="s">
        <v>356</v>
      </c>
      <c r="F550" s="2"/>
      <c r="G550" s="2" t="s">
        <v>381</v>
      </c>
      <c r="H550" s="2" t="str">
        <f aca="false">IF(LEFT(B550,10)="Arsenal v ",MID(B550,11,100),LEFT(B550,FIND(" v ",B550)-1))</f>
        <v>Charlton Athletic</v>
      </c>
      <c r="I550" s="2" t="str">
        <f aca="false">IF(F550&lt;&gt;"","N",IF(LEFT(B550,10)="Arsenal v ","H","A"))</f>
        <v>A</v>
      </c>
      <c r="J550" s="2"/>
    </row>
    <row r="551" customFormat="false" ht="15" hidden="false" customHeight="false" outlineLevel="0" collapsed="false">
      <c r="A551" s="3" t="n">
        <v>36164</v>
      </c>
      <c r="B551" s="2" t="s">
        <v>521</v>
      </c>
      <c r="C551" s="2" t="s">
        <v>702</v>
      </c>
      <c r="D551" s="2" t="s">
        <v>384</v>
      </c>
      <c r="E551" s="2" t="s">
        <v>362</v>
      </c>
      <c r="F551" s="2"/>
      <c r="G551" s="2" t="s">
        <v>381</v>
      </c>
      <c r="H551" s="2" t="str">
        <f aca="false">IF(LEFT(B551,10)="Arsenal v ",MID(B551,11,100),LEFT(B551,FIND(" v ",B551)-1))</f>
        <v>Preston North End</v>
      </c>
      <c r="I551" s="2" t="str">
        <f aca="false">IF(F551&lt;&gt;"","N",IF(LEFT(B551,10)="Arsenal v ","H","A"))</f>
        <v>A</v>
      </c>
      <c r="J551" s="2"/>
    </row>
    <row r="552" customFormat="false" ht="15" hidden="false" customHeight="false" outlineLevel="0" collapsed="false">
      <c r="A552" s="3" t="n">
        <v>36169</v>
      </c>
      <c r="B552" s="2" t="s">
        <v>710</v>
      </c>
      <c r="C552" s="2" t="s">
        <v>706</v>
      </c>
      <c r="D552" s="2" t="s">
        <v>369</v>
      </c>
      <c r="E552" s="2" t="s">
        <v>356</v>
      </c>
      <c r="F552" s="2"/>
      <c r="G552" s="2" t="s">
        <v>381</v>
      </c>
      <c r="H552" s="2" t="str">
        <f aca="false">IF(LEFT(B552,10)="Arsenal v ",MID(B552,11,100),LEFT(B552,FIND(" v ",B552)-1))</f>
        <v>Liverpool</v>
      </c>
      <c r="I552" s="2" t="str">
        <f aca="false">IF(F552&lt;&gt;"","N",IF(LEFT(B552,10)="Arsenal v ","H","A"))</f>
        <v>H</v>
      </c>
      <c r="J552" s="2"/>
    </row>
    <row r="553" customFormat="false" ht="15" hidden="false" customHeight="false" outlineLevel="0" collapsed="false">
      <c r="A553" s="3" t="n">
        <v>36176</v>
      </c>
      <c r="B553" s="2" t="s">
        <v>503</v>
      </c>
      <c r="C553" s="2" t="s">
        <v>702</v>
      </c>
      <c r="D553" s="2" t="s">
        <v>383</v>
      </c>
      <c r="E553" s="2" t="s">
        <v>356</v>
      </c>
      <c r="F553" s="2"/>
      <c r="G553" s="2" t="s">
        <v>381</v>
      </c>
      <c r="H553" s="2" t="str">
        <f aca="false">IF(LEFT(B553,10)="Arsenal v ",MID(B553,11,100),LEFT(B553,FIND(" v ",B553)-1))</f>
        <v>Nottingham Forest</v>
      </c>
      <c r="I553" s="2" t="str">
        <f aca="false">IF(F553&lt;&gt;"","N",IF(LEFT(B553,10)="Arsenal v ","H","A"))</f>
        <v>A</v>
      </c>
      <c r="J553" s="2"/>
    </row>
    <row r="554" customFormat="false" ht="15" hidden="false" customHeight="false" outlineLevel="0" collapsed="false">
      <c r="A554" s="3" t="n">
        <v>36184</v>
      </c>
      <c r="B554" s="2" t="s">
        <v>575</v>
      </c>
      <c r="C554" s="2" t="s">
        <v>702</v>
      </c>
      <c r="D554" s="2" t="s">
        <v>360</v>
      </c>
      <c r="E554" s="2" t="s">
        <v>362</v>
      </c>
      <c r="F554" s="2"/>
      <c r="G554" s="2" t="s">
        <v>381</v>
      </c>
      <c r="H554" s="2" t="str">
        <f aca="false">IF(LEFT(B554,10)="Arsenal v ",MID(B554,11,100),LEFT(B554,FIND(" v ",B554)-1))</f>
        <v>Wolverhampton Wanderers</v>
      </c>
      <c r="I554" s="2" t="str">
        <f aca="false">IF(F554&lt;&gt;"","N",IF(LEFT(B554,10)="Arsenal v ","H","A"))</f>
        <v>A</v>
      </c>
      <c r="J554" s="2"/>
    </row>
    <row r="555" customFormat="false" ht="15" hidden="false" customHeight="false" outlineLevel="0" collapsed="false">
      <c r="A555" s="3" t="n">
        <v>36191</v>
      </c>
      <c r="B555" s="2" t="s">
        <v>725</v>
      </c>
      <c r="C555" s="2" t="s">
        <v>702</v>
      </c>
      <c r="D555" s="2" t="s">
        <v>348</v>
      </c>
      <c r="E555" s="2" t="s">
        <v>356</v>
      </c>
      <c r="F555" s="2"/>
      <c r="G555" s="2" t="s">
        <v>381</v>
      </c>
      <c r="H555" s="2" t="str">
        <f aca="false">IF(LEFT(B555,10)="Arsenal v ",MID(B555,11,100),LEFT(B555,FIND(" v ",B555)-1))</f>
        <v>Chelsea</v>
      </c>
      <c r="I555" s="2" t="str">
        <f aca="false">IF(F555&lt;&gt;"","N",IF(LEFT(B555,10)="Arsenal v ","H","A"))</f>
        <v>H</v>
      </c>
      <c r="J555" s="2"/>
    </row>
    <row r="556" customFormat="false" ht="15" hidden="false" customHeight="false" outlineLevel="0" collapsed="false">
      <c r="A556" s="3" t="n">
        <v>36197</v>
      </c>
      <c r="B556" s="2" t="s">
        <v>572</v>
      </c>
      <c r="C556" s="2" t="s">
        <v>702</v>
      </c>
      <c r="D556" s="2" t="s">
        <v>365</v>
      </c>
      <c r="E556" s="2" t="s">
        <v>356</v>
      </c>
      <c r="F556" s="2"/>
      <c r="G556" s="2" t="s">
        <v>381</v>
      </c>
      <c r="H556" s="2" t="str">
        <f aca="false">IF(LEFT(B556,10)="Arsenal v ",MID(B556,11,100),LEFT(B556,FIND(" v ",B556)-1))</f>
        <v>West Ham United</v>
      </c>
      <c r="I556" s="2" t="str">
        <f aca="false">IF(F556&lt;&gt;"","N",IF(LEFT(B556,10)="Arsenal v ","H","A"))</f>
        <v>A</v>
      </c>
      <c r="J556" s="2"/>
    </row>
    <row r="557" customFormat="false" ht="15" hidden="false" customHeight="false" outlineLevel="0" collapsed="false">
      <c r="A557" s="3" t="n">
        <v>36208</v>
      </c>
      <c r="B557" s="2" t="s">
        <v>490</v>
      </c>
      <c r="C557" s="2" t="s">
        <v>706</v>
      </c>
      <c r="D557" s="2" t="s">
        <v>361</v>
      </c>
      <c r="E557" s="2" t="s">
        <v>356</v>
      </c>
      <c r="F557" s="2"/>
      <c r="G557" s="2" t="s">
        <v>381</v>
      </c>
      <c r="H557" s="2" t="str">
        <f aca="false">IF(LEFT(B557,10)="Arsenal v ",MID(B557,11,100),LEFT(B557,FIND(" v ",B557)-1))</f>
        <v>Manchester United</v>
      </c>
      <c r="I557" s="2" t="str">
        <f aca="false">IF(F557&lt;&gt;"","N",IF(LEFT(B557,10)="Arsenal v ","H","A"))</f>
        <v>A</v>
      </c>
      <c r="J557" s="2"/>
    </row>
    <row r="558" customFormat="false" ht="15" hidden="false" customHeight="false" outlineLevel="0" collapsed="false">
      <c r="A558" s="3" t="n">
        <v>36211</v>
      </c>
      <c r="B558" s="2" t="s">
        <v>733</v>
      </c>
      <c r="C558" s="2" t="s">
        <v>702</v>
      </c>
      <c r="D558" s="2" t="s">
        <v>489</v>
      </c>
      <c r="E558" s="2" t="s">
        <v>356</v>
      </c>
      <c r="F558" s="2"/>
      <c r="G558" s="2" t="s">
        <v>381</v>
      </c>
      <c r="H558" s="2" t="str">
        <f aca="false">IF(LEFT(B558,10)="Arsenal v ",MID(B558,11,100),LEFT(B558,FIND(" v ",B558)-1))</f>
        <v>Leicester City</v>
      </c>
      <c r="I558" s="2" t="str">
        <f aca="false">IF(F558&lt;&gt;"","N",IF(LEFT(B558,10)="Arsenal v ","H","A"))</f>
        <v>H</v>
      </c>
      <c r="J558" s="2"/>
    </row>
    <row r="559" customFormat="false" ht="15" hidden="false" customHeight="false" outlineLevel="0" collapsed="false">
      <c r="A559" s="3" t="n">
        <v>36214</v>
      </c>
      <c r="B559" s="2" t="s">
        <v>728</v>
      </c>
      <c r="C559" s="2" t="s">
        <v>702</v>
      </c>
      <c r="D559" s="2" t="s">
        <v>359</v>
      </c>
      <c r="E559" s="2" t="s">
        <v>362</v>
      </c>
      <c r="F559" s="2"/>
      <c r="G559" s="2" t="s">
        <v>381</v>
      </c>
      <c r="H559" s="2" t="str">
        <f aca="false">IF(LEFT(B559,10)="Arsenal v ",MID(B559,11,100),LEFT(B559,FIND(" v ",B559)-1))</f>
        <v>Sheffield United</v>
      </c>
      <c r="I559" s="2" t="str">
        <f aca="false">IF(F559&lt;&gt;"","N",IF(LEFT(B559,10)="Arsenal v ","H","A"))</f>
        <v>H</v>
      </c>
      <c r="J559" s="2"/>
    </row>
    <row r="560" customFormat="false" ht="15" hidden="false" customHeight="false" outlineLevel="0" collapsed="false">
      <c r="A560" s="3" t="n">
        <v>36219</v>
      </c>
      <c r="B560" s="2" t="s">
        <v>501</v>
      </c>
      <c r="C560" s="2" t="s">
        <v>706</v>
      </c>
      <c r="D560" s="2" t="s">
        <v>361</v>
      </c>
      <c r="E560" s="2" t="s">
        <v>356</v>
      </c>
      <c r="F560" s="2"/>
      <c r="G560" s="2" t="s">
        <v>381</v>
      </c>
      <c r="H560" s="2" t="str">
        <f aca="false">IF(LEFT(B560,10)="Arsenal v ",MID(B560,11,100),LEFT(B560,FIND(" v ",B560)-1))</f>
        <v>Newcastle United</v>
      </c>
      <c r="I560" s="2" t="str">
        <f aca="false">IF(F560&lt;&gt;"","N",IF(LEFT(B560,10)="Arsenal v ","H","A"))</f>
        <v>A</v>
      </c>
      <c r="J560" s="2"/>
    </row>
    <row r="561" customFormat="false" ht="15" hidden="false" customHeight="false" outlineLevel="0" collapsed="false">
      <c r="A561" s="3" t="n">
        <v>36225</v>
      </c>
      <c r="B561" s="2" t="s">
        <v>721</v>
      </c>
      <c r="C561" s="2" t="s">
        <v>702</v>
      </c>
      <c r="D561" s="2" t="s">
        <v>348</v>
      </c>
      <c r="E561" s="2" t="s">
        <v>362</v>
      </c>
      <c r="F561" s="2"/>
      <c r="G561" s="2" t="s">
        <v>381</v>
      </c>
      <c r="H561" s="2" t="str">
        <f aca="false">IF(LEFT(B561,10)="Arsenal v ",MID(B561,11,100),LEFT(B561,FIND(" v ",B561)-1))</f>
        <v>Derby County</v>
      </c>
      <c r="I561" s="2" t="str">
        <f aca="false">IF(F561&lt;&gt;"","N",IF(LEFT(B561,10)="Arsenal v ","H","A"))</f>
        <v>H</v>
      </c>
      <c r="J561" s="2"/>
    </row>
    <row r="562" customFormat="false" ht="15" hidden="false" customHeight="false" outlineLevel="0" collapsed="false">
      <c r="A562" s="3" t="n">
        <v>36228</v>
      </c>
      <c r="B562" s="2" t="s">
        <v>713</v>
      </c>
      <c r="C562" s="2" t="s">
        <v>702</v>
      </c>
      <c r="D562" s="2" t="s">
        <v>434</v>
      </c>
      <c r="E562" s="2" t="s">
        <v>356</v>
      </c>
      <c r="F562" s="2"/>
      <c r="G562" s="2" t="s">
        <v>381</v>
      </c>
      <c r="H562" s="2" t="str">
        <f aca="false">IF(LEFT(B562,10)="Arsenal v ",MID(B562,11,100),LEFT(B562,FIND(" v ",B562)-1))</f>
        <v>Sheffield Wednesday</v>
      </c>
      <c r="I562" s="2" t="str">
        <f aca="false">IF(F562&lt;&gt;"","N",IF(LEFT(B562,10)="Arsenal v ","H","A"))</f>
        <v>H</v>
      </c>
      <c r="J562" s="2"/>
    </row>
    <row r="563" customFormat="false" ht="15" hidden="false" customHeight="false" outlineLevel="0" collapsed="false">
      <c r="A563" s="3" t="n">
        <v>36232</v>
      </c>
      <c r="B563" s="2" t="s">
        <v>448</v>
      </c>
      <c r="C563" s="2" t="s">
        <v>702</v>
      </c>
      <c r="D563" s="2" t="s">
        <v>353</v>
      </c>
      <c r="E563" s="2" t="s">
        <v>356</v>
      </c>
      <c r="F563" s="2"/>
      <c r="G563" s="2" t="s">
        <v>381</v>
      </c>
      <c r="H563" s="2" t="str">
        <f aca="false">IF(LEFT(B563,10)="Arsenal v ",MID(B563,11,100),LEFT(B563,FIND(" v ",B563)-1))</f>
        <v>Everton</v>
      </c>
      <c r="I563" s="2" t="str">
        <f aca="false">IF(F563&lt;&gt;"","N",IF(LEFT(B563,10)="Arsenal v ","H","A"))</f>
        <v>A</v>
      </c>
      <c r="J563" s="2"/>
    </row>
    <row r="564" customFormat="false" ht="15" hidden="false" customHeight="false" outlineLevel="0" collapsed="false">
      <c r="A564" s="3" t="n">
        <v>36239</v>
      </c>
      <c r="B564" s="2" t="s">
        <v>709</v>
      </c>
      <c r="C564" s="2" t="s">
        <v>702</v>
      </c>
      <c r="D564" s="2" t="s">
        <v>351</v>
      </c>
      <c r="E564" s="2" t="s">
        <v>356</v>
      </c>
      <c r="F564" s="2"/>
      <c r="G564" s="2" t="s">
        <v>381</v>
      </c>
      <c r="H564" s="2" t="str">
        <f aca="false">IF(LEFT(B564,10)="Arsenal v ",MID(B564,11,100),LEFT(B564,FIND(" v ",B564)-1))</f>
        <v>Coventry City</v>
      </c>
      <c r="I564" s="2" t="str">
        <f aca="false">IF(F564&lt;&gt;"","N",IF(LEFT(B564,10)="Arsenal v ","H","A"))</f>
        <v>H</v>
      </c>
      <c r="J564" s="2"/>
    </row>
    <row r="565" customFormat="false" ht="15" hidden="false" customHeight="false" outlineLevel="0" collapsed="false">
      <c r="A565" s="3" t="n">
        <v>36253</v>
      </c>
      <c r="B565" s="2" t="s">
        <v>546</v>
      </c>
      <c r="C565" s="2" t="s">
        <v>706</v>
      </c>
      <c r="D565" s="2" t="s">
        <v>369</v>
      </c>
      <c r="E565" s="2" t="s">
        <v>356</v>
      </c>
      <c r="F565" s="2"/>
      <c r="G565" s="2" t="s">
        <v>381</v>
      </c>
      <c r="H565" s="2" t="str">
        <f aca="false">IF(LEFT(B565,10)="Arsenal v ",MID(B565,11,100),LEFT(B565,FIND(" v ",B565)-1))</f>
        <v>Southampton</v>
      </c>
      <c r="I565" s="2" t="str">
        <f aca="false">IF(F565&lt;&gt;"","N",IF(LEFT(B565,10)="Arsenal v ","H","A"))</f>
        <v>A</v>
      </c>
      <c r="J565" s="2"/>
    </row>
    <row r="566" customFormat="false" ht="15" hidden="false" customHeight="false" outlineLevel="0" collapsed="false">
      <c r="A566" s="3" t="n">
        <v>36256</v>
      </c>
      <c r="B566" s="2" t="s">
        <v>737</v>
      </c>
      <c r="C566" s="2" t="s">
        <v>702</v>
      </c>
      <c r="D566" s="2" t="s">
        <v>348</v>
      </c>
      <c r="E566" s="2" t="s">
        <v>356</v>
      </c>
      <c r="F566" s="2"/>
      <c r="G566" s="2" t="s">
        <v>381</v>
      </c>
      <c r="H566" s="2" t="str">
        <f aca="false">IF(LEFT(B566,10)="Arsenal v ",MID(B566,11,100),LEFT(B566,FIND(" v ",B566)-1))</f>
        <v>Blackburn Rovers</v>
      </c>
      <c r="I566" s="2" t="str">
        <f aca="false">IF(F566&lt;&gt;"","N",IF(LEFT(B566,10)="Arsenal v ","H","A"))</f>
        <v>H</v>
      </c>
      <c r="J566" s="2"/>
    </row>
    <row r="567" customFormat="false" ht="15" hidden="false" customHeight="false" outlineLevel="0" collapsed="false">
      <c r="A567" s="3" t="n">
        <v>36261</v>
      </c>
      <c r="B567" s="2" t="s">
        <v>490</v>
      </c>
      <c r="C567" s="2" t="s">
        <v>706</v>
      </c>
      <c r="D567" s="2" t="s">
        <v>369</v>
      </c>
      <c r="E567" s="2" t="s">
        <v>362</v>
      </c>
      <c r="F567" s="2" t="s">
        <v>608</v>
      </c>
      <c r="G567" s="2" t="s">
        <v>381</v>
      </c>
      <c r="H567" s="2" t="str">
        <f aca="false">IF(LEFT(B567,10)="Arsenal v ",MID(B567,11,100),LEFT(B567,FIND(" v ",B567)-1))</f>
        <v>Manchester United</v>
      </c>
      <c r="I567" s="2" t="str">
        <f aca="false">IF(F567&lt;&gt;"","N",IF(LEFT(B567,10)="Arsenal v ","H","A"))</f>
        <v>N</v>
      </c>
      <c r="J567" s="2"/>
    </row>
    <row r="568" customFormat="false" ht="15" hidden="false" customHeight="false" outlineLevel="0" collapsed="false">
      <c r="A568" s="3" t="n">
        <v>36264</v>
      </c>
      <c r="B568" s="2" t="s">
        <v>656</v>
      </c>
      <c r="C568" s="2" t="s">
        <v>704</v>
      </c>
      <c r="D568" s="2" t="s">
        <v>360</v>
      </c>
      <c r="E568" s="2" t="s">
        <v>362</v>
      </c>
      <c r="F568" s="2" t="s">
        <v>608</v>
      </c>
      <c r="G568" s="2" t="s">
        <v>381</v>
      </c>
      <c r="H568" s="2" t="str">
        <f aca="false">IF(LEFT(B568,10)="Arsenal v ",MID(B568,11,100),LEFT(B568,FIND(" v ",B568)-1))</f>
        <v>Manchester United</v>
      </c>
      <c r="I568" s="2" t="str">
        <f aca="false">IF(F568&lt;&gt;"","N",IF(LEFT(B568,10)="Arsenal v ","H","A"))</f>
        <v>N</v>
      </c>
      <c r="J568" s="2"/>
    </row>
    <row r="569" customFormat="false" ht="15" hidden="false" customHeight="false" outlineLevel="0" collapsed="false">
      <c r="A569" s="3" t="n">
        <v>36269</v>
      </c>
      <c r="B569" s="2" t="s">
        <v>722</v>
      </c>
      <c r="C569" s="2" t="s">
        <v>702</v>
      </c>
      <c r="D569" s="2" t="s">
        <v>401</v>
      </c>
      <c r="E569" s="2" t="s">
        <v>356</v>
      </c>
      <c r="F569" s="2"/>
      <c r="G569" s="2" t="s">
        <v>381</v>
      </c>
      <c r="H569" s="2" t="str">
        <f aca="false">IF(LEFT(B569,10)="Arsenal v ",MID(B569,11,100),LEFT(B569,FIND(" v ",B569)-1))</f>
        <v>Wimbledon</v>
      </c>
      <c r="I569" s="2" t="str">
        <f aca="false">IF(F569&lt;&gt;"","N",IF(LEFT(B569,10)="Arsenal v ","H","A"))</f>
        <v>H</v>
      </c>
      <c r="J569" s="2"/>
    </row>
    <row r="570" customFormat="false" ht="15" hidden="false" customHeight="false" outlineLevel="0" collapsed="false">
      <c r="A570" s="3" t="n">
        <v>36274</v>
      </c>
      <c r="B570" s="2" t="s">
        <v>494</v>
      </c>
      <c r="C570" s="2" t="s">
        <v>702</v>
      </c>
      <c r="D570" s="2" t="s">
        <v>449</v>
      </c>
      <c r="E570" s="2" t="s">
        <v>356</v>
      </c>
      <c r="F570" s="2"/>
      <c r="G570" s="2" t="s">
        <v>381</v>
      </c>
      <c r="H570" s="2" t="str">
        <f aca="false">IF(LEFT(B570,10)="Arsenal v ",MID(B570,11,100),LEFT(B570,FIND(" v ",B570)-1))</f>
        <v>Middlesbrough</v>
      </c>
      <c r="I570" s="2" t="str">
        <f aca="false">IF(F570&lt;&gt;"","N",IF(LEFT(B570,10)="Arsenal v ","H","A"))</f>
        <v>A</v>
      </c>
      <c r="J570" s="2"/>
    </row>
    <row r="571" customFormat="false" ht="15" hidden="false" customHeight="false" outlineLevel="0" collapsed="false">
      <c r="A571" s="3" t="n">
        <v>36282</v>
      </c>
      <c r="B571" s="2" t="s">
        <v>721</v>
      </c>
      <c r="C571" s="2" t="s">
        <v>702</v>
      </c>
      <c r="D571" s="2" t="s">
        <v>348</v>
      </c>
      <c r="E571" s="2" t="s">
        <v>356</v>
      </c>
      <c r="F571" s="2"/>
      <c r="G571" s="2" t="s">
        <v>381</v>
      </c>
      <c r="H571" s="2" t="str">
        <f aca="false">IF(LEFT(B571,10)="Arsenal v ",MID(B571,11,100),LEFT(B571,FIND(" v ",B571)-1))</f>
        <v>Derby County</v>
      </c>
      <c r="I571" s="2" t="str">
        <f aca="false">IF(F571&lt;&gt;"","N",IF(LEFT(B571,10)="Arsenal v ","H","A"))</f>
        <v>H</v>
      </c>
      <c r="J571" s="2"/>
    </row>
    <row r="572" customFormat="false" ht="15" hidden="false" customHeight="false" outlineLevel="0" collapsed="false">
      <c r="A572" s="3" t="n">
        <v>36285</v>
      </c>
      <c r="B572" s="2" t="s">
        <v>561</v>
      </c>
      <c r="C572" s="2" t="s">
        <v>702</v>
      </c>
      <c r="D572" s="2" t="s">
        <v>373</v>
      </c>
      <c r="E572" s="2" t="s">
        <v>356</v>
      </c>
      <c r="F572" s="2"/>
      <c r="G572" s="2" t="s">
        <v>381</v>
      </c>
      <c r="H572" s="2" t="str">
        <f aca="false">IF(LEFT(B572,10)="Arsenal v ",MID(B572,11,100),LEFT(B572,FIND(" v ",B572)-1))</f>
        <v>Tottenham Hotspur</v>
      </c>
      <c r="I572" s="2" t="str">
        <f aca="false">IF(F572&lt;&gt;"","N",IF(LEFT(B572,10)="Arsenal v ","H","A"))</f>
        <v>A</v>
      </c>
      <c r="J572" s="2"/>
    </row>
    <row r="573" customFormat="false" ht="15" hidden="false" customHeight="false" outlineLevel="0" collapsed="false">
      <c r="A573" s="3" t="n">
        <v>36291</v>
      </c>
      <c r="B573" s="2" t="s">
        <v>473</v>
      </c>
      <c r="C573" s="2" t="s">
        <v>704</v>
      </c>
      <c r="D573" s="2" t="s">
        <v>348</v>
      </c>
      <c r="E573" s="2" t="s">
        <v>356</v>
      </c>
      <c r="F573" s="2"/>
      <c r="G573" s="2" t="s">
        <v>381</v>
      </c>
      <c r="H573" s="2" t="str">
        <f aca="false">IF(LEFT(B573,10)="Arsenal v ",MID(B573,11,100),LEFT(B573,FIND(" v ",B573)-1))</f>
        <v>Leeds United</v>
      </c>
      <c r="I573" s="2" t="str">
        <f aca="false">IF(F573&lt;&gt;"","N",IF(LEFT(B573,10)="Arsenal v ","H","A"))</f>
        <v>A</v>
      </c>
      <c r="J573" s="2"/>
    </row>
    <row r="574" customFormat="false" ht="15" hidden="false" customHeight="false" outlineLevel="0" collapsed="false">
      <c r="A574" s="3" t="n">
        <v>36296</v>
      </c>
      <c r="B574" s="2" t="s">
        <v>703</v>
      </c>
      <c r="C574" s="2" t="s">
        <v>702</v>
      </c>
      <c r="D574" s="2" t="s">
        <v>348</v>
      </c>
      <c r="E574" s="2" t="s">
        <v>356</v>
      </c>
      <c r="F574" s="2"/>
      <c r="G574" s="2" t="s">
        <v>381</v>
      </c>
      <c r="H574" s="2" t="str">
        <f aca="false">IF(LEFT(B574,10)="Arsenal v ",MID(B574,11,100),LEFT(B574,FIND(" v ",B574)-1))</f>
        <v>Aston Villa</v>
      </c>
      <c r="I574" s="2" t="str">
        <f aca="false">IF(F574&lt;&gt;"","N",IF(LEFT(B574,10)="Arsenal v ","H","A"))</f>
        <v>H</v>
      </c>
      <c r="J574" s="2"/>
    </row>
    <row r="575" customFormat="false" ht="15" hidden="false" customHeight="false" outlineLevel="0" collapsed="false">
      <c r="A575" s="3" t="n">
        <v>36373</v>
      </c>
      <c r="B575" s="2" t="s">
        <v>656</v>
      </c>
      <c r="C575" s="2" t="s">
        <v>702</v>
      </c>
      <c r="D575" s="2" t="s">
        <v>359</v>
      </c>
      <c r="E575" s="2" t="s">
        <v>478</v>
      </c>
      <c r="F575" s="2"/>
      <c r="G575" s="2" t="s">
        <v>19</v>
      </c>
      <c r="H575" s="2" t="str">
        <f aca="false">IF(LEFT(B575,10)="Arsenal v ",MID(B575,11,100),LEFT(B575,FIND(" v ",B575)-1))</f>
        <v>Manchester United</v>
      </c>
      <c r="I575" s="2" t="str">
        <f aca="false">IF(F575&lt;&gt;"","N",IF(LEFT(B575,10)="Arsenal v ","H","A"))</f>
        <v>H</v>
      </c>
      <c r="J575" s="2"/>
    </row>
    <row r="576" customFormat="false" ht="15" hidden="false" customHeight="false" outlineLevel="0" collapsed="false">
      <c r="A576" s="3" t="n">
        <v>36379</v>
      </c>
      <c r="B576" s="2" t="s">
        <v>733</v>
      </c>
      <c r="C576" s="2" t="s">
        <v>702</v>
      </c>
      <c r="D576" s="2" t="s">
        <v>359</v>
      </c>
      <c r="E576" s="2" t="s">
        <v>356</v>
      </c>
      <c r="F576" s="2"/>
      <c r="G576" s="2" t="s">
        <v>19</v>
      </c>
      <c r="H576" s="2" t="str">
        <f aca="false">IF(LEFT(B576,10)="Arsenal v ",MID(B576,11,100),LEFT(B576,FIND(" v ",B576)-1))</f>
        <v>Leicester City</v>
      </c>
      <c r="I576" s="2" t="str">
        <f aca="false">IF(F576&lt;&gt;"","N",IF(LEFT(B576,10)="Arsenal v ","H","A"))</f>
        <v>H</v>
      </c>
      <c r="J576" s="2"/>
    </row>
    <row r="577" customFormat="false" ht="15" hidden="false" customHeight="false" outlineLevel="0" collapsed="false">
      <c r="A577" s="3" t="n">
        <v>36382</v>
      </c>
      <c r="B577" s="2" t="s">
        <v>440</v>
      </c>
      <c r="C577" s="2" t="s">
        <v>702</v>
      </c>
      <c r="D577" s="2" t="s">
        <v>360</v>
      </c>
      <c r="E577" s="2" t="s">
        <v>356</v>
      </c>
      <c r="F577" s="2"/>
      <c r="G577" s="2" t="s">
        <v>19</v>
      </c>
      <c r="H577" s="2" t="str">
        <f aca="false">IF(LEFT(B577,10)="Arsenal v ",MID(B577,11,100),LEFT(B577,FIND(" v ",B577)-1))</f>
        <v>Derby County</v>
      </c>
      <c r="I577" s="2" t="str">
        <f aca="false">IF(F577&lt;&gt;"","N",IF(LEFT(B577,10)="Arsenal v ","H","A"))</f>
        <v>A</v>
      </c>
      <c r="J577" s="2"/>
    </row>
    <row r="578" customFormat="false" ht="15" hidden="false" customHeight="false" outlineLevel="0" collapsed="false">
      <c r="A578" s="3" t="n">
        <v>36386</v>
      </c>
      <c r="B578" s="2" t="s">
        <v>556</v>
      </c>
      <c r="C578" s="2" t="s">
        <v>706</v>
      </c>
      <c r="D578" s="2" t="s">
        <v>369</v>
      </c>
      <c r="E578" s="2" t="s">
        <v>356</v>
      </c>
      <c r="F578" s="2"/>
      <c r="G578" s="2" t="s">
        <v>19</v>
      </c>
      <c r="H578" s="2" t="str">
        <f aca="false">IF(LEFT(B578,10)="Arsenal v ",MID(B578,11,100),LEFT(B578,FIND(" v ",B578)-1))</f>
        <v>Sunderland</v>
      </c>
      <c r="I578" s="2" t="str">
        <f aca="false">IF(F578&lt;&gt;"","N",IF(LEFT(B578,10)="Arsenal v ","H","A"))</f>
        <v>A</v>
      </c>
      <c r="J578" s="2"/>
    </row>
    <row r="579" customFormat="false" ht="15" hidden="false" customHeight="false" outlineLevel="0" collapsed="false">
      <c r="A579" s="3" t="n">
        <v>36394</v>
      </c>
      <c r="B579" s="2" t="s">
        <v>656</v>
      </c>
      <c r="C579" s="2" t="s">
        <v>704</v>
      </c>
      <c r="D579" s="2" t="s">
        <v>360</v>
      </c>
      <c r="E579" s="2" t="s">
        <v>356</v>
      </c>
      <c r="F579" s="2"/>
      <c r="G579" s="2" t="s">
        <v>19</v>
      </c>
      <c r="H579" s="2" t="str">
        <f aca="false">IF(LEFT(B579,10)="Arsenal v ",MID(B579,11,100),LEFT(B579,FIND(" v ",B579)-1))</f>
        <v>Manchester United</v>
      </c>
      <c r="I579" s="2" t="str">
        <f aca="false">IF(F579&lt;&gt;"","N",IF(LEFT(B579,10)="Arsenal v ","H","A"))</f>
        <v>H</v>
      </c>
      <c r="J579" s="2"/>
    </row>
    <row r="580" customFormat="false" ht="15" hidden="false" customHeight="false" outlineLevel="0" collapsed="false">
      <c r="A580" s="3" t="n">
        <v>36397</v>
      </c>
      <c r="B580" s="2" t="s">
        <v>763</v>
      </c>
      <c r="C580" s="2" t="s">
        <v>702</v>
      </c>
      <c r="D580" s="2" t="s">
        <v>351</v>
      </c>
      <c r="E580" s="2" t="s">
        <v>356</v>
      </c>
      <c r="F580" s="2"/>
      <c r="G580" s="2" t="s">
        <v>19</v>
      </c>
      <c r="H580" s="2" t="str">
        <f aca="false">IF(LEFT(B580,10)="Arsenal v ",MID(B580,11,100),LEFT(B580,FIND(" v ",B580)-1))</f>
        <v>Bradford City</v>
      </c>
      <c r="I580" s="2" t="str">
        <f aca="false">IF(F580&lt;&gt;"","N",IF(LEFT(B580,10)="Arsenal v ","H","A"))</f>
        <v>H</v>
      </c>
      <c r="J580" s="2"/>
    </row>
    <row r="581" customFormat="false" ht="15" hidden="false" customHeight="false" outlineLevel="0" collapsed="false">
      <c r="A581" s="3" t="n">
        <v>36400</v>
      </c>
      <c r="B581" s="2" t="s">
        <v>477</v>
      </c>
      <c r="C581" s="2" t="s">
        <v>704</v>
      </c>
      <c r="D581" s="2" t="s">
        <v>351</v>
      </c>
      <c r="E581" s="2" t="s">
        <v>356</v>
      </c>
      <c r="F581" s="2"/>
      <c r="G581" s="2" t="s">
        <v>19</v>
      </c>
      <c r="H581" s="2" t="str">
        <f aca="false">IF(LEFT(B581,10)="Arsenal v ",MID(B581,11,100),LEFT(B581,FIND(" v ",B581)-1))</f>
        <v>Liverpool</v>
      </c>
      <c r="I581" s="2" t="str">
        <f aca="false">IF(F581&lt;&gt;"","N",IF(LEFT(B581,10)="Arsenal v ","H","A"))</f>
        <v>A</v>
      </c>
      <c r="J581" s="2"/>
    </row>
    <row r="582" customFormat="false" ht="15" hidden="false" customHeight="false" outlineLevel="0" collapsed="false">
      <c r="A582" s="3" t="n">
        <v>36414</v>
      </c>
      <c r="B582" s="2" t="s">
        <v>703</v>
      </c>
      <c r="C582" s="2" t="s">
        <v>702</v>
      </c>
      <c r="D582" s="2" t="s">
        <v>377</v>
      </c>
      <c r="E582" s="2" t="s">
        <v>356</v>
      </c>
      <c r="F582" s="2"/>
      <c r="G582" s="2" t="s">
        <v>19</v>
      </c>
      <c r="H582" s="2" t="str">
        <f aca="false">IF(LEFT(B582,10)="Arsenal v ",MID(B582,11,100),LEFT(B582,FIND(" v ",B582)-1))</f>
        <v>Aston Villa</v>
      </c>
      <c r="I582" s="2" t="str">
        <f aca="false">IF(F582&lt;&gt;"","N",IF(LEFT(B582,10)="Arsenal v ","H","A"))</f>
        <v>H</v>
      </c>
      <c r="J582" s="2"/>
    </row>
    <row r="583" customFormat="false" ht="15" hidden="false" customHeight="false" outlineLevel="0" collapsed="false">
      <c r="A583" s="3" t="n">
        <v>36417</v>
      </c>
      <c r="B583" s="2" t="s">
        <v>458</v>
      </c>
      <c r="C583" s="2" t="s">
        <v>706</v>
      </c>
      <c r="D583" s="2" t="s">
        <v>369</v>
      </c>
      <c r="E583" s="2" t="s">
        <v>352</v>
      </c>
      <c r="F583" s="2"/>
      <c r="G583" s="2" t="s">
        <v>19</v>
      </c>
      <c r="H583" s="2" t="str">
        <f aca="false">IF(LEFT(B583,10)="Arsenal v ",MID(B583,11,100),LEFT(B583,FIND(" v ",B583)-1))</f>
        <v>Fiorentina</v>
      </c>
      <c r="I583" s="2" t="str">
        <f aca="false">IF(F583&lt;&gt;"","N",IF(LEFT(B583,10)="Arsenal v ","H","A"))</f>
        <v>A</v>
      </c>
      <c r="J583" s="2"/>
    </row>
    <row r="584" customFormat="false" ht="15" hidden="false" customHeight="false" outlineLevel="0" collapsed="false">
      <c r="A584" s="3" t="n">
        <v>36421</v>
      </c>
      <c r="B584" s="2" t="s">
        <v>546</v>
      </c>
      <c r="C584" s="2" t="s">
        <v>702</v>
      </c>
      <c r="D584" s="2" t="s">
        <v>383</v>
      </c>
      <c r="E584" s="2" t="s">
        <v>356</v>
      </c>
      <c r="F584" s="2"/>
      <c r="G584" s="2" t="s">
        <v>19</v>
      </c>
      <c r="H584" s="2" t="str">
        <f aca="false">IF(LEFT(B584,10)="Arsenal v ",MID(B584,11,100),LEFT(B584,FIND(" v ",B584)-1))</f>
        <v>Southampton</v>
      </c>
      <c r="I584" s="2" t="str">
        <f aca="false">IF(F584&lt;&gt;"","N",IF(LEFT(B584,10)="Arsenal v ","H","A"))</f>
        <v>A</v>
      </c>
      <c r="J584" s="2"/>
    </row>
    <row r="585" customFormat="false" ht="15" hidden="false" customHeight="false" outlineLevel="0" collapsed="false">
      <c r="A585" s="3" t="n">
        <v>36425</v>
      </c>
      <c r="B585" s="2" t="s">
        <v>663</v>
      </c>
      <c r="C585" s="2" t="s">
        <v>702</v>
      </c>
      <c r="D585" s="2" t="s">
        <v>377</v>
      </c>
      <c r="E585" s="2" t="s">
        <v>352</v>
      </c>
      <c r="F585" s="2"/>
      <c r="G585" s="2" t="s">
        <v>19</v>
      </c>
      <c r="H585" s="2" t="str">
        <f aca="false">IF(LEFT(B585,10)="Arsenal v ",MID(B585,11,100),LEFT(B585,FIND(" v ",B585)-1))</f>
        <v>AIK Solna</v>
      </c>
      <c r="I585" s="2" t="str">
        <f aca="false">IF(F585&lt;&gt;"","N",IF(LEFT(B585,10)="Arsenal v ","H","A"))</f>
        <v>H</v>
      </c>
      <c r="J585" s="2"/>
    </row>
    <row r="586" customFormat="false" ht="15" hidden="false" customHeight="false" outlineLevel="0" collapsed="false">
      <c r="A586" s="3" t="n">
        <v>36428</v>
      </c>
      <c r="B586" s="2" t="s">
        <v>764</v>
      </c>
      <c r="C586" s="2" t="s">
        <v>702</v>
      </c>
      <c r="D586" s="2" t="s">
        <v>348</v>
      </c>
      <c r="E586" s="2" t="s">
        <v>356</v>
      </c>
      <c r="F586" s="2"/>
      <c r="G586" s="2" t="s">
        <v>19</v>
      </c>
      <c r="H586" s="2" t="str">
        <f aca="false">IF(LEFT(B586,10)="Arsenal v ",MID(B586,11,100),LEFT(B586,FIND(" v ",B586)-1))</f>
        <v>Watford</v>
      </c>
      <c r="I586" s="2" t="str">
        <f aca="false">IF(F586&lt;&gt;"","N",IF(LEFT(B586,10)="Arsenal v ","H","A"))</f>
        <v>H</v>
      </c>
      <c r="J586" s="2"/>
    </row>
    <row r="587" customFormat="false" ht="15" hidden="false" customHeight="false" outlineLevel="0" collapsed="false">
      <c r="A587" s="3" t="n">
        <v>36432</v>
      </c>
      <c r="B587" s="2" t="s">
        <v>396</v>
      </c>
      <c r="C587" s="2" t="s">
        <v>706</v>
      </c>
      <c r="D587" s="2" t="s">
        <v>361</v>
      </c>
      <c r="E587" s="2" t="s">
        <v>352</v>
      </c>
      <c r="F587" s="2"/>
      <c r="G587" s="2" t="s">
        <v>19</v>
      </c>
      <c r="H587" s="2" t="str">
        <f aca="false">IF(LEFT(B587,10)="Arsenal v ",MID(B587,11,100),LEFT(B587,FIND(" v ",B587)-1))</f>
        <v>Barcelona</v>
      </c>
      <c r="I587" s="2" t="str">
        <f aca="false">IF(F587&lt;&gt;"","N",IF(LEFT(B587,10)="Arsenal v ","H","A"))</f>
        <v>A</v>
      </c>
      <c r="J587" s="2"/>
    </row>
    <row r="588" customFormat="false" ht="15" hidden="false" customHeight="false" outlineLevel="0" collapsed="false">
      <c r="A588" s="3" t="n">
        <v>36436</v>
      </c>
      <c r="B588" s="2" t="s">
        <v>572</v>
      </c>
      <c r="C588" s="2" t="s">
        <v>704</v>
      </c>
      <c r="D588" s="2" t="s">
        <v>359</v>
      </c>
      <c r="E588" s="2" t="s">
        <v>356</v>
      </c>
      <c r="F588" s="2"/>
      <c r="G588" s="2" t="s">
        <v>19</v>
      </c>
      <c r="H588" s="2" t="str">
        <f aca="false">IF(LEFT(B588,10)="Arsenal v ",MID(B588,11,100),LEFT(B588,FIND(" v ",B588)-1))</f>
        <v>West Ham United</v>
      </c>
      <c r="I588" s="2" t="str">
        <f aca="false">IF(F588&lt;&gt;"","N",IF(LEFT(B588,10)="Arsenal v ","H","A"))</f>
        <v>A</v>
      </c>
      <c r="J588" s="2"/>
    </row>
    <row r="589" customFormat="false" ht="15" hidden="false" customHeight="false" outlineLevel="0" collapsed="false">
      <c r="A589" s="3" t="n">
        <v>36445</v>
      </c>
      <c r="B589" s="2" t="s">
        <v>765</v>
      </c>
      <c r="C589" s="2" t="s">
        <v>702</v>
      </c>
      <c r="D589" s="2" t="s">
        <v>359</v>
      </c>
      <c r="E589" s="2" t="s">
        <v>379</v>
      </c>
      <c r="F589" s="2"/>
      <c r="G589" s="2" t="s">
        <v>19</v>
      </c>
      <c r="H589" s="2" t="str">
        <f aca="false">IF(LEFT(B589,10)="Arsenal v ",MID(B589,11,100),LEFT(B589,FIND(" v ",B589)-1))</f>
        <v>Preston North End</v>
      </c>
      <c r="I589" s="2" t="str">
        <f aca="false">IF(F589&lt;&gt;"","N",IF(LEFT(B589,10)="Arsenal v ","H","A"))</f>
        <v>H</v>
      </c>
      <c r="J589" s="2"/>
    </row>
    <row r="590" customFormat="false" ht="15" hidden="false" customHeight="false" outlineLevel="0" collapsed="false">
      <c r="A590" s="3" t="n">
        <v>36449</v>
      </c>
      <c r="B590" s="2" t="s">
        <v>718</v>
      </c>
      <c r="C590" s="2" t="s">
        <v>702</v>
      </c>
      <c r="D590" s="2" t="s">
        <v>397</v>
      </c>
      <c r="E590" s="2" t="s">
        <v>356</v>
      </c>
      <c r="F590" s="2"/>
      <c r="G590" s="2" t="s">
        <v>19</v>
      </c>
      <c r="H590" s="2" t="str">
        <f aca="false">IF(LEFT(B590,10)="Arsenal v ",MID(B590,11,100),LEFT(B590,FIND(" v ",B590)-1))</f>
        <v>Everton</v>
      </c>
      <c r="I590" s="2" t="str">
        <f aca="false">IF(F590&lt;&gt;"","N",IF(LEFT(B590,10)="Arsenal v ","H","A"))</f>
        <v>H</v>
      </c>
      <c r="J590" s="2"/>
    </row>
    <row r="591" customFormat="false" ht="15" hidden="false" customHeight="false" outlineLevel="0" collapsed="false">
      <c r="A591" s="3" t="n">
        <v>36452</v>
      </c>
      <c r="B591" s="2" t="s">
        <v>664</v>
      </c>
      <c r="C591" s="2" t="s">
        <v>704</v>
      </c>
      <c r="D591" s="2" t="s">
        <v>384</v>
      </c>
      <c r="E591" s="2" t="s">
        <v>352</v>
      </c>
      <c r="F591" s="2"/>
      <c r="G591" s="2" t="s">
        <v>19</v>
      </c>
      <c r="H591" s="2" t="str">
        <f aca="false">IF(LEFT(B591,10)="Arsenal v ",MID(B591,11,100),LEFT(B591,FIND(" v ",B591)-1))</f>
        <v>Barcelona</v>
      </c>
      <c r="I591" s="2" t="str">
        <f aca="false">IF(F591&lt;&gt;"","N",IF(LEFT(B591,10)="Arsenal v ","H","A"))</f>
        <v>H</v>
      </c>
      <c r="J591" s="2"/>
    </row>
    <row r="592" customFormat="false" ht="15" hidden="false" customHeight="false" outlineLevel="0" collapsed="false">
      <c r="A592" s="3" t="n">
        <v>36456</v>
      </c>
      <c r="B592" s="2" t="s">
        <v>426</v>
      </c>
      <c r="C592" s="2" t="s">
        <v>702</v>
      </c>
      <c r="D592" s="2" t="s">
        <v>366</v>
      </c>
      <c r="E592" s="2" t="s">
        <v>356</v>
      </c>
      <c r="F592" s="2"/>
      <c r="G592" s="2" t="s">
        <v>19</v>
      </c>
      <c r="H592" s="2" t="str">
        <f aca="false">IF(LEFT(B592,10)="Arsenal v ",MID(B592,11,100),LEFT(B592,FIND(" v ",B592)-1))</f>
        <v>Chelsea</v>
      </c>
      <c r="I592" s="2" t="str">
        <f aca="false">IF(F592&lt;&gt;"","N",IF(LEFT(B592,10)="Arsenal v ","H","A"))</f>
        <v>A</v>
      </c>
      <c r="J592" s="2"/>
    </row>
    <row r="593" customFormat="false" ht="15" hidden="false" customHeight="false" outlineLevel="0" collapsed="false">
      <c r="A593" s="3" t="n">
        <v>36460</v>
      </c>
      <c r="B593" s="2" t="s">
        <v>665</v>
      </c>
      <c r="C593" s="2" t="s">
        <v>704</v>
      </c>
      <c r="D593" s="2" t="s">
        <v>383</v>
      </c>
      <c r="E593" s="2" t="s">
        <v>352</v>
      </c>
      <c r="F593" s="2"/>
      <c r="G593" s="2" t="s">
        <v>19</v>
      </c>
      <c r="H593" s="2" t="str">
        <f aca="false">IF(LEFT(B593,10)="Arsenal v ",MID(B593,11,100),LEFT(B593,FIND(" v ",B593)-1))</f>
        <v>Fiorentina</v>
      </c>
      <c r="I593" s="2" t="str">
        <f aca="false">IF(F593&lt;&gt;"","N",IF(LEFT(B593,10)="Arsenal v ","H","A"))</f>
        <v>H</v>
      </c>
      <c r="J593" s="2"/>
    </row>
    <row r="594" customFormat="false" ht="15" hidden="false" customHeight="false" outlineLevel="0" collapsed="false">
      <c r="A594" s="3" t="n">
        <v>36463</v>
      </c>
      <c r="B594" s="2" t="s">
        <v>719</v>
      </c>
      <c r="C594" s="2" t="s">
        <v>706</v>
      </c>
      <c r="D594" s="2" t="s">
        <v>369</v>
      </c>
      <c r="E594" s="2" t="s">
        <v>356</v>
      </c>
      <c r="F594" s="2"/>
      <c r="G594" s="2" t="s">
        <v>19</v>
      </c>
      <c r="H594" s="2" t="str">
        <f aca="false">IF(LEFT(B594,10)="Arsenal v ",MID(B594,11,100),LEFT(B594,FIND(" v ",B594)-1))</f>
        <v>Newcastle United</v>
      </c>
      <c r="I594" s="2" t="str">
        <f aca="false">IF(F594&lt;&gt;"","N",IF(LEFT(B594,10)="Arsenal v ","H","A"))</f>
        <v>H</v>
      </c>
      <c r="J594" s="2"/>
    </row>
    <row r="595" customFormat="false" ht="15" hidden="false" customHeight="false" outlineLevel="0" collapsed="false">
      <c r="A595" s="3" t="n">
        <v>36466</v>
      </c>
      <c r="B595" s="2" t="s">
        <v>367</v>
      </c>
      <c r="C595" s="2" t="s">
        <v>702</v>
      </c>
      <c r="D595" s="2" t="s">
        <v>366</v>
      </c>
      <c r="E595" s="2" t="s">
        <v>352</v>
      </c>
      <c r="F595" s="2"/>
      <c r="G595" s="2" t="s">
        <v>19</v>
      </c>
      <c r="H595" s="2" t="str">
        <f aca="false">IF(LEFT(B595,10)="Arsenal v ",MID(B595,11,100),LEFT(B595,FIND(" v ",B595)-1))</f>
        <v>AIK Solna</v>
      </c>
      <c r="I595" s="2" t="str">
        <f aca="false">IF(F595&lt;&gt;"","N",IF(LEFT(B595,10)="Arsenal v ","H","A"))</f>
        <v>A</v>
      </c>
      <c r="J595" s="2"/>
    </row>
    <row r="596" customFormat="false" ht="15" hidden="false" customHeight="false" outlineLevel="0" collapsed="false">
      <c r="A596" s="3" t="n">
        <v>36471</v>
      </c>
      <c r="B596" s="2" t="s">
        <v>561</v>
      </c>
      <c r="C596" s="2" t="s">
        <v>704</v>
      </c>
      <c r="D596" s="2" t="s">
        <v>359</v>
      </c>
      <c r="E596" s="2" t="s">
        <v>356</v>
      </c>
      <c r="F596" s="2"/>
      <c r="G596" s="2" t="s">
        <v>19</v>
      </c>
      <c r="H596" s="2" t="str">
        <f aca="false">IF(LEFT(B596,10)="Arsenal v ",MID(B596,11,100),LEFT(B596,FIND(" v ",B596)-1))</f>
        <v>Tottenham Hotspur</v>
      </c>
      <c r="I596" s="2" t="str">
        <f aca="false">IF(F596&lt;&gt;"","N",IF(LEFT(B596,10)="Arsenal v ","H","A"))</f>
        <v>A</v>
      </c>
      <c r="J596" s="2"/>
    </row>
    <row r="597" customFormat="false" ht="15" hidden="false" customHeight="false" outlineLevel="0" collapsed="false">
      <c r="A597" s="3" t="n">
        <v>36484</v>
      </c>
      <c r="B597" s="2" t="s">
        <v>711</v>
      </c>
      <c r="C597" s="2" t="s">
        <v>702</v>
      </c>
      <c r="D597" s="2" t="s">
        <v>401</v>
      </c>
      <c r="E597" s="2" t="s">
        <v>356</v>
      </c>
      <c r="F597" s="2"/>
      <c r="G597" s="2" t="s">
        <v>19</v>
      </c>
      <c r="H597" s="2" t="str">
        <f aca="false">IF(LEFT(B597,10)="Arsenal v ",MID(B597,11,100),LEFT(B597,FIND(" v ",B597)-1))</f>
        <v>Middlesbrough</v>
      </c>
      <c r="I597" s="2" t="str">
        <f aca="false">IF(F597&lt;&gt;"","N",IF(LEFT(B597,10)="Arsenal v ","H","A"))</f>
        <v>H</v>
      </c>
      <c r="J597" s="2"/>
    </row>
    <row r="598" customFormat="false" ht="15" hidden="false" customHeight="false" outlineLevel="0" collapsed="false">
      <c r="A598" s="3" t="n">
        <v>36489</v>
      </c>
      <c r="B598" s="2" t="s">
        <v>766</v>
      </c>
      <c r="C598" s="2" t="s">
        <v>702</v>
      </c>
      <c r="D598" s="2" t="s">
        <v>434</v>
      </c>
      <c r="E598" s="2" t="s">
        <v>412</v>
      </c>
      <c r="F598" s="2"/>
      <c r="G598" s="2" t="s">
        <v>19</v>
      </c>
      <c r="H598" s="2" t="str">
        <f aca="false">IF(LEFT(B598,10)="Arsenal v ",MID(B598,11,100),LEFT(B598,FIND(" v ",B598)-1))</f>
        <v>Nantes</v>
      </c>
      <c r="I598" s="2" t="str">
        <f aca="false">IF(F598&lt;&gt;"","N",IF(LEFT(B598,10)="Arsenal v ","H","A"))</f>
        <v>H</v>
      </c>
      <c r="J598" s="2"/>
    </row>
    <row r="599" customFormat="false" ht="15" hidden="false" customHeight="false" outlineLevel="0" collapsed="false">
      <c r="A599" s="3" t="n">
        <v>36492</v>
      </c>
      <c r="B599" s="2" t="s">
        <v>721</v>
      </c>
      <c r="C599" s="2" t="s">
        <v>702</v>
      </c>
      <c r="D599" s="2" t="s">
        <v>359</v>
      </c>
      <c r="E599" s="2" t="s">
        <v>356</v>
      </c>
      <c r="F599" s="2"/>
      <c r="G599" s="2" t="s">
        <v>19</v>
      </c>
      <c r="H599" s="2" t="str">
        <f aca="false">IF(LEFT(B599,10)="Arsenal v ",MID(B599,11,100),LEFT(B599,FIND(" v ",B599)-1))</f>
        <v>Derby County</v>
      </c>
      <c r="I599" s="2" t="str">
        <f aca="false">IF(F599&lt;&gt;"","N",IF(LEFT(B599,10)="Arsenal v ","H","A"))</f>
        <v>H</v>
      </c>
      <c r="J599" s="2"/>
    </row>
    <row r="600" customFormat="false" ht="15" hidden="false" customHeight="false" outlineLevel="0" collapsed="false">
      <c r="A600" s="3" t="n">
        <v>36494</v>
      </c>
      <c r="B600" s="2" t="s">
        <v>494</v>
      </c>
      <c r="C600" s="2" t="s">
        <v>704</v>
      </c>
      <c r="D600" s="2" t="s">
        <v>495</v>
      </c>
      <c r="E600" s="2" t="s">
        <v>379</v>
      </c>
      <c r="F600" s="2"/>
      <c r="G600" s="2" t="s">
        <v>19</v>
      </c>
      <c r="H600" s="2" t="str">
        <f aca="false">IF(LEFT(B600,10)="Arsenal v ",MID(B600,11,100),LEFT(B600,FIND(" v ",B600)-1))</f>
        <v>Middlesbrough</v>
      </c>
      <c r="I600" s="2" t="str">
        <f aca="false">IF(F600&lt;&gt;"","N",IF(LEFT(B600,10)="Arsenal v ","H","A"))</f>
        <v>A</v>
      </c>
      <c r="J600" s="2"/>
    </row>
    <row r="601" customFormat="false" ht="15" hidden="false" customHeight="false" outlineLevel="0" collapsed="false">
      <c r="A601" s="3" t="n">
        <v>36498</v>
      </c>
      <c r="B601" s="2" t="s">
        <v>474</v>
      </c>
      <c r="C601" s="2" t="s">
        <v>702</v>
      </c>
      <c r="D601" s="2" t="s">
        <v>363</v>
      </c>
      <c r="E601" s="2" t="s">
        <v>356</v>
      </c>
      <c r="F601" s="2"/>
      <c r="G601" s="2" t="s">
        <v>19</v>
      </c>
      <c r="H601" s="2" t="str">
        <f aca="false">IF(LEFT(B601,10)="Arsenal v ",MID(B601,11,100),LEFT(B601,FIND(" v ",B601)-1))</f>
        <v>Leicester City</v>
      </c>
      <c r="I601" s="2" t="str">
        <f aca="false">IF(F601&lt;&gt;"","N",IF(LEFT(B601,10)="Arsenal v ","H","A"))</f>
        <v>A</v>
      </c>
      <c r="J601" s="2"/>
    </row>
    <row r="602" customFormat="false" ht="15" hidden="false" customHeight="false" outlineLevel="0" collapsed="false">
      <c r="A602" s="3" t="n">
        <v>36503</v>
      </c>
      <c r="B602" s="2" t="s">
        <v>499</v>
      </c>
      <c r="C602" s="2" t="s">
        <v>706</v>
      </c>
      <c r="D602" s="2" t="s">
        <v>358</v>
      </c>
      <c r="E602" s="2" t="s">
        <v>412</v>
      </c>
      <c r="F602" s="2"/>
      <c r="G602" s="2" t="s">
        <v>19</v>
      </c>
      <c r="H602" s="2" t="str">
        <f aca="false">IF(LEFT(B602,10)="Arsenal v ",MID(B602,11,100),LEFT(B602,FIND(" v ",B602)-1))</f>
        <v>Nantes</v>
      </c>
      <c r="I602" s="2" t="str">
        <f aca="false">IF(F602&lt;&gt;"","N",IF(LEFT(B602,10)="Arsenal v ","H","A"))</f>
        <v>A</v>
      </c>
      <c r="J602" s="2"/>
    </row>
    <row r="603" customFormat="false" ht="15" hidden="false" customHeight="false" outlineLevel="0" collapsed="false">
      <c r="A603" s="3" t="n">
        <v>36507</v>
      </c>
      <c r="B603" s="2" t="s">
        <v>767</v>
      </c>
      <c r="C603" s="2" t="s">
        <v>702</v>
      </c>
      <c r="D603" s="2" t="s">
        <v>377</v>
      </c>
      <c r="E603" s="2" t="s">
        <v>362</v>
      </c>
      <c r="F603" s="2"/>
      <c r="G603" s="2" t="s">
        <v>19</v>
      </c>
      <c r="H603" s="2" t="str">
        <f aca="false">IF(LEFT(B603,10)="Arsenal v ",MID(B603,11,100),LEFT(B603,FIND(" v ",B603)-1))</f>
        <v>Blackpool</v>
      </c>
      <c r="I603" s="2" t="str">
        <f aca="false">IF(F603&lt;&gt;"","N",IF(LEFT(B603,10)="Arsenal v ","H","A"))</f>
        <v>H</v>
      </c>
      <c r="J603" s="2"/>
    </row>
    <row r="604" customFormat="false" ht="15" hidden="false" customHeight="false" outlineLevel="0" collapsed="false">
      <c r="A604" s="3" t="n">
        <v>36512</v>
      </c>
      <c r="B604" s="2" t="s">
        <v>722</v>
      </c>
      <c r="C604" s="2" t="s">
        <v>706</v>
      </c>
      <c r="D604" s="2" t="s">
        <v>361</v>
      </c>
      <c r="E604" s="2" t="s">
        <v>356</v>
      </c>
      <c r="F604" s="2"/>
      <c r="G604" s="2" t="s">
        <v>19</v>
      </c>
      <c r="H604" s="2" t="str">
        <f aca="false">IF(LEFT(B604,10)="Arsenal v ",MID(B604,11,100),LEFT(B604,FIND(" v ",B604)-1))</f>
        <v>Wimbledon</v>
      </c>
      <c r="I604" s="2" t="str">
        <f aca="false">IF(F604&lt;&gt;"","N",IF(LEFT(B604,10)="Arsenal v ","H","A"))</f>
        <v>H</v>
      </c>
      <c r="J604" s="2"/>
    </row>
    <row r="605" customFormat="false" ht="15" hidden="false" customHeight="false" outlineLevel="0" collapsed="false">
      <c r="A605" s="3" t="n">
        <v>36520</v>
      </c>
      <c r="B605" s="2" t="s">
        <v>431</v>
      </c>
      <c r="C605" s="2" t="s">
        <v>704</v>
      </c>
      <c r="D605" s="2" t="s">
        <v>382</v>
      </c>
      <c r="E605" s="2" t="s">
        <v>356</v>
      </c>
      <c r="F605" s="2"/>
      <c r="G605" s="2" t="s">
        <v>19</v>
      </c>
      <c r="H605" s="2" t="str">
        <f aca="false">IF(LEFT(B605,10)="Arsenal v ",MID(B605,11,100),LEFT(B605,FIND(" v ",B605)-1))</f>
        <v>Coventry City</v>
      </c>
      <c r="I605" s="2" t="str">
        <f aca="false">IF(F605&lt;&gt;"","N",IF(LEFT(B605,10)="Arsenal v ","H","A"))</f>
        <v>A</v>
      </c>
      <c r="J605" s="2"/>
    </row>
    <row r="606" customFormat="false" ht="15" hidden="false" customHeight="false" outlineLevel="0" collapsed="false">
      <c r="A606" s="3" t="n">
        <v>36522</v>
      </c>
      <c r="B606" s="2" t="s">
        <v>729</v>
      </c>
      <c r="C606" s="2" t="s">
        <v>702</v>
      </c>
      <c r="D606" s="2" t="s">
        <v>351</v>
      </c>
      <c r="E606" s="2" t="s">
        <v>356</v>
      </c>
      <c r="F606" s="2"/>
      <c r="G606" s="2" t="s">
        <v>19</v>
      </c>
      <c r="H606" s="2" t="str">
        <f aca="false">IF(LEFT(B606,10)="Arsenal v ",MID(B606,11,100),LEFT(B606,FIND(" v ",B606)-1))</f>
        <v>Leeds United</v>
      </c>
      <c r="I606" s="2" t="str">
        <f aca="false">IF(F606&lt;&gt;"","N",IF(LEFT(B606,10)="Arsenal v ","H","A"))</f>
        <v>H</v>
      </c>
      <c r="J606" s="2"/>
    </row>
    <row r="607" customFormat="false" ht="15" hidden="false" customHeight="false" outlineLevel="0" collapsed="false">
      <c r="A607" s="3" t="n">
        <v>36528</v>
      </c>
      <c r="B607" s="2" t="s">
        <v>543</v>
      </c>
      <c r="C607" s="2" t="s">
        <v>706</v>
      </c>
      <c r="D607" s="2" t="s">
        <v>361</v>
      </c>
      <c r="E607" s="2" t="s">
        <v>356</v>
      </c>
      <c r="F607" s="2"/>
      <c r="G607" s="2" t="s">
        <v>19</v>
      </c>
      <c r="H607" s="2" t="str">
        <f aca="false">IF(LEFT(B607,10)="Arsenal v ",MID(B607,11,100),LEFT(B607,FIND(" v ",B607)-1))</f>
        <v>Sheffield Wednesday</v>
      </c>
      <c r="I607" s="2" t="str">
        <f aca="false">IF(F607&lt;&gt;"","N",IF(LEFT(B607,10)="Arsenal v ","H","A"))</f>
        <v>A</v>
      </c>
      <c r="J607" s="2"/>
    </row>
    <row r="608" customFormat="false" ht="15" hidden="false" customHeight="false" outlineLevel="0" collapsed="false">
      <c r="A608" s="3" t="n">
        <v>36534</v>
      </c>
      <c r="B608" s="2" t="s">
        <v>733</v>
      </c>
      <c r="C608" s="2" t="s">
        <v>706</v>
      </c>
      <c r="D608" s="2" t="s">
        <v>369</v>
      </c>
      <c r="E608" s="2" t="s">
        <v>362</v>
      </c>
      <c r="F608" s="2"/>
      <c r="G608" s="2" t="s">
        <v>19</v>
      </c>
      <c r="H608" s="2" t="str">
        <f aca="false">IF(LEFT(B608,10)="Arsenal v ",MID(B608,11,100),LEFT(B608,FIND(" v ",B608)-1))</f>
        <v>Leicester City</v>
      </c>
      <c r="I608" s="2" t="str">
        <f aca="false">IF(F608&lt;&gt;"","N",IF(LEFT(B608,10)="Arsenal v ","H","A"))</f>
        <v>H</v>
      </c>
      <c r="J608" s="2"/>
    </row>
    <row r="609" customFormat="false" ht="15" hidden="false" customHeight="false" outlineLevel="0" collapsed="false">
      <c r="A609" s="3" t="n">
        <v>36540</v>
      </c>
      <c r="B609" s="2" t="s">
        <v>727</v>
      </c>
      <c r="C609" s="2" t="s">
        <v>702</v>
      </c>
      <c r="D609" s="2" t="s">
        <v>397</v>
      </c>
      <c r="E609" s="2" t="s">
        <v>356</v>
      </c>
      <c r="F609" s="2"/>
      <c r="G609" s="2" t="s">
        <v>19</v>
      </c>
      <c r="H609" s="2" t="str">
        <f aca="false">IF(LEFT(B609,10)="Arsenal v ",MID(B609,11,100),LEFT(B609,FIND(" v ",B609)-1))</f>
        <v>Sunderland</v>
      </c>
      <c r="I609" s="2" t="str">
        <f aca="false">IF(F609&lt;&gt;"","N",IF(LEFT(B609,10)="Arsenal v ","H","A"))</f>
        <v>H</v>
      </c>
      <c r="J609" s="2"/>
    </row>
    <row r="610" customFormat="false" ht="15" hidden="false" customHeight="false" outlineLevel="0" collapsed="false">
      <c r="A610" s="3" t="n">
        <v>36544</v>
      </c>
      <c r="B610" s="2" t="s">
        <v>474</v>
      </c>
      <c r="C610" s="2" t="s">
        <v>704</v>
      </c>
      <c r="D610" s="2" t="s">
        <v>475</v>
      </c>
      <c r="E610" s="2" t="s">
        <v>362</v>
      </c>
      <c r="F610" s="2"/>
      <c r="G610" s="2" t="s">
        <v>19</v>
      </c>
      <c r="H610" s="2" t="str">
        <f aca="false">IF(LEFT(B610,10)="Arsenal v ",MID(B610,11,100),LEFT(B610,FIND(" v ",B610)-1))</f>
        <v>Leicester City</v>
      </c>
      <c r="I610" s="2" t="str">
        <f aca="false">IF(F610&lt;&gt;"","N",IF(LEFT(B610,10)="Arsenal v ","H","A"))</f>
        <v>A</v>
      </c>
      <c r="J610" s="2"/>
    </row>
    <row r="611" customFormat="false" ht="15" hidden="false" customHeight="false" outlineLevel="0" collapsed="false">
      <c r="A611" s="3" t="n">
        <v>36549</v>
      </c>
      <c r="B611" s="2" t="s">
        <v>490</v>
      </c>
      <c r="C611" s="2" t="s">
        <v>706</v>
      </c>
      <c r="D611" s="2" t="s">
        <v>361</v>
      </c>
      <c r="E611" s="2" t="s">
        <v>356</v>
      </c>
      <c r="F611" s="2"/>
      <c r="G611" s="2" t="s">
        <v>19</v>
      </c>
      <c r="H611" s="2" t="str">
        <f aca="false">IF(LEFT(B611,10)="Arsenal v ",MID(B611,11,100),LEFT(B611,FIND(" v ",B611)-1))</f>
        <v>Manchester United</v>
      </c>
      <c r="I611" s="2" t="str">
        <f aca="false">IF(F611&lt;&gt;"","N",IF(LEFT(B611,10)="Arsenal v ","H","A"))</f>
        <v>A</v>
      </c>
      <c r="J611" s="2"/>
    </row>
    <row r="612" customFormat="false" ht="15" hidden="false" customHeight="false" outlineLevel="0" collapsed="false">
      <c r="A612" s="3" t="n">
        <v>36561</v>
      </c>
      <c r="B612" s="2" t="s">
        <v>414</v>
      </c>
      <c r="C612" s="2" t="s">
        <v>704</v>
      </c>
      <c r="D612" s="2" t="s">
        <v>359</v>
      </c>
      <c r="E612" s="2" t="s">
        <v>356</v>
      </c>
      <c r="F612" s="2"/>
      <c r="G612" s="2" t="s">
        <v>19</v>
      </c>
      <c r="H612" s="2" t="str">
        <f aca="false">IF(LEFT(B612,10)="Arsenal v ",MID(B612,11,100),LEFT(B612,FIND(" v ",B612)-1))</f>
        <v>Bradford City</v>
      </c>
      <c r="I612" s="2" t="str">
        <f aca="false">IF(F612&lt;&gt;"","N",IF(LEFT(B612,10)="Arsenal v ","H","A"))</f>
        <v>A</v>
      </c>
      <c r="J612" s="2"/>
    </row>
    <row r="613" customFormat="false" ht="15" hidden="false" customHeight="false" outlineLevel="0" collapsed="false">
      <c r="A613" s="3" t="n">
        <v>36569</v>
      </c>
      <c r="B613" s="2" t="s">
        <v>710</v>
      </c>
      <c r="C613" s="2" t="s">
        <v>704</v>
      </c>
      <c r="D613" s="2" t="s">
        <v>383</v>
      </c>
      <c r="E613" s="2" t="s">
        <v>356</v>
      </c>
      <c r="F613" s="2"/>
      <c r="G613" s="2" t="s">
        <v>19</v>
      </c>
      <c r="H613" s="2" t="str">
        <f aca="false">IF(LEFT(B613,10)="Arsenal v ",MID(B613,11,100),LEFT(B613,FIND(" v ",B613)-1))</f>
        <v>Liverpool</v>
      </c>
      <c r="I613" s="2" t="str">
        <f aca="false">IF(F613&lt;&gt;"","N",IF(LEFT(B613,10)="Arsenal v ","H","A"))</f>
        <v>H</v>
      </c>
      <c r="J613" s="2"/>
    </row>
    <row r="614" customFormat="false" ht="15" hidden="false" customHeight="false" outlineLevel="0" collapsed="false">
      <c r="A614" s="3" t="n">
        <v>36582</v>
      </c>
      <c r="B614" s="2" t="s">
        <v>705</v>
      </c>
      <c r="C614" s="2" t="s">
        <v>702</v>
      </c>
      <c r="D614" s="2" t="s">
        <v>377</v>
      </c>
      <c r="E614" s="2" t="s">
        <v>356</v>
      </c>
      <c r="F614" s="2"/>
      <c r="G614" s="2" t="s">
        <v>19</v>
      </c>
      <c r="H614" s="2" t="str">
        <f aca="false">IF(LEFT(B614,10)="Arsenal v ",MID(B614,11,100),LEFT(B614,FIND(" v ",B614)-1))</f>
        <v>Southampton</v>
      </c>
      <c r="I614" s="2" t="str">
        <f aca="false">IF(F614&lt;&gt;"","N",IF(LEFT(B614,10)="Arsenal v ","H","A"))</f>
        <v>H</v>
      </c>
      <c r="J614" s="2"/>
    </row>
    <row r="615" customFormat="false" ht="15" hidden="false" customHeight="false" outlineLevel="0" collapsed="false">
      <c r="A615" s="3" t="n">
        <v>36587</v>
      </c>
      <c r="B615" s="2" t="s">
        <v>768</v>
      </c>
      <c r="C615" s="2" t="s">
        <v>702</v>
      </c>
      <c r="D615" s="2" t="s">
        <v>401</v>
      </c>
      <c r="E615" s="2" t="s">
        <v>412</v>
      </c>
      <c r="F615" s="2"/>
      <c r="G615" s="2" t="s">
        <v>19</v>
      </c>
      <c r="H615" s="2" t="str">
        <f aca="false">IF(LEFT(B615,10)="Arsenal v ",MID(B615,11,100),LEFT(B615,FIND(" v ",B615)-1))</f>
        <v>Deportivo La Coruna</v>
      </c>
      <c r="I615" s="2" t="str">
        <f aca="false">IF(F615&lt;&gt;"","N",IF(LEFT(B615,10)="Arsenal v ","H","A"))</f>
        <v>H</v>
      </c>
      <c r="J615" s="2"/>
    </row>
    <row r="616" customFormat="false" ht="15" hidden="false" customHeight="false" outlineLevel="0" collapsed="false">
      <c r="A616" s="3" t="n">
        <v>36590</v>
      </c>
      <c r="B616" s="2" t="s">
        <v>376</v>
      </c>
      <c r="C616" s="2" t="s">
        <v>706</v>
      </c>
      <c r="D616" s="2" t="s">
        <v>361</v>
      </c>
      <c r="E616" s="2" t="s">
        <v>356</v>
      </c>
      <c r="F616" s="2"/>
      <c r="G616" s="2" t="s">
        <v>19</v>
      </c>
      <c r="H616" s="2" t="str">
        <f aca="false">IF(LEFT(B616,10)="Arsenal v ",MID(B616,11,100),LEFT(B616,FIND(" v ",B616)-1))</f>
        <v>Aston Villa</v>
      </c>
      <c r="I616" s="2" t="str">
        <f aca="false">IF(F616&lt;&gt;"","N",IF(LEFT(B616,10)="Arsenal v ","H","A"))</f>
        <v>A</v>
      </c>
      <c r="J616" s="2"/>
    </row>
    <row r="617" customFormat="false" ht="15" hidden="false" customHeight="false" outlineLevel="0" collapsed="false">
      <c r="A617" s="3" t="n">
        <v>36594</v>
      </c>
      <c r="B617" s="2" t="s">
        <v>438</v>
      </c>
      <c r="C617" s="2" t="s">
        <v>704</v>
      </c>
      <c r="D617" s="2" t="s">
        <v>359</v>
      </c>
      <c r="E617" s="2" t="s">
        <v>412</v>
      </c>
      <c r="F617" s="2"/>
      <c r="G617" s="2" t="s">
        <v>19</v>
      </c>
      <c r="H617" s="2" t="str">
        <f aca="false">IF(LEFT(B617,10)="Arsenal v ",MID(B617,11,100),LEFT(B617,FIND(" v ",B617)-1))</f>
        <v>Deportivo La Coruna</v>
      </c>
      <c r="I617" s="2" t="str">
        <f aca="false">IF(F617&lt;&gt;"","N",IF(LEFT(B617,10)="Arsenal v ","H","A"))</f>
        <v>A</v>
      </c>
      <c r="J617" s="2"/>
    </row>
    <row r="618" customFormat="false" ht="15" hidden="false" customHeight="false" outlineLevel="0" collapsed="false">
      <c r="A618" s="3" t="n">
        <v>36597</v>
      </c>
      <c r="B618" s="2" t="s">
        <v>494</v>
      </c>
      <c r="C618" s="2" t="s">
        <v>704</v>
      </c>
      <c r="D618" s="2" t="s">
        <v>359</v>
      </c>
      <c r="E618" s="2" t="s">
        <v>356</v>
      </c>
      <c r="F618" s="2"/>
      <c r="G618" s="2" t="s">
        <v>19</v>
      </c>
      <c r="H618" s="2" t="str">
        <f aca="false">IF(LEFT(B618,10)="Arsenal v ",MID(B618,11,100),LEFT(B618,FIND(" v ",B618)-1))</f>
        <v>Middlesbrough</v>
      </c>
      <c r="I618" s="2" t="str">
        <f aca="false">IF(F618&lt;&gt;"","N",IF(LEFT(B618,10)="Arsenal v ","H","A"))</f>
        <v>A</v>
      </c>
      <c r="J618" s="2"/>
    </row>
    <row r="619" customFormat="false" ht="15" hidden="false" customHeight="false" outlineLevel="0" collapsed="false">
      <c r="A619" s="3" t="n">
        <v>36601</v>
      </c>
      <c r="B619" s="2" t="s">
        <v>769</v>
      </c>
      <c r="C619" s="2" t="s">
        <v>702</v>
      </c>
      <c r="D619" s="2" t="s">
        <v>351</v>
      </c>
      <c r="E619" s="2" t="s">
        <v>412</v>
      </c>
      <c r="F619" s="2"/>
      <c r="G619" s="2" t="s">
        <v>19</v>
      </c>
      <c r="H619" s="2" t="str">
        <f aca="false">IF(LEFT(B619,10)="Arsenal v ",MID(B619,11,100),LEFT(B619,FIND(" v ",B619)-1))</f>
        <v>Werder Bremen</v>
      </c>
      <c r="I619" s="2" t="str">
        <f aca="false">IF(F619&lt;&gt;"","N",IF(LEFT(B619,10)="Arsenal v ","H","A"))</f>
        <v>H</v>
      </c>
      <c r="J619" s="2"/>
    </row>
    <row r="620" customFormat="false" ht="15" hidden="false" customHeight="false" outlineLevel="0" collapsed="false">
      <c r="A620" s="3" t="n">
        <v>36604</v>
      </c>
      <c r="B620" s="2" t="s">
        <v>655</v>
      </c>
      <c r="C620" s="2" t="s">
        <v>702</v>
      </c>
      <c r="D620" s="2" t="s">
        <v>359</v>
      </c>
      <c r="E620" s="2" t="s">
        <v>356</v>
      </c>
      <c r="F620" s="2"/>
      <c r="G620" s="2" t="s">
        <v>19</v>
      </c>
      <c r="H620" s="2" t="str">
        <f aca="false">IF(LEFT(B620,10)="Arsenal v ",MID(B620,11,100),LEFT(B620,FIND(" v ",B620)-1))</f>
        <v>Tottenham Hotspur</v>
      </c>
      <c r="I620" s="2" t="str">
        <f aca="false">IF(F620&lt;&gt;"","N",IF(LEFT(B620,10)="Arsenal v ","H","A"))</f>
        <v>H</v>
      </c>
      <c r="J620" s="2"/>
    </row>
    <row r="621" customFormat="false" ht="15" hidden="false" customHeight="false" outlineLevel="0" collapsed="false">
      <c r="A621" s="3" t="n">
        <v>36608</v>
      </c>
      <c r="B621" s="2" t="s">
        <v>570</v>
      </c>
      <c r="C621" s="2" t="s">
        <v>702</v>
      </c>
      <c r="D621" s="2" t="s">
        <v>384</v>
      </c>
      <c r="E621" s="2" t="s">
        <v>412</v>
      </c>
      <c r="F621" s="2"/>
      <c r="G621" s="2" t="s">
        <v>19</v>
      </c>
      <c r="H621" s="2" t="str">
        <f aca="false">IF(LEFT(B621,10)="Arsenal v ",MID(B621,11,100),LEFT(B621,FIND(" v ",B621)-1))</f>
        <v>Werder Bremen</v>
      </c>
      <c r="I621" s="2" t="str">
        <f aca="false">IF(F621&lt;&gt;"","N",IF(LEFT(B621,10)="Arsenal v ","H","A"))</f>
        <v>A</v>
      </c>
      <c r="J621" s="2"/>
    </row>
    <row r="622" customFormat="false" ht="15" hidden="false" customHeight="false" outlineLevel="0" collapsed="false">
      <c r="A622" s="3" t="n">
        <v>36611</v>
      </c>
      <c r="B622" s="2" t="s">
        <v>709</v>
      </c>
      <c r="C622" s="2" t="s">
        <v>702</v>
      </c>
      <c r="D622" s="2" t="s">
        <v>434</v>
      </c>
      <c r="E622" s="2" t="s">
        <v>356</v>
      </c>
      <c r="F622" s="2"/>
      <c r="G622" s="2" t="s">
        <v>19</v>
      </c>
      <c r="H622" s="2" t="str">
        <f aca="false">IF(LEFT(B622,10)="Arsenal v ",MID(B622,11,100),LEFT(B622,FIND(" v ",B622)-1))</f>
        <v>Coventry City</v>
      </c>
      <c r="I622" s="2" t="str">
        <f aca="false">IF(F622&lt;&gt;"","N",IF(LEFT(B622,10)="Arsenal v ","H","A"))</f>
        <v>H</v>
      </c>
      <c r="J622" s="2"/>
    </row>
    <row r="623" customFormat="false" ht="15" hidden="false" customHeight="false" outlineLevel="0" collapsed="false">
      <c r="A623" s="3" t="n">
        <v>36617</v>
      </c>
      <c r="B623" s="2" t="s">
        <v>574</v>
      </c>
      <c r="C623" s="2" t="s">
        <v>702</v>
      </c>
      <c r="D623" s="2" t="s">
        <v>373</v>
      </c>
      <c r="E623" s="2" t="s">
        <v>356</v>
      </c>
      <c r="F623" s="2"/>
      <c r="G623" s="2" t="s">
        <v>19</v>
      </c>
      <c r="H623" s="2" t="str">
        <f aca="false">IF(LEFT(B623,10)="Arsenal v ",MID(B623,11,100),LEFT(B623,FIND(" v ",B623)-1))</f>
        <v>Wimbledon</v>
      </c>
      <c r="I623" s="2" t="str">
        <f aca="false">IF(F623&lt;&gt;"","N",IF(LEFT(B623,10)="Arsenal v ","H","A"))</f>
        <v>A</v>
      </c>
      <c r="J623" s="2"/>
    </row>
    <row r="624" customFormat="false" ht="15" hidden="false" customHeight="false" outlineLevel="0" collapsed="false">
      <c r="A624" s="3" t="n">
        <v>36622</v>
      </c>
      <c r="B624" s="2" t="s">
        <v>662</v>
      </c>
      <c r="C624" s="2" t="s">
        <v>702</v>
      </c>
      <c r="D624" s="2" t="s">
        <v>348</v>
      </c>
      <c r="E624" s="2" t="s">
        <v>412</v>
      </c>
      <c r="F624" s="2"/>
      <c r="G624" s="2" t="s">
        <v>19</v>
      </c>
      <c r="H624" s="2" t="str">
        <f aca="false">IF(LEFT(B624,10)="Arsenal v ",MID(B624,11,100),LEFT(B624,FIND(" v ",B624)-1))</f>
        <v>RC Lens</v>
      </c>
      <c r="I624" s="2" t="str">
        <f aca="false">IF(F624&lt;&gt;"","N",IF(LEFT(B624,10)="Arsenal v ","H","A"))</f>
        <v>H</v>
      </c>
      <c r="J624" s="2"/>
    </row>
    <row r="625" customFormat="false" ht="15" hidden="false" customHeight="false" outlineLevel="0" collapsed="false">
      <c r="A625" s="3" t="n">
        <v>36632</v>
      </c>
      <c r="B625" s="2" t="s">
        <v>473</v>
      </c>
      <c r="C625" s="2" t="s">
        <v>702</v>
      </c>
      <c r="D625" s="2" t="s">
        <v>365</v>
      </c>
      <c r="E625" s="2" t="s">
        <v>356</v>
      </c>
      <c r="F625" s="2"/>
      <c r="G625" s="2" t="s">
        <v>19</v>
      </c>
      <c r="H625" s="2" t="str">
        <f aca="false">IF(LEFT(B625,10)="Arsenal v ",MID(B625,11,100),LEFT(B625,FIND(" v ",B625)-1))</f>
        <v>Leeds United</v>
      </c>
      <c r="I625" s="2" t="str">
        <f aca="false">IF(F625&lt;&gt;"","N",IF(LEFT(B625,10)="Arsenal v ","H","A"))</f>
        <v>A</v>
      </c>
      <c r="J625" s="2"/>
    </row>
    <row r="626" customFormat="false" ht="15" hidden="false" customHeight="false" outlineLevel="0" collapsed="false">
      <c r="A626" s="3" t="n">
        <v>36636</v>
      </c>
      <c r="B626" s="2" t="s">
        <v>529</v>
      </c>
      <c r="C626" s="2" t="s">
        <v>702</v>
      </c>
      <c r="D626" s="2" t="s">
        <v>360</v>
      </c>
      <c r="E626" s="2" t="s">
        <v>412</v>
      </c>
      <c r="F626" s="2"/>
      <c r="G626" s="2" t="s">
        <v>19</v>
      </c>
      <c r="H626" s="2" t="str">
        <f aca="false">IF(LEFT(B626,10)="Arsenal v ",MID(B626,11,100),LEFT(B626,FIND(" v ",B626)-1))</f>
        <v>RC Lens</v>
      </c>
      <c r="I626" s="2" t="str">
        <f aca="false">IF(F626&lt;&gt;"","N",IF(LEFT(B626,10)="Arsenal v ","H","A"))</f>
        <v>A</v>
      </c>
      <c r="J626" s="2"/>
    </row>
    <row r="627" customFormat="false" ht="15" hidden="false" customHeight="false" outlineLevel="0" collapsed="false">
      <c r="A627" s="3" t="n">
        <v>36639</v>
      </c>
      <c r="B627" s="2" t="s">
        <v>569</v>
      </c>
      <c r="C627" s="2" t="s">
        <v>702</v>
      </c>
      <c r="D627" s="2" t="s">
        <v>366</v>
      </c>
      <c r="E627" s="2" t="s">
        <v>356</v>
      </c>
      <c r="F627" s="2"/>
      <c r="G627" s="2" t="s">
        <v>19</v>
      </c>
      <c r="H627" s="2" t="str">
        <f aca="false">IF(LEFT(B627,10)="Arsenal v ",MID(B627,11,100),LEFT(B627,FIND(" v ",B627)-1))</f>
        <v>Watford</v>
      </c>
      <c r="I627" s="2" t="str">
        <f aca="false">IF(F627&lt;&gt;"","N",IF(LEFT(B627,10)="Arsenal v ","H","A"))</f>
        <v>A</v>
      </c>
      <c r="J627" s="2"/>
    </row>
    <row r="628" customFormat="false" ht="15" hidden="false" customHeight="false" outlineLevel="0" collapsed="false">
      <c r="A628" s="3" t="n">
        <v>36645</v>
      </c>
      <c r="B628" s="2" t="s">
        <v>448</v>
      </c>
      <c r="C628" s="2" t="s">
        <v>702</v>
      </c>
      <c r="D628" s="2" t="s">
        <v>383</v>
      </c>
      <c r="E628" s="2" t="s">
        <v>356</v>
      </c>
      <c r="F628" s="2"/>
      <c r="G628" s="2" t="s">
        <v>19</v>
      </c>
      <c r="H628" s="2" t="str">
        <f aca="false">IF(LEFT(B628,10)="Arsenal v ",MID(B628,11,100),LEFT(B628,FIND(" v ",B628)-1))</f>
        <v>Everton</v>
      </c>
      <c r="I628" s="2" t="str">
        <f aca="false">IF(F628&lt;&gt;"","N",IF(LEFT(B628,10)="Arsenal v ","H","A"))</f>
        <v>A</v>
      </c>
      <c r="J628" s="2"/>
    </row>
    <row r="629" customFormat="false" ht="15" hidden="false" customHeight="false" outlineLevel="0" collapsed="false">
      <c r="A629" s="3" t="n">
        <v>36648</v>
      </c>
      <c r="B629" s="2" t="s">
        <v>712</v>
      </c>
      <c r="C629" s="2" t="s">
        <v>702</v>
      </c>
      <c r="D629" s="2" t="s">
        <v>359</v>
      </c>
      <c r="E629" s="2" t="s">
        <v>356</v>
      </c>
      <c r="F629" s="2"/>
      <c r="G629" s="2" t="s">
        <v>19</v>
      </c>
      <c r="H629" s="2" t="str">
        <f aca="false">IF(LEFT(B629,10)="Arsenal v ",MID(B629,11,100),LEFT(B629,FIND(" v ",B629)-1))</f>
        <v>West Ham United</v>
      </c>
      <c r="I629" s="2" t="str">
        <f aca="false">IF(F629&lt;&gt;"","N",IF(LEFT(B629,10)="Arsenal v ","H","A"))</f>
        <v>H</v>
      </c>
      <c r="J629" s="2"/>
    </row>
    <row r="630" customFormat="false" ht="15" hidden="false" customHeight="false" outlineLevel="0" collapsed="false">
      <c r="A630" s="3" t="n">
        <v>36652</v>
      </c>
      <c r="B630" s="2" t="s">
        <v>725</v>
      </c>
      <c r="C630" s="2" t="s">
        <v>702</v>
      </c>
      <c r="D630" s="2" t="s">
        <v>359</v>
      </c>
      <c r="E630" s="2" t="s">
        <v>356</v>
      </c>
      <c r="F630" s="2"/>
      <c r="G630" s="2" t="s">
        <v>19</v>
      </c>
      <c r="H630" s="2" t="str">
        <f aca="false">IF(LEFT(B630,10)="Arsenal v ",MID(B630,11,100),LEFT(B630,FIND(" v ",B630)-1))</f>
        <v>Chelsea</v>
      </c>
      <c r="I630" s="2" t="str">
        <f aca="false">IF(F630&lt;&gt;"","N",IF(LEFT(B630,10)="Arsenal v ","H","A"))</f>
        <v>H</v>
      </c>
      <c r="J630" s="2"/>
    </row>
    <row r="631" customFormat="false" ht="15" hidden="false" customHeight="false" outlineLevel="0" collapsed="false">
      <c r="A631" s="3" t="n">
        <v>36655</v>
      </c>
      <c r="B631" s="2" t="s">
        <v>713</v>
      </c>
      <c r="C631" s="2" t="s">
        <v>706</v>
      </c>
      <c r="D631" s="2" t="s">
        <v>358</v>
      </c>
      <c r="E631" s="2" t="s">
        <v>356</v>
      </c>
      <c r="F631" s="2"/>
      <c r="G631" s="2" t="s">
        <v>19</v>
      </c>
      <c r="H631" s="2" t="str">
        <f aca="false">IF(LEFT(B631,10)="Arsenal v ",MID(B631,11,100),LEFT(B631,FIND(" v ",B631)-1))</f>
        <v>Sheffield Wednesday</v>
      </c>
      <c r="I631" s="2" t="str">
        <f aca="false">IF(F631&lt;&gt;"","N",IF(LEFT(B631,10)="Arsenal v ","H","A"))</f>
        <v>H</v>
      </c>
      <c r="J631" s="2"/>
    </row>
    <row r="632" customFormat="false" ht="15" hidden="false" customHeight="false" outlineLevel="0" collapsed="false">
      <c r="A632" s="3" t="n">
        <v>36660</v>
      </c>
      <c r="B632" s="2" t="s">
        <v>501</v>
      </c>
      <c r="C632" s="2" t="s">
        <v>704</v>
      </c>
      <c r="D632" s="2" t="s">
        <v>479</v>
      </c>
      <c r="E632" s="2" t="s">
        <v>356</v>
      </c>
      <c r="F632" s="2"/>
      <c r="G632" s="2" t="s">
        <v>19</v>
      </c>
      <c r="H632" s="2" t="str">
        <f aca="false">IF(LEFT(B632,10)="Arsenal v ",MID(B632,11,100),LEFT(B632,FIND(" v ",B632)-1))</f>
        <v>Newcastle United</v>
      </c>
      <c r="I632" s="2" t="str">
        <f aca="false">IF(F632&lt;&gt;"","N",IF(LEFT(B632,10)="Arsenal v ","H","A"))</f>
        <v>A</v>
      </c>
      <c r="J632" s="2"/>
    </row>
    <row r="633" customFormat="false" ht="15" hidden="false" customHeight="false" outlineLevel="0" collapsed="false">
      <c r="A633" s="3" t="n">
        <v>36663</v>
      </c>
      <c r="B633" s="2" t="s">
        <v>770</v>
      </c>
      <c r="C633" s="2" t="s">
        <v>706</v>
      </c>
      <c r="D633" s="2" t="s">
        <v>369</v>
      </c>
      <c r="E633" s="2" t="s">
        <v>412</v>
      </c>
      <c r="F633" s="2" t="s">
        <v>615</v>
      </c>
      <c r="G633" s="2" t="s">
        <v>19</v>
      </c>
      <c r="H633" s="2" t="str">
        <f aca="false">IF(LEFT(B633,10)="Arsenal v ",MID(B633,11,100),LEFT(B633,FIND(" v ",B633)-1))</f>
        <v>Galatasaray</v>
      </c>
      <c r="I633" s="2" t="str">
        <f aca="false">IF(F633&lt;&gt;"","N",IF(LEFT(B633,10)="Arsenal v ","H","A"))</f>
        <v>N</v>
      </c>
      <c r="J633" s="2"/>
    </row>
    <row r="634" customFormat="false" ht="15" hidden="false" customHeight="false" outlineLevel="0" collapsed="false">
      <c r="A634" s="3" t="n">
        <v>36757</v>
      </c>
      <c r="B634" s="2" t="s">
        <v>556</v>
      </c>
      <c r="C634" s="2" t="s">
        <v>704</v>
      </c>
      <c r="D634" s="2" t="s">
        <v>348</v>
      </c>
      <c r="E634" s="2" t="s">
        <v>356</v>
      </c>
      <c r="F634" s="2"/>
      <c r="G634" s="2" t="s">
        <v>89</v>
      </c>
      <c r="H634" s="2" t="str">
        <f aca="false">IF(LEFT(B634,10)="Arsenal v ",MID(B634,11,100),LEFT(B634,FIND(" v ",B634)-1))</f>
        <v>Sunderland</v>
      </c>
      <c r="I634" s="2" t="str">
        <f aca="false">IF(F634&lt;&gt;"","N",IF(LEFT(B634,10)="Arsenal v ","H","A"))</f>
        <v>A</v>
      </c>
      <c r="J634" s="2"/>
    </row>
    <row r="635" customFormat="false" ht="15" hidden="false" customHeight="false" outlineLevel="0" collapsed="false">
      <c r="A635" s="3" t="n">
        <v>36759</v>
      </c>
      <c r="B635" s="2" t="s">
        <v>710</v>
      </c>
      <c r="C635" s="2" t="s">
        <v>702</v>
      </c>
      <c r="D635" s="2" t="s">
        <v>351</v>
      </c>
      <c r="E635" s="2" t="s">
        <v>356</v>
      </c>
      <c r="F635" s="2"/>
      <c r="G635" s="2" t="s">
        <v>89</v>
      </c>
      <c r="H635" s="2" t="str">
        <f aca="false">IF(LEFT(B635,10)="Arsenal v ",MID(B635,11,100),LEFT(B635,FIND(" v ",B635)-1))</f>
        <v>Liverpool</v>
      </c>
      <c r="I635" s="2" t="str">
        <f aca="false">IF(F635&lt;&gt;"","N",IF(LEFT(B635,10)="Arsenal v ","H","A"))</f>
        <v>H</v>
      </c>
      <c r="J635" s="2"/>
    </row>
    <row r="636" customFormat="false" ht="15" hidden="false" customHeight="false" outlineLevel="0" collapsed="false">
      <c r="A636" s="3" t="n">
        <v>36764</v>
      </c>
      <c r="B636" s="2" t="s">
        <v>717</v>
      </c>
      <c r="C636" s="2" t="s">
        <v>702</v>
      </c>
      <c r="D636" s="2" t="s">
        <v>771</v>
      </c>
      <c r="E636" s="2" t="s">
        <v>356</v>
      </c>
      <c r="F636" s="2"/>
      <c r="G636" s="2" t="s">
        <v>89</v>
      </c>
      <c r="H636" s="2" t="str">
        <f aca="false">IF(LEFT(B636,10)="Arsenal v ",MID(B636,11,100),LEFT(B636,FIND(" v ",B636)-1))</f>
        <v>Charlton Athletic</v>
      </c>
      <c r="I636" s="2" t="str">
        <f aca="false">IF(F636&lt;&gt;"","N",IF(LEFT(B636,10)="Arsenal v ","H","A"))</f>
        <v>H</v>
      </c>
      <c r="J636" s="2"/>
    </row>
    <row r="637" customFormat="false" ht="15" hidden="false" customHeight="false" outlineLevel="0" collapsed="false">
      <c r="A637" s="3" t="n">
        <v>36775</v>
      </c>
      <c r="B637" s="2" t="s">
        <v>426</v>
      </c>
      <c r="C637" s="2" t="s">
        <v>706</v>
      </c>
      <c r="D637" s="2" t="s">
        <v>380</v>
      </c>
      <c r="E637" s="2" t="s">
        <v>356</v>
      </c>
      <c r="F637" s="2"/>
      <c r="G637" s="2" t="s">
        <v>89</v>
      </c>
      <c r="H637" s="2" t="str">
        <f aca="false">IF(LEFT(B637,10)="Arsenal v ",MID(B637,11,100),LEFT(B637,FIND(" v ",B637)-1))</f>
        <v>Chelsea</v>
      </c>
      <c r="I637" s="2" t="str">
        <f aca="false">IF(F637&lt;&gt;"","N",IF(LEFT(B637,10)="Arsenal v ","H","A"))</f>
        <v>A</v>
      </c>
      <c r="J637" s="2"/>
    </row>
    <row r="638" customFormat="false" ht="15" hidden="false" customHeight="false" outlineLevel="0" collapsed="false">
      <c r="A638" s="3" t="n">
        <v>36778</v>
      </c>
      <c r="B638" s="2" t="s">
        <v>414</v>
      </c>
      <c r="C638" s="2" t="s">
        <v>706</v>
      </c>
      <c r="D638" s="2" t="s">
        <v>361</v>
      </c>
      <c r="E638" s="2" t="s">
        <v>356</v>
      </c>
      <c r="F638" s="2"/>
      <c r="G638" s="2" t="s">
        <v>89</v>
      </c>
      <c r="H638" s="2" t="str">
        <f aca="false">IF(LEFT(B638,10)="Arsenal v ",MID(B638,11,100),LEFT(B638,FIND(" v ",B638)-1))</f>
        <v>Bradford City</v>
      </c>
      <c r="I638" s="2" t="str">
        <f aca="false">IF(F638&lt;&gt;"","N",IF(LEFT(B638,10)="Arsenal v ","H","A"))</f>
        <v>A</v>
      </c>
      <c r="J638" s="2"/>
    </row>
    <row r="639" customFormat="false" ht="15" hidden="false" customHeight="false" outlineLevel="0" collapsed="false">
      <c r="A639" s="3" t="n">
        <v>36781</v>
      </c>
      <c r="B639" s="2" t="s">
        <v>547</v>
      </c>
      <c r="C639" s="2" t="s">
        <v>702</v>
      </c>
      <c r="D639" s="2" t="s">
        <v>383</v>
      </c>
      <c r="E639" s="2" t="s">
        <v>352</v>
      </c>
      <c r="F639" s="2"/>
      <c r="G639" s="2" t="s">
        <v>89</v>
      </c>
      <c r="H639" s="2" t="str">
        <f aca="false">IF(LEFT(B639,10)="Arsenal v ",MID(B639,11,100),LEFT(B639,FIND(" v ",B639)-1))</f>
        <v>Sparta Praha</v>
      </c>
      <c r="I639" s="2" t="str">
        <f aca="false">IF(F639&lt;&gt;"","N",IF(LEFT(B639,10)="Arsenal v ","H","A"))</f>
        <v>A</v>
      </c>
      <c r="J639" s="2"/>
    </row>
    <row r="640" customFormat="false" ht="15" hidden="false" customHeight="false" outlineLevel="0" collapsed="false">
      <c r="A640" s="3" t="n">
        <v>36785</v>
      </c>
      <c r="B640" s="2" t="s">
        <v>709</v>
      </c>
      <c r="C640" s="2" t="s">
        <v>702</v>
      </c>
      <c r="D640" s="2" t="s">
        <v>359</v>
      </c>
      <c r="E640" s="2" t="s">
        <v>356</v>
      </c>
      <c r="F640" s="2"/>
      <c r="G640" s="2" t="s">
        <v>89</v>
      </c>
      <c r="H640" s="2" t="str">
        <f aca="false">IF(LEFT(B640,10)="Arsenal v ",MID(B640,11,100),LEFT(B640,FIND(" v ",B640)-1))</f>
        <v>Coventry City</v>
      </c>
      <c r="I640" s="2" t="str">
        <f aca="false">IF(F640&lt;&gt;"","N",IF(LEFT(B640,10)="Arsenal v ","H","A"))</f>
        <v>H</v>
      </c>
      <c r="J640" s="2"/>
    </row>
    <row r="641" customFormat="false" ht="15" hidden="false" customHeight="false" outlineLevel="0" collapsed="false">
      <c r="A641" s="3" t="n">
        <v>36789</v>
      </c>
      <c r="B641" s="2" t="s">
        <v>772</v>
      </c>
      <c r="C641" s="2" t="s">
        <v>702</v>
      </c>
      <c r="D641" s="2" t="s">
        <v>382</v>
      </c>
      <c r="E641" s="2" t="s">
        <v>352</v>
      </c>
      <c r="F641" s="2"/>
      <c r="G641" s="2" t="s">
        <v>89</v>
      </c>
      <c r="H641" s="2" t="str">
        <f aca="false">IF(LEFT(B641,10)="Arsenal v ",MID(B641,11,100),LEFT(B641,FIND(" v ",B641)-1))</f>
        <v>Shakhtar Donetsk</v>
      </c>
      <c r="I641" s="2" t="str">
        <f aca="false">IF(F641&lt;&gt;"","N",IF(LEFT(B641,10)="Arsenal v ","H","A"))</f>
        <v>H</v>
      </c>
      <c r="J641" s="2"/>
    </row>
    <row r="642" customFormat="false" ht="15" hidden="false" customHeight="false" outlineLevel="0" collapsed="false">
      <c r="A642" s="3" t="n">
        <v>36792</v>
      </c>
      <c r="B642" s="2" t="s">
        <v>470</v>
      </c>
      <c r="C642" s="2" t="s">
        <v>706</v>
      </c>
      <c r="D642" s="2" t="s">
        <v>361</v>
      </c>
      <c r="E642" s="2" t="s">
        <v>356</v>
      </c>
      <c r="F642" s="2"/>
      <c r="G642" s="2" t="s">
        <v>89</v>
      </c>
      <c r="H642" s="2" t="str">
        <f aca="false">IF(LEFT(B642,10)="Arsenal v ",MID(B642,11,100),LEFT(B642,FIND(" v ",B642)-1))</f>
        <v>Ipswich Town</v>
      </c>
      <c r="I642" s="2" t="str">
        <f aca="false">IF(F642&lt;&gt;"","N",IF(LEFT(B642,10)="Arsenal v ","H","A"))</f>
        <v>A</v>
      </c>
      <c r="J642" s="2"/>
    </row>
    <row r="643" customFormat="false" ht="15" hidden="false" customHeight="false" outlineLevel="0" collapsed="false">
      <c r="A643" s="3" t="n">
        <v>36796</v>
      </c>
      <c r="B643" s="2" t="s">
        <v>773</v>
      </c>
      <c r="C643" s="2" t="s">
        <v>702</v>
      </c>
      <c r="D643" s="2" t="s">
        <v>351</v>
      </c>
      <c r="E643" s="2" t="s">
        <v>352</v>
      </c>
      <c r="F643" s="2"/>
      <c r="G643" s="2" t="s">
        <v>89</v>
      </c>
      <c r="H643" s="2" t="str">
        <f aca="false">IF(LEFT(B643,10)="Arsenal v ",MID(B643,11,100),LEFT(B643,FIND(" v ",B643)-1))</f>
        <v>Lazio</v>
      </c>
      <c r="I643" s="2" t="str">
        <f aca="false">IF(F643&lt;&gt;"","N",IF(LEFT(B643,10)="Arsenal v ","H","A"))</f>
        <v>H</v>
      </c>
      <c r="J643" s="2"/>
    </row>
    <row r="644" customFormat="false" ht="15" hidden="false" customHeight="false" outlineLevel="0" collapsed="false">
      <c r="A644" s="3" t="n">
        <v>36800</v>
      </c>
      <c r="B644" s="2" t="s">
        <v>656</v>
      </c>
      <c r="C644" s="2" t="s">
        <v>702</v>
      </c>
      <c r="D644" s="2" t="s">
        <v>348</v>
      </c>
      <c r="E644" s="2" t="s">
        <v>356</v>
      </c>
      <c r="F644" s="2"/>
      <c r="G644" s="2" t="s">
        <v>89</v>
      </c>
      <c r="H644" s="2" t="str">
        <f aca="false">IF(LEFT(B644,10)="Arsenal v ",MID(B644,11,100),LEFT(B644,FIND(" v ",B644)-1))</f>
        <v>Manchester United</v>
      </c>
      <c r="I644" s="2" t="str">
        <f aca="false">IF(F644&lt;&gt;"","N",IF(LEFT(B644,10)="Arsenal v ","H","A"))</f>
        <v>H</v>
      </c>
      <c r="J644" s="2"/>
    </row>
    <row r="645" customFormat="false" ht="15" hidden="false" customHeight="false" outlineLevel="0" collapsed="false">
      <c r="A645" s="3" t="n">
        <v>36813</v>
      </c>
      <c r="B645" s="2" t="s">
        <v>703</v>
      </c>
      <c r="C645" s="2" t="s">
        <v>702</v>
      </c>
      <c r="D645" s="2" t="s">
        <v>348</v>
      </c>
      <c r="E645" s="2" t="s">
        <v>356</v>
      </c>
      <c r="F645" s="2"/>
      <c r="G645" s="2" t="s">
        <v>89</v>
      </c>
      <c r="H645" s="2" t="str">
        <f aca="false">IF(LEFT(B645,10)="Arsenal v ",MID(B645,11,100),LEFT(B645,FIND(" v ",B645)-1))</f>
        <v>Aston Villa</v>
      </c>
      <c r="I645" s="2" t="str">
        <f aca="false">IF(F645&lt;&gt;"","N",IF(LEFT(B645,10)="Arsenal v ","H","A"))</f>
        <v>H</v>
      </c>
      <c r="J645" s="2"/>
    </row>
    <row r="646" customFormat="false" ht="15" hidden="false" customHeight="false" outlineLevel="0" collapsed="false">
      <c r="A646" s="3" t="n">
        <v>36816</v>
      </c>
      <c r="B646" s="2" t="s">
        <v>472</v>
      </c>
      <c r="C646" s="2" t="s">
        <v>706</v>
      </c>
      <c r="D646" s="2" t="s">
        <v>361</v>
      </c>
      <c r="E646" s="2" t="s">
        <v>352</v>
      </c>
      <c r="F646" s="2"/>
      <c r="G646" s="2" t="s">
        <v>89</v>
      </c>
      <c r="H646" s="2" t="str">
        <f aca="false">IF(LEFT(B646,10)="Arsenal v ",MID(B646,11,100),LEFT(B646,FIND(" v ",B646)-1))</f>
        <v>Lazio</v>
      </c>
      <c r="I646" s="2" t="str">
        <f aca="false">IF(F646&lt;&gt;"","N",IF(LEFT(B646,10)="Arsenal v ","H","A"))</f>
        <v>A</v>
      </c>
      <c r="J646" s="2"/>
    </row>
    <row r="647" customFormat="false" ht="15" hidden="false" customHeight="false" outlineLevel="0" collapsed="false">
      <c r="A647" s="3" t="n">
        <v>36820</v>
      </c>
      <c r="B647" s="2" t="s">
        <v>572</v>
      </c>
      <c r="C647" s="2" t="s">
        <v>702</v>
      </c>
      <c r="D647" s="2" t="s">
        <v>360</v>
      </c>
      <c r="E647" s="2" t="s">
        <v>356</v>
      </c>
      <c r="F647" s="2"/>
      <c r="G647" s="2" t="s">
        <v>89</v>
      </c>
      <c r="H647" s="2" t="str">
        <f aca="false">IF(LEFT(B647,10)="Arsenal v ",MID(B647,11,100),LEFT(B647,FIND(" v ",B647)-1))</f>
        <v>West Ham United</v>
      </c>
      <c r="I647" s="2" t="str">
        <f aca="false">IF(F647&lt;&gt;"","N",IF(LEFT(B647,10)="Arsenal v ","H","A"))</f>
        <v>A</v>
      </c>
      <c r="J647" s="2"/>
    </row>
    <row r="648" customFormat="false" ht="15" hidden="false" customHeight="false" outlineLevel="0" collapsed="false">
      <c r="A648" s="3" t="n">
        <v>36824</v>
      </c>
      <c r="B648" s="2" t="s">
        <v>774</v>
      </c>
      <c r="C648" s="2" t="s">
        <v>702</v>
      </c>
      <c r="D648" s="2" t="s">
        <v>479</v>
      </c>
      <c r="E648" s="2" t="s">
        <v>352</v>
      </c>
      <c r="F648" s="2"/>
      <c r="G648" s="2" t="s">
        <v>89</v>
      </c>
      <c r="H648" s="2" t="str">
        <f aca="false">IF(LEFT(B648,10)="Arsenal v ",MID(B648,11,100),LEFT(B648,FIND(" v ",B648)-1))</f>
        <v>Sparta Praha</v>
      </c>
      <c r="I648" s="2" t="str">
        <f aca="false">IF(F648&lt;&gt;"","N",IF(LEFT(B648,10)="Arsenal v ","H","A"))</f>
        <v>H</v>
      </c>
      <c r="J648" s="2"/>
    </row>
    <row r="649" customFormat="false" ht="15" hidden="false" customHeight="false" outlineLevel="0" collapsed="false">
      <c r="A649" s="3" t="n">
        <v>36827</v>
      </c>
      <c r="B649" s="2" t="s">
        <v>657</v>
      </c>
      <c r="C649" s="2" t="s">
        <v>702</v>
      </c>
      <c r="D649" s="2" t="s">
        <v>489</v>
      </c>
      <c r="E649" s="2" t="s">
        <v>356</v>
      </c>
      <c r="F649" s="2"/>
      <c r="G649" s="2" t="s">
        <v>89</v>
      </c>
      <c r="H649" s="2" t="str">
        <f aca="false">IF(LEFT(B649,10)="Arsenal v ",MID(B649,11,100),LEFT(B649,FIND(" v ",B649)-1))</f>
        <v>Manchester City</v>
      </c>
      <c r="I649" s="2" t="str">
        <f aca="false">IF(F649&lt;&gt;"","N",IF(LEFT(B649,10)="Arsenal v ","H","A"))</f>
        <v>H</v>
      </c>
      <c r="J649" s="2"/>
    </row>
    <row r="650" customFormat="false" ht="15" hidden="false" customHeight="false" outlineLevel="0" collapsed="false">
      <c r="A650" s="3" t="n">
        <v>36831</v>
      </c>
      <c r="B650" s="2" t="s">
        <v>738</v>
      </c>
      <c r="C650" s="2" t="s">
        <v>704</v>
      </c>
      <c r="D650" s="2" t="s">
        <v>360</v>
      </c>
      <c r="E650" s="2" t="s">
        <v>379</v>
      </c>
      <c r="F650" s="2"/>
      <c r="G650" s="2" t="s">
        <v>89</v>
      </c>
      <c r="H650" s="2" t="str">
        <f aca="false">IF(LEFT(B650,10)="Arsenal v ",MID(B650,11,100),LEFT(B650,FIND(" v ",B650)-1))</f>
        <v>Ipswich Town</v>
      </c>
      <c r="I650" s="2" t="str">
        <f aca="false">IF(F650&lt;&gt;"","N",IF(LEFT(B650,10)="Arsenal v ","H","A"))</f>
        <v>H</v>
      </c>
      <c r="J650" s="2"/>
    </row>
    <row r="651" customFormat="false" ht="15" hidden="false" customHeight="false" outlineLevel="0" collapsed="false">
      <c r="A651" s="3" t="n">
        <v>36834</v>
      </c>
      <c r="B651" s="2" t="s">
        <v>494</v>
      </c>
      <c r="C651" s="2" t="s">
        <v>702</v>
      </c>
      <c r="D651" s="2" t="s">
        <v>383</v>
      </c>
      <c r="E651" s="2" t="s">
        <v>356</v>
      </c>
      <c r="F651" s="2"/>
      <c r="G651" s="2" t="s">
        <v>89</v>
      </c>
      <c r="H651" s="2" t="str">
        <f aca="false">IF(LEFT(B651,10)="Arsenal v ",MID(B651,11,100),LEFT(B651,FIND(" v ",B651)-1))</f>
        <v>Middlesbrough</v>
      </c>
      <c r="I651" s="2" t="str">
        <f aca="false">IF(F651&lt;&gt;"","N",IF(LEFT(B651,10)="Arsenal v ","H","A"))</f>
        <v>A</v>
      </c>
      <c r="J651" s="2"/>
    </row>
    <row r="652" customFormat="false" ht="15" hidden="false" customHeight="false" outlineLevel="0" collapsed="false">
      <c r="A652" s="3" t="n">
        <v>36837</v>
      </c>
      <c r="B652" s="2" t="s">
        <v>540</v>
      </c>
      <c r="C652" s="2" t="s">
        <v>704</v>
      </c>
      <c r="D652" s="2" t="s">
        <v>434</v>
      </c>
      <c r="E652" s="2" t="s">
        <v>352</v>
      </c>
      <c r="F652" s="2"/>
      <c r="G652" s="2" t="s">
        <v>89</v>
      </c>
      <c r="H652" s="2" t="str">
        <f aca="false">IF(LEFT(B652,10)="Arsenal v ",MID(B652,11,100),LEFT(B652,FIND(" v ",B652)-1))</f>
        <v>Shakhtar Donetsk</v>
      </c>
      <c r="I652" s="2" t="str">
        <f aca="false">IF(F652&lt;&gt;"","N",IF(LEFT(B652,10)="Arsenal v ","H","A"))</f>
        <v>A</v>
      </c>
      <c r="J652" s="2"/>
    </row>
    <row r="653" customFormat="false" ht="15" hidden="false" customHeight="false" outlineLevel="0" collapsed="false">
      <c r="A653" s="3" t="n">
        <v>36841</v>
      </c>
      <c r="B653" s="2" t="s">
        <v>721</v>
      </c>
      <c r="C653" s="2" t="s">
        <v>706</v>
      </c>
      <c r="D653" s="2" t="s">
        <v>369</v>
      </c>
      <c r="E653" s="2" t="s">
        <v>356</v>
      </c>
      <c r="F653" s="2"/>
      <c r="G653" s="2" t="s">
        <v>89</v>
      </c>
      <c r="H653" s="2" t="str">
        <f aca="false">IF(LEFT(B653,10)="Arsenal v ",MID(B653,11,100),LEFT(B653,FIND(" v ",B653)-1))</f>
        <v>Derby County</v>
      </c>
      <c r="I653" s="2" t="str">
        <f aca="false">IF(F653&lt;&gt;"","N",IF(LEFT(B653,10)="Arsenal v ","H","A"))</f>
        <v>H</v>
      </c>
      <c r="J653" s="2"/>
    </row>
    <row r="654" customFormat="false" ht="15" hidden="false" customHeight="false" outlineLevel="0" collapsed="false">
      <c r="A654" s="3" t="n">
        <v>36848</v>
      </c>
      <c r="B654" s="2" t="s">
        <v>448</v>
      </c>
      <c r="C654" s="2" t="s">
        <v>704</v>
      </c>
      <c r="D654" s="2" t="s">
        <v>351</v>
      </c>
      <c r="E654" s="2" t="s">
        <v>356</v>
      </c>
      <c r="F654" s="2"/>
      <c r="G654" s="2" t="s">
        <v>89</v>
      </c>
      <c r="H654" s="2" t="str">
        <f aca="false">IF(LEFT(B654,10)="Arsenal v ",MID(B654,11,100),LEFT(B654,FIND(" v ",B654)-1))</f>
        <v>Everton</v>
      </c>
      <c r="I654" s="2" t="str">
        <f aca="false">IF(F654&lt;&gt;"","N",IF(LEFT(B654,10)="Arsenal v ","H","A"))</f>
        <v>A</v>
      </c>
      <c r="J654" s="2"/>
    </row>
    <row r="655" customFormat="false" ht="15" hidden="false" customHeight="false" outlineLevel="0" collapsed="false">
      <c r="A655" s="3" t="n">
        <v>36852</v>
      </c>
      <c r="B655" s="2" t="s">
        <v>548</v>
      </c>
      <c r="C655" s="2" t="s">
        <v>704</v>
      </c>
      <c r="D655" s="2" t="s">
        <v>397</v>
      </c>
      <c r="E655" s="2" t="s">
        <v>352</v>
      </c>
      <c r="F655" s="2"/>
      <c r="G655" s="2" t="s">
        <v>89</v>
      </c>
      <c r="H655" s="2" t="str">
        <f aca="false">IF(LEFT(B655,10)="Arsenal v ",MID(B655,11,100),LEFT(B655,FIND(" v ",B655)-1))</f>
        <v>Spartak Moskva</v>
      </c>
      <c r="I655" s="2" t="str">
        <f aca="false">IF(F655&lt;&gt;"","N",IF(LEFT(B655,10)="Arsenal v ","H","A"))</f>
        <v>A</v>
      </c>
      <c r="J655" s="2"/>
    </row>
    <row r="656" customFormat="false" ht="15" hidden="false" customHeight="false" outlineLevel="0" collapsed="false">
      <c r="A656" s="3" t="n">
        <v>36856</v>
      </c>
      <c r="B656" s="2" t="s">
        <v>473</v>
      </c>
      <c r="C656" s="2" t="s">
        <v>704</v>
      </c>
      <c r="D656" s="2" t="s">
        <v>348</v>
      </c>
      <c r="E656" s="2" t="s">
        <v>356</v>
      </c>
      <c r="F656" s="2"/>
      <c r="G656" s="2" t="s">
        <v>89</v>
      </c>
      <c r="H656" s="2" t="str">
        <f aca="false">IF(LEFT(B656,10)="Arsenal v ",MID(B656,11,100),LEFT(B656,FIND(" v ",B656)-1))</f>
        <v>Leeds United</v>
      </c>
      <c r="I656" s="2" t="str">
        <f aca="false">IF(F656&lt;&gt;"","N",IF(LEFT(B656,10)="Arsenal v ","H","A"))</f>
        <v>A</v>
      </c>
      <c r="J656" s="2"/>
    </row>
    <row r="657" customFormat="false" ht="15" hidden="false" customHeight="false" outlineLevel="0" collapsed="false">
      <c r="A657" s="3" t="n">
        <v>36862</v>
      </c>
      <c r="B657" s="2" t="s">
        <v>705</v>
      </c>
      <c r="C657" s="2" t="s">
        <v>702</v>
      </c>
      <c r="D657" s="2" t="s">
        <v>348</v>
      </c>
      <c r="E657" s="2" t="s">
        <v>356</v>
      </c>
      <c r="F657" s="2"/>
      <c r="G657" s="2" t="s">
        <v>89</v>
      </c>
      <c r="H657" s="2" t="str">
        <f aca="false">IF(LEFT(B657,10)="Arsenal v ",MID(B657,11,100),LEFT(B657,FIND(" v ",B657)-1))</f>
        <v>Southampton</v>
      </c>
      <c r="I657" s="2" t="str">
        <f aca="false">IF(F657&lt;&gt;"","N",IF(LEFT(B657,10)="Arsenal v ","H","A"))</f>
        <v>H</v>
      </c>
      <c r="J657" s="2"/>
    </row>
    <row r="658" customFormat="false" ht="15" hidden="false" customHeight="false" outlineLevel="0" collapsed="false">
      <c r="A658" s="3" t="n">
        <v>36865</v>
      </c>
      <c r="B658" s="2" t="s">
        <v>775</v>
      </c>
      <c r="C658" s="2" t="s">
        <v>706</v>
      </c>
      <c r="D658" s="2" t="s">
        <v>380</v>
      </c>
      <c r="E658" s="2" t="s">
        <v>352</v>
      </c>
      <c r="F658" s="2"/>
      <c r="G658" s="2" t="s">
        <v>89</v>
      </c>
      <c r="H658" s="2" t="str">
        <f aca="false">IF(LEFT(B658,10)="Arsenal v ",MID(B658,11,100),LEFT(B658,FIND(" v ",B658)-1))</f>
        <v>Bayern München</v>
      </c>
      <c r="I658" s="2" t="str">
        <f aca="false">IF(F658&lt;&gt;"","N",IF(LEFT(B658,10)="Arsenal v ","H","A"))</f>
        <v>H</v>
      </c>
      <c r="J658" s="2"/>
    </row>
    <row r="659" customFormat="false" ht="15" hidden="false" customHeight="false" outlineLevel="0" collapsed="false">
      <c r="A659" s="3" t="n">
        <v>36869</v>
      </c>
      <c r="B659" s="2" t="s">
        <v>719</v>
      </c>
      <c r="C659" s="2" t="s">
        <v>702</v>
      </c>
      <c r="D659" s="2" t="s">
        <v>489</v>
      </c>
      <c r="E659" s="2" t="s">
        <v>356</v>
      </c>
      <c r="F659" s="2"/>
      <c r="G659" s="2" t="s">
        <v>89</v>
      </c>
      <c r="H659" s="2" t="str">
        <f aca="false">IF(LEFT(B659,10)="Arsenal v ",MID(B659,11,100),LEFT(B659,FIND(" v ",B659)-1))</f>
        <v>Newcastle United</v>
      </c>
      <c r="I659" s="2" t="str">
        <f aca="false">IF(F659&lt;&gt;"","N",IF(LEFT(B659,10)="Arsenal v ","H","A"))</f>
        <v>H</v>
      </c>
      <c r="J659" s="2"/>
    </row>
    <row r="660" customFormat="false" ht="15" hidden="false" customHeight="false" outlineLevel="0" collapsed="false">
      <c r="A660" s="3" t="n">
        <v>36878</v>
      </c>
      <c r="B660" s="2" t="s">
        <v>561</v>
      </c>
      <c r="C660" s="2" t="s">
        <v>706</v>
      </c>
      <c r="D660" s="2" t="s">
        <v>361</v>
      </c>
      <c r="E660" s="2" t="s">
        <v>356</v>
      </c>
      <c r="F660" s="2"/>
      <c r="G660" s="2" t="s">
        <v>89</v>
      </c>
      <c r="H660" s="2" t="str">
        <f aca="false">IF(LEFT(B660,10)="Arsenal v ",MID(B660,11,100),LEFT(B660,FIND(" v ",B660)-1))</f>
        <v>Tottenham Hotspur</v>
      </c>
      <c r="I660" s="2" t="str">
        <f aca="false">IF(F660&lt;&gt;"","N",IF(LEFT(B660,10)="Arsenal v ","H","A"))</f>
        <v>A</v>
      </c>
      <c r="J660" s="2"/>
    </row>
    <row r="661" customFormat="false" ht="15" hidden="false" customHeight="false" outlineLevel="0" collapsed="false">
      <c r="A661" s="3" t="n">
        <v>36883</v>
      </c>
      <c r="B661" s="2" t="s">
        <v>477</v>
      </c>
      <c r="C661" s="2" t="s">
        <v>704</v>
      </c>
      <c r="D661" s="2" t="s">
        <v>354</v>
      </c>
      <c r="E661" s="2" t="s">
        <v>356</v>
      </c>
      <c r="F661" s="2"/>
      <c r="G661" s="2" t="s">
        <v>89</v>
      </c>
      <c r="H661" s="2" t="str">
        <f aca="false">IF(LEFT(B661,10)="Arsenal v ",MID(B661,11,100),LEFT(B661,FIND(" v ",B661)-1))</f>
        <v>Liverpool</v>
      </c>
      <c r="I661" s="2" t="str">
        <f aca="false">IF(F661&lt;&gt;"","N",IF(LEFT(B661,10)="Arsenal v ","H","A"))</f>
        <v>A</v>
      </c>
      <c r="J661" s="2"/>
    </row>
    <row r="662" customFormat="false" ht="15" hidden="false" customHeight="false" outlineLevel="0" collapsed="false">
      <c r="A662" s="3" t="n">
        <v>36886</v>
      </c>
      <c r="B662" s="2" t="s">
        <v>733</v>
      </c>
      <c r="C662" s="2" t="s">
        <v>702</v>
      </c>
      <c r="D662" s="2" t="s">
        <v>491</v>
      </c>
      <c r="E662" s="2" t="s">
        <v>356</v>
      </c>
      <c r="F662" s="2"/>
      <c r="G662" s="2" t="s">
        <v>89</v>
      </c>
      <c r="H662" s="2" t="str">
        <f aca="false">IF(LEFT(B662,10)="Arsenal v ",MID(B662,11,100),LEFT(B662,FIND(" v ",B662)-1))</f>
        <v>Leicester City</v>
      </c>
      <c r="I662" s="2" t="str">
        <f aca="false">IF(F662&lt;&gt;"","N",IF(LEFT(B662,10)="Arsenal v ","H","A"))</f>
        <v>H</v>
      </c>
      <c r="J662" s="2"/>
    </row>
    <row r="663" customFormat="false" ht="15" hidden="false" customHeight="false" outlineLevel="0" collapsed="false">
      <c r="A663" s="3" t="n">
        <v>36890</v>
      </c>
      <c r="B663" s="2" t="s">
        <v>727</v>
      </c>
      <c r="C663" s="2" t="s">
        <v>706</v>
      </c>
      <c r="D663" s="2" t="s">
        <v>380</v>
      </c>
      <c r="E663" s="2" t="s">
        <v>356</v>
      </c>
      <c r="F663" s="2"/>
      <c r="G663" s="2" t="s">
        <v>89</v>
      </c>
      <c r="H663" s="2" t="str">
        <f aca="false">IF(LEFT(B663,10)="Arsenal v ",MID(B663,11,100),LEFT(B663,FIND(" v ",B663)-1))</f>
        <v>Sunderland</v>
      </c>
      <c r="I663" s="2" t="str">
        <f aca="false">IF(F663&lt;&gt;"","N",IF(LEFT(B663,10)="Arsenal v ","H","A"))</f>
        <v>H</v>
      </c>
      <c r="J663" s="2"/>
    </row>
    <row r="664" customFormat="false" ht="15" hidden="false" customHeight="false" outlineLevel="0" collapsed="false">
      <c r="A664" s="3" t="n">
        <v>36892</v>
      </c>
      <c r="B664" s="2" t="s">
        <v>425</v>
      </c>
      <c r="C664" s="2" t="s">
        <v>704</v>
      </c>
      <c r="D664" s="2" t="s">
        <v>348</v>
      </c>
      <c r="E664" s="2" t="s">
        <v>356</v>
      </c>
      <c r="F664" s="2"/>
      <c r="G664" s="2" t="s">
        <v>89</v>
      </c>
      <c r="H664" s="2" t="str">
        <f aca="false">IF(LEFT(B664,10)="Arsenal v ",MID(B664,11,100),LEFT(B664,FIND(" v ",B664)-1))</f>
        <v>Charlton Athletic</v>
      </c>
      <c r="I664" s="2" t="str">
        <f aca="false">IF(F664&lt;&gt;"","N",IF(LEFT(B664,10)="Arsenal v ","H","A"))</f>
        <v>A</v>
      </c>
      <c r="J664" s="2"/>
    </row>
    <row r="665" customFormat="false" ht="15" hidden="false" customHeight="false" outlineLevel="0" collapsed="false">
      <c r="A665" s="3" t="n">
        <v>36897</v>
      </c>
      <c r="B665" s="2" t="s">
        <v>422</v>
      </c>
      <c r="C665" s="2" t="s">
        <v>702</v>
      </c>
      <c r="D665" s="2" t="s">
        <v>383</v>
      </c>
      <c r="E665" s="2" t="s">
        <v>362</v>
      </c>
      <c r="F665" s="2"/>
      <c r="G665" s="2" t="s">
        <v>89</v>
      </c>
      <c r="H665" s="2" t="str">
        <f aca="false">IF(LEFT(B665,10)="Arsenal v ",MID(B665,11,100),LEFT(B665,FIND(" v ",B665)-1))</f>
        <v>Carlisle United</v>
      </c>
      <c r="I665" s="2" t="str">
        <f aca="false">IF(F665&lt;&gt;"","N",IF(LEFT(B665,10)="Arsenal v ","H","A"))</f>
        <v>A</v>
      </c>
      <c r="J665" s="2"/>
    </row>
    <row r="666" customFormat="false" ht="15" hidden="false" customHeight="false" outlineLevel="0" collapsed="false">
      <c r="A666" s="3" t="n">
        <v>36904</v>
      </c>
      <c r="B666" s="2" t="s">
        <v>725</v>
      </c>
      <c r="C666" s="2" t="s">
        <v>706</v>
      </c>
      <c r="D666" s="2" t="s">
        <v>361</v>
      </c>
      <c r="E666" s="2" t="s">
        <v>356</v>
      </c>
      <c r="F666" s="2"/>
      <c r="G666" s="2" t="s">
        <v>89</v>
      </c>
      <c r="H666" s="2" t="str">
        <f aca="false">IF(LEFT(B666,10)="Arsenal v ",MID(B666,11,100),LEFT(B666,FIND(" v ",B666)-1))</f>
        <v>Chelsea</v>
      </c>
      <c r="I666" s="2" t="str">
        <f aca="false">IF(F666&lt;&gt;"","N",IF(LEFT(B666,10)="Arsenal v ","H","A"))</f>
        <v>H</v>
      </c>
      <c r="J666" s="2"/>
    </row>
    <row r="667" customFormat="false" ht="15" hidden="false" customHeight="false" outlineLevel="0" collapsed="false">
      <c r="A667" s="3" t="n">
        <v>36911</v>
      </c>
      <c r="B667" s="2" t="s">
        <v>474</v>
      </c>
      <c r="C667" s="2" t="s">
        <v>706</v>
      </c>
      <c r="D667" s="2" t="s">
        <v>369</v>
      </c>
      <c r="E667" s="2" t="s">
        <v>356</v>
      </c>
      <c r="F667" s="2"/>
      <c r="G667" s="2" t="s">
        <v>89</v>
      </c>
      <c r="H667" s="2" t="str">
        <f aca="false">IF(LEFT(B667,10)="Arsenal v ",MID(B667,11,100),LEFT(B667,FIND(" v ",B667)-1))</f>
        <v>Leicester City</v>
      </c>
      <c r="I667" s="2" t="str">
        <f aca="false">IF(F667&lt;&gt;"","N",IF(LEFT(B667,10)="Arsenal v ","H","A"))</f>
        <v>A</v>
      </c>
      <c r="J667" s="2"/>
    </row>
    <row r="668" customFormat="false" ht="15" hidden="false" customHeight="false" outlineLevel="0" collapsed="false">
      <c r="A668" s="3" t="n">
        <v>36918</v>
      </c>
      <c r="B668" s="2" t="s">
        <v>524</v>
      </c>
      <c r="C668" s="2" t="s">
        <v>702</v>
      </c>
      <c r="D668" s="2" t="s">
        <v>525</v>
      </c>
      <c r="E668" s="2" t="s">
        <v>362</v>
      </c>
      <c r="F668" s="2"/>
      <c r="G668" s="2" t="s">
        <v>89</v>
      </c>
      <c r="H668" s="2" t="str">
        <f aca="false">IF(LEFT(B668,10)="Arsenal v ",MID(B668,11,100),LEFT(B668,FIND(" v ",B668)-1))</f>
        <v>Queens Park Rangers</v>
      </c>
      <c r="I668" s="2" t="str">
        <f aca="false">IF(F668&lt;&gt;"","N",IF(LEFT(B668,10)="Arsenal v ","H","A"))</f>
        <v>A</v>
      </c>
      <c r="J668" s="2"/>
    </row>
    <row r="669" customFormat="false" ht="15" hidden="false" customHeight="false" outlineLevel="0" collapsed="false">
      <c r="A669" s="3" t="n">
        <v>36921</v>
      </c>
      <c r="B669" s="2" t="s">
        <v>763</v>
      </c>
      <c r="C669" s="2" t="s">
        <v>702</v>
      </c>
      <c r="D669" s="2" t="s">
        <v>351</v>
      </c>
      <c r="E669" s="2" t="s">
        <v>356</v>
      </c>
      <c r="F669" s="2"/>
      <c r="G669" s="2" t="s">
        <v>89</v>
      </c>
      <c r="H669" s="2" t="str">
        <f aca="false">IF(LEFT(B669,10)="Arsenal v ",MID(B669,11,100),LEFT(B669,FIND(" v ",B669)-1))</f>
        <v>Bradford City</v>
      </c>
      <c r="I669" s="2" t="str">
        <f aca="false">IF(F669&lt;&gt;"","N",IF(LEFT(B669,10)="Arsenal v ","H","A"))</f>
        <v>H</v>
      </c>
      <c r="J669" s="2"/>
    </row>
    <row r="670" customFormat="false" ht="15" hidden="false" customHeight="false" outlineLevel="0" collapsed="false">
      <c r="A670" s="3" t="n">
        <v>36925</v>
      </c>
      <c r="B670" s="2" t="s">
        <v>431</v>
      </c>
      <c r="C670" s="2" t="s">
        <v>702</v>
      </c>
      <c r="D670" s="2" t="s">
        <v>383</v>
      </c>
      <c r="E670" s="2" t="s">
        <v>356</v>
      </c>
      <c r="F670" s="2"/>
      <c r="G670" s="2" t="s">
        <v>89</v>
      </c>
      <c r="H670" s="2" t="str">
        <f aca="false">IF(LEFT(B670,10)="Arsenal v ",MID(B670,11,100),LEFT(B670,FIND(" v ",B670)-1))</f>
        <v>Coventry City</v>
      </c>
      <c r="I670" s="2" t="str">
        <f aca="false">IF(F670&lt;&gt;"","N",IF(LEFT(B670,10)="Arsenal v ","H","A"))</f>
        <v>A</v>
      </c>
      <c r="J670" s="2"/>
    </row>
    <row r="671" customFormat="false" ht="15" hidden="false" customHeight="false" outlineLevel="0" collapsed="false">
      <c r="A671" s="3" t="n">
        <v>36932</v>
      </c>
      <c r="B671" s="2" t="s">
        <v>738</v>
      </c>
      <c r="C671" s="2" t="s">
        <v>702</v>
      </c>
      <c r="D671" s="2" t="s">
        <v>348</v>
      </c>
      <c r="E671" s="2" t="s">
        <v>356</v>
      </c>
      <c r="F671" s="2"/>
      <c r="G671" s="2" t="s">
        <v>89</v>
      </c>
      <c r="H671" s="2" t="str">
        <f aca="false">IF(LEFT(B671,10)="Arsenal v ",MID(B671,11,100),LEFT(B671,FIND(" v ",B671)-1))</f>
        <v>Ipswich Town</v>
      </c>
      <c r="I671" s="2" t="str">
        <f aca="false">IF(F671&lt;&gt;"","N",IF(LEFT(B671,10)="Arsenal v ","H","A"))</f>
        <v>H</v>
      </c>
      <c r="J671" s="2"/>
    </row>
    <row r="672" customFormat="false" ht="15" hidden="false" customHeight="false" outlineLevel="0" collapsed="false">
      <c r="A672" s="3" t="n">
        <v>36935</v>
      </c>
      <c r="B672" s="2" t="s">
        <v>508</v>
      </c>
      <c r="C672" s="2" t="s">
        <v>702</v>
      </c>
      <c r="D672" s="2" t="s">
        <v>383</v>
      </c>
      <c r="E672" s="2" t="s">
        <v>352</v>
      </c>
      <c r="F672" s="2"/>
      <c r="G672" s="2" t="s">
        <v>89</v>
      </c>
      <c r="H672" s="2" t="str">
        <f aca="false">IF(LEFT(B672,10)="Arsenal v ",MID(B672,11,100),LEFT(B672,FIND(" v ",B672)-1))</f>
        <v>Olympique Lyonnais</v>
      </c>
      <c r="I672" s="2" t="str">
        <f aca="false">IF(F672&lt;&gt;"","N",IF(LEFT(B672,10)="Arsenal v ","H","A"))</f>
        <v>A</v>
      </c>
      <c r="J672" s="2"/>
    </row>
    <row r="673" customFormat="false" ht="15" hidden="false" customHeight="false" outlineLevel="0" collapsed="false">
      <c r="A673" s="3" t="n">
        <v>36940</v>
      </c>
      <c r="B673" s="2" t="s">
        <v>725</v>
      </c>
      <c r="C673" s="2" t="s">
        <v>702</v>
      </c>
      <c r="D673" s="2" t="s">
        <v>377</v>
      </c>
      <c r="E673" s="2" t="s">
        <v>362</v>
      </c>
      <c r="F673" s="2"/>
      <c r="G673" s="2" t="s">
        <v>89</v>
      </c>
      <c r="H673" s="2" t="str">
        <f aca="false">IF(LEFT(B673,10)="Arsenal v ",MID(B673,11,100),LEFT(B673,FIND(" v ",B673)-1))</f>
        <v>Chelsea</v>
      </c>
      <c r="I673" s="2" t="str">
        <f aca="false">IF(F673&lt;&gt;"","N",IF(LEFT(B673,10)="Arsenal v ","H","A"))</f>
        <v>H</v>
      </c>
      <c r="J673" s="2"/>
    </row>
    <row r="674" customFormat="false" ht="15" hidden="false" customHeight="false" outlineLevel="0" collapsed="false">
      <c r="A674" s="3" t="n">
        <v>36943</v>
      </c>
      <c r="B674" s="2" t="s">
        <v>776</v>
      </c>
      <c r="C674" s="2" t="s">
        <v>706</v>
      </c>
      <c r="D674" s="2" t="s">
        <v>361</v>
      </c>
      <c r="E674" s="2" t="s">
        <v>352</v>
      </c>
      <c r="F674" s="2"/>
      <c r="G674" s="2" t="s">
        <v>89</v>
      </c>
      <c r="H674" s="2" t="str">
        <f aca="false">IF(LEFT(B674,10)="Arsenal v ",MID(B674,11,100),LEFT(B674,FIND(" v ",B674)-1))</f>
        <v>Olympique Lyonnais</v>
      </c>
      <c r="I674" s="2" t="str">
        <f aca="false">IF(F674&lt;&gt;"","N",IF(LEFT(B674,10)="Arsenal v ","H","A"))</f>
        <v>H</v>
      </c>
      <c r="J674" s="2"/>
    </row>
    <row r="675" customFormat="false" ht="15" hidden="false" customHeight="false" outlineLevel="0" collapsed="false">
      <c r="A675" s="3" t="n">
        <v>36947</v>
      </c>
      <c r="B675" s="2" t="s">
        <v>490</v>
      </c>
      <c r="C675" s="2" t="s">
        <v>704</v>
      </c>
      <c r="D675" s="2" t="s">
        <v>491</v>
      </c>
      <c r="E675" s="2" t="s">
        <v>356</v>
      </c>
      <c r="F675" s="2"/>
      <c r="G675" s="2" t="s">
        <v>89</v>
      </c>
      <c r="H675" s="2" t="str">
        <f aca="false">IF(LEFT(B675,10)="Arsenal v ",MID(B675,11,100),LEFT(B675,FIND(" v ",B675)-1))</f>
        <v>Manchester United</v>
      </c>
      <c r="I675" s="2" t="str">
        <f aca="false">IF(F675&lt;&gt;"","N",IF(LEFT(B675,10)="Arsenal v ","H","A"))</f>
        <v>A</v>
      </c>
      <c r="J675" s="2"/>
    </row>
    <row r="676" customFormat="false" ht="15" hidden="false" customHeight="false" outlineLevel="0" collapsed="false">
      <c r="A676" s="3" t="n">
        <v>36953</v>
      </c>
      <c r="B676" s="2" t="s">
        <v>712</v>
      </c>
      <c r="C676" s="2" t="s">
        <v>702</v>
      </c>
      <c r="D676" s="2" t="s">
        <v>434</v>
      </c>
      <c r="E676" s="2" t="s">
        <v>356</v>
      </c>
      <c r="F676" s="2"/>
      <c r="G676" s="2" t="s">
        <v>89</v>
      </c>
      <c r="H676" s="2" t="str">
        <f aca="false">IF(LEFT(B676,10)="Arsenal v ",MID(B676,11,100),LEFT(B676,FIND(" v ",B676)-1))</f>
        <v>West Ham United</v>
      </c>
      <c r="I676" s="2" t="str">
        <f aca="false">IF(F676&lt;&gt;"","N",IF(LEFT(B676,10)="Arsenal v ","H","A"))</f>
        <v>H</v>
      </c>
      <c r="J676" s="2"/>
    </row>
    <row r="677" customFormat="false" ht="15" hidden="false" customHeight="false" outlineLevel="0" collapsed="false">
      <c r="A677" s="3" t="n">
        <v>36956</v>
      </c>
      <c r="B677" s="2" t="s">
        <v>777</v>
      </c>
      <c r="C677" s="2" t="s">
        <v>702</v>
      </c>
      <c r="D677" s="2" t="s">
        <v>348</v>
      </c>
      <c r="E677" s="2" t="s">
        <v>352</v>
      </c>
      <c r="F677" s="2"/>
      <c r="G677" s="2" t="s">
        <v>89</v>
      </c>
      <c r="H677" s="2" t="str">
        <f aca="false">IF(LEFT(B677,10)="Arsenal v ",MID(B677,11,100),LEFT(B677,FIND(" v ",B677)-1))</f>
        <v>Spartak Moskva</v>
      </c>
      <c r="I677" s="2" t="str">
        <f aca="false">IF(F677&lt;&gt;"","N",IF(LEFT(B677,10)="Arsenal v ","H","A"))</f>
        <v>H</v>
      </c>
      <c r="J677" s="2"/>
    </row>
    <row r="678" customFormat="false" ht="15" hidden="false" customHeight="false" outlineLevel="0" collapsed="false">
      <c r="A678" s="3" t="n">
        <v>36960</v>
      </c>
      <c r="B678" s="2" t="s">
        <v>737</v>
      </c>
      <c r="C678" s="2" t="s">
        <v>702</v>
      </c>
      <c r="D678" s="2" t="s">
        <v>434</v>
      </c>
      <c r="E678" s="2" t="s">
        <v>362</v>
      </c>
      <c r="F678" s="2"/>
      <c r="G678" s="2" t="s">
        <v>89</v>
      </c>
      <c r="H678" s="2" t="str">
        <f aca="false">IF(LEFT(B678,10)="Arsenal v ",MID(B678,11,100),LEFT(B678,FIND(" v ",B678)-1))</f>
        <v>Blackburn Rovers</v>
      </c>
      <c r="I678" s="2" t="str">
        <f aca="false">IF(F678&lt;&gt;"","N",IF(LEFT(B678,10)="Arsenal v ","H","A"))</f>
        <v>H</v>
      </c>
      <c r="J678" s="2"/>
    </row>
    <row r="679" customFormat="false" ht="15" hidden="false" customHeight="false" outlineLevel="0" collapsed="false">
      <c r="A679" s="3" t="n">
        <v>36964</v>
      </c>
      <c r="B679" s="2" t="s">
        <v>402</v>
      </c>
      <c r="C679" s="2" t="s">
        <v>704</v>
      </c>
      <c r="D679" s="2" t="s">
        <v>348</v>
      </c>
      <c r="E679" s="2" t="s">
        <v>352</v>
      </c>
      <c r="F679" s="2"/>
      <c r="G679" s="2" t="s">
        <v>89</v>
      </c>
      <c r="H679" s="2" t="str">
        <f aca="false">IF(LEFT(B679,10)="Arsenal v ",MID(B679,11,100),LEFT(B679,FIND(" v ",B679)-1))</f>
        <v>Bayern München</v>
      </c>
      <c r="I679" s="2" t="str">
        <f aca="false">IF(F679&lt;&gt;"","N",IF(LEFT(B679,10)="Arsenal v ","H","A"))</f>
        <v>A</v>
      </c>
      <c r="J679" s="2"/>
    </row>
    <row r="680" customFormat="false" ht="15" hidden="false" customHeight="false" outlineLevel="0" collapsed="false">
      <c r="A680" s="3" t="n">
        <v>36968</v>
      </c>
      <c r="B680" s="2" t="s">
        <v>376</v>
      </c>
      <c r="C680" s="2" t="s">
        <v>706</v>
      </c>
      <c r="D680" s="2" t="s">
        <v>369</v>
      </c>
      <c r="E680" s="2" t="s">
        <v>356</v>
      </c>
      <c r="F680" s="2"/>
      <c r="G680" s="2" t="s">
        <v>89</v>
      </c>
      <c r="H680" s="2" t="str">
        <f aca="false">IF(LEFT(B680,10)="Arsenal v ",MID(B680,11,100),LEFT(B680,FIND(" v ",B680)-1))</f>
        <v>Aston Villa</v>
      </c>
      <c r="I680" s="2" t="str">
        <f aca="false">IF(F680&lt;&gt;"","N",IF(LEFT(B680,10)="Arsenal v ","H","A"))</f>
        <v>A</v>
      </c>
      <c r="J680" s="2"/>
    </row>
    <row r="681" customFormat="false" ht="15" hidden="false" customHeight="false" outlineLevel="0" collapsed="false">
      <c r="A681" s="3" t="n">
        <v>36981</v>
      </c>
      <c r="B681" s="2" t="s">
        <v>655</v>
      </c>
      <c r="C681" s="2" t="s">
        <v>702</v>
      </c>
      <c r="D681" s="2" t="s">
        <v>351</v>
      </c>
      <c r="E681" s="2" t="s">
        <v>356</v>
      </c>
      <c r="F681" s="2"/>
      <c r="G681" s="2" t="s">
        <v>89</v>
      </c>
      <c r="H681" s="2" t="str">
        <f aca="false">IF(LEFT(B681,10)="Arsenal v ",MID(B681,11,100),LEFT(B681,FIND(" v ",B681)-1))</f>
        <v>Tottenham Hotspur</v>
      </c>
      <c r="I681" s="2" t="str">
        <f aca="false">IF(F681&lt;&gt;"","N",IF(LEFT(B681,10)="Arsenal v ","H","A"))</f>
        <v>H</v>
      </c>
      <c r="J681" s="2"/>
    </row>
    <row r="682" customFormat="false" ht="15" hidden="false" customHeight="false" outlineLevel="0" collapsed="false">
      <c r="A682" s="3" t="n">
        <v>36985</v>
      </c>
      <c r="B682" s="2" t="s">
        <v>778</v>
      </c>
      <c r="C682" s="2" t="s">
        <v>702</v>
      </c>
      <c r="D682" s="2" t="s">
        <v>359</v>
      </c>
      <c r="E682" s="2" t="s">
        <v>352</v>
      </c>
      <c r="F682" s="2"/>
      <c r="G682" s="2" t="s">
        <v>89</v>
      </c>
      <c r="H682" s="2" t="str">
        <f aca="false">IF(LEFT(B682,10)="Arsenal v ",MID(B682,11,100),LEFT(B682,FIND(" v ",B682)-1))</f>
        <v>Valencia</v>
      </c>
      <c r="I682" s="2" t="str">
        <f aca="false">IF(F682&lt;&gt;"","N",IF(LEFT(B682,10)="Arsenal v ","H","A"))</f>
        <v>H</v>
      </c>
      <c r="J682" s="2"/>
    </row>
    <row r="683" customFormat="false" ht="15" hidden="false" customHeight="false" outlineLevel="0" collapsed="false">
      <c r="A683" s="3" t="n">
        <v>36989</v>
      </c>
      <c r="B683" s="2" t="s">
        <v>655</v>
      </c>
      <c r="C683" s="2" t="s">
        <v>702</v>
      </c>
      <c r="D683" s="2" t="s">
        <v>359</v>
      </c>
      <c r="E683" s="2" t="s">
        <v>362</v>
      </c>
      <c r="F683" s="2" t="s">
        <v>612</v>
      </c>
      <c r="G683" s="2" t="s">
        <v>89</v>
      </c>
      <c r="H683" s="2" t="str">
        <f aca="false">IF(LEFT(B683,10)="Arsenal v ",MID(B683,11,100),LEFT(B683,FIND(" v ",B683)-1))</f>
        <v>Tottenham Hotspur</v>
      </c>
      <c r="I683" s="2" t="str">
        <f aca="false">IF(F683&lt;&gt;"","N",IF(LEFT(B683,10)="Arsenal v ","H","A"))</f>
        <v>N</v>
      </c>
      <c r="J683" s="2"/>
    </row>
    <row r="684" customFormat="false" ht="15" hidden="false" customHeight="false" outlineLevel="0" collapsed="false">
      <c r="A684" s="3" t="n">
        <v>36992</v>
      </c>
      <c r="B684" s="2" t="s">
        <v>487</v>
      </c>
      <c r="C684" s="2" t="s">
        <v>702</v>
      </c>
      <c r="D684" s="2" t="s">
        <v>365</v>
      </c>
      <c r="E684" s="2" t="s">
        <v>356</v>
      </c>
      <c r="F684" s="2"/>
      <c r="G684" s="2" t="s">
        <v>89</v>
      </c>
      <c r="H684" s="2" t="str">
        <f aca="false">IF(LEFT(B684,10)="Arsenal v ",MID(B684,11,100),LEFT(B684,FIND(" v ",B684)-1))</f>
        <v>Manchester City</v>
      </c>
      <c r="I684" s="2" t="str">
        <f aca="false">IF(F684&lt;&gt;"","N",IF(LEFT(B684,10)="Arsenal v ","H","A"))</f>
        <v>A</v>
      </c>
      <c r="J684" s="2"/>
    </row>
    <row r="685" customFormat="false" ht="15" hidden="false" customHeight="false" outlineLevel="0" collapsed="false">
      <c r="A685" s="3" t="n">
        <v>36995</v>
      </c>
      <c r="B685" s="2" t="s">
        <v>711</v>
      </c>
      <c r="C685" s="2" t="s">
        <v>704</v>
      </c>
      <c r="D685" s="2" t="s">
        <v>363</v>
      </c>
      <c r="E685" s="2" t="s">
        <v>356</v>
      </c>
      <c r="F685" s="2"/>
      <c r="G685" s="2" t="s">
        <v>89</v>
      </c>
      <c r="H685" s="2" t="str">
        <f aca="false">IF(LEFT(B685,10)="Arsenal v ",MID(B685,11,100),LEFT(B685,FIND(" v ",B685)-1))</f>
        <v>Middlesbrough</v>
      </c>
      <c r="I685" s="2" t="str">
        <f aca="false">IF(F685&lt;&gt;"","N",IF(LEFT(B685,10)="Arsenal v ","H","A"))</f>
        <v>H</v>
      </c>
      <c r="J685" s="2"/>
    </row>
    <row r="686" customFormat="false" ht="15" hidden="false" customHeight="false" outlineLevel="0" collapsed="false">
      <c r="A686" s="3" t="n">
        <v>36998</v>
      </c>
      <c r="B686" s="2" t="s">
        <v>565</v>
      </c>
      <c r="C686" s="2" t="s">
        <v>704</v>
      </c>
      <c r="D686" s="2" t="s">
        <v>348</v>
      </c>
      <c r="E686" s="2" t="s">
        <v>352</v>
      </c>
      <c r="F686" s="2"/>
      <c r="G686" s="2" t="s">
        <v>89</v>
      </c>
      <c r="H686" s="2" t="str">
        <f aca="false">IF(LEFT(B686,10)="Arsenal v ",MID(B686,11,100),LEFT(B686,FIND(" v ",B686)-1))</f>
        <v>Valencia</v>
      </c>
      <c r="I686" s="2" t="str">
        <f aca="false">IF(F686&lt;&gt;"","N",IF(LEFT(B686,10)="Arsenal v ","H","A"))</f>
        <v>A</v>
      </c>
      <c r="J686" s="2"/>
    </row>
    <row r="687" customFormat="false" ht="15" hidden="false" customHeight="false" outlineLevel="0" collapsed="false">
      <c r="A687" s="3" t="n">
        <v>37002</v>
      </c>
      <c r="B687" s="2" t="s">
        <v>718</v>
      </c>
      <c r="C687" s="2" t="s">
        <v>702</v>
      </c>
      <c r="D687" s="2" t="s">
        <v>397</v>
      </c>
      <c r="E687" s="2" t="s">
        <v>356</v>
      </c>
      <c r="F687" s="2"/>
      <c r="G687" s="2" t="s">
        <v>89</v>
      </c>
      <c r="H687" s="2" t="str">
        <f aca="false">IF(LEFT(B687,10)="Arsenal v ",MID(B687,11,100),LEFT(B687,FIND(" v ",B687)-1))</f>
        <v>Everton</v>
      </c>
      <c r="I687" s="2" t="str">
        <f aca="false">IF(F687&lt;&gt;"","N",IF(LEFT(B687,10)="Arsenal v ","H","A"))</f>
        <v>H</v>
      </c>
      <c r="J687" s="2"/>
    </row>
    <row r="688" customFormat="false" ht="15" hidden="false" customHeight="false" outlineLevel="0" collapsed="false">
      <c r="A688" s="3" t="n">
        <v>37009</v>
      </c>
      <c r="B688" s="2" t="s">
        <v>440</v>
      </c>
      <c r="C688" s="2" t="s">
        <v>702</v>
      </c>
      <c r="D688" s="2" t="s">
        <v>360</v>
      </c>
      <c r="E688" s="2" t="s">
        <v>356</v>
      </c>
      <c r="F688" s="2"/>
      <c r="G688" s="2" t="s">
        <v>89</v>
      </c>
      <c r="H688" s="2" t="str">
        <f aca="false">IF(LEFT(B688,10)="Arsenal v ",MID(B688,11,100),LEFT(B688,FIND(" v ",B688)-1))</f>
        <v>Derby County</v>
      </c>
      <c r="I688" s="2" t="str">
        <f aca="false">IF(F688&lt;&gt;"","N",IF(LEFT(B688,10)="Arsenal v ","H","A"))</f>
        <v>A</v>
      </c>
      <c r="J688" s="2"/>
    </row>
    <row r="689" customFormat="false" ht="15" hidden="false" customHeight="false" outlineLevel="0" collapsed="false">
      <c r="A689" s="3" t="n">
        <v>37016</v>
      </c>
      <c r="B689" s="2" t="s">
        <v>729</v>
      </c>
      <c r="C689" s="2" t="s">
        <v>702</v>
      </c>
      <c r="D689" s="2" t="s">
        <v>359</v>
      </c>
      <c r="E689" s="2" t="s">
        <v>356</v>
      </c>
      <c r="F689" s="2"/>
      <c r="G689" s="2" t="s">
        <v>89</v>
      </c>
      <c r="H689" s="2" t="str">
        <f aca="false">IF(LEFT(B689,10)="Arsenal v ",MID(B689,11,100),LEFT(B689,FIND(" v ",B689)-1))</f>
        <v>Leeds United</v>
      </c>
      <c r="I689" s="2" t="str">
        <f aca="false">IF(F689&lt;&gt;"","N",IF(LEFT(B689,10)="Arsenal v ","H","A"))</f>
        <v>H</v>
      </c>
      <c r="J689" s="2"/>
    </row>
    <row r="690" customFormat="false" ht="15" hidden="false" customHeight="false" outlineLevel="0" collapsed="false">
      <c r="A690" s="3" t="n">
        <v>37023</v>
      </c>
      <c r="B690" s="2" t="s">
        <v>710</v>
      </c>
      <c r="C690" s="2" t="s">
        <v>704</v>
      </c>
      <c r="D690" s="2" t="s">
        <v>360</v>
      </c>
      <c r="E690" s="2" t="s">
        <v>362</v>
      </c>
      <c r="F690" s="2" t="s">
        <v>689</v>
      </c>
      <c r="G690" s="2" t="s">
        <v>89</v>
      </c>
      <c r="H690" s="2" t="str">
        <f aca="false">IF(LEFT(B690,10)="Arsenal v ",MID(B690,11,100),LEFT(B690,FIND(" v ",B690)-1))</f>
        <v>Liverpool</v>
      </c>
      <c r="I690" s="2" t="str">
        <f aca="false">IF(F690&lt;&gt;"","N",IF(LEFT(B690,10)="Arsenal v ","H","A"))</f>
        <v>N</v>
      </c>
      <c r="J690" s="2"/>
    </row>
    <row r="691" customFormat="false" ht="15" hidden="false" customHeight="false" outlineLevel="0" collapsed="false">
      <c r="A691" s="3" t="n">
        <v>37026</v>
      </c>
      <c r="B691" s="2" t="s">
        <v>501</v>
      </c>
      <c r="C691" s="2" t="s">
        <v>706</v>
      </c>
      <c r="D691" s="2" t="s">
        <v>369</v>
      </c>
      <c r="E691" s="2" t="s">
        <v>356</v>
      </c>
      <c r="F691" s="2"/>
      <c r="G691" s="2" t="s">
        <v>89</v>
      </c>
      <c r="H691" s="2" t="str">
        <f aca="false">IF(LEFT(B691,10)="Arsenal v ",MID(B691,11,100),LEFT(B691,FIND(" v ",B691)-1))</f>
        <v>Newcastle United</v>
      </c>
      <c r="I691" s="2" t="str">
        <f aca="false">IF(F691&lt;&gt;"","N",IF(LEFT(B691,10)="Arsenal v ","H","A"))</f>
        <v>A</v>
      </c>
      <c r="J691" s="2"/>
    </row>
    <row r="692" customFormat="false" ht="15" hidden="false" customHeight="false" outlineLevel="0" collapsed="false">
      <c r="A692" s="3" t="n">
        <v>37030</v>
      </c>
      <c r="B692" s="2" t="s">
        <v>546</v>
      </c>
      <c r="C692" s="2" t="s">
        <v>704</v>
      </c>
      <c r="D692" s="2" t="s">
        <v>382</v>
      </c>
      <c r="E692" s="2" t="s">
        <v>356</v>
      </c>
      <c r="F692" s="2"/>
      <c r="G692" s="2" t="s">
        <v>89</v>
      </c>
      <c r="H692" s="2" t="str">
        <f aca="false">IF(LEFT(B692,10)="Arsenal v ",MID(B692,11,100),LEFT(B692,FIND(" v ",B692)-1))</f>
        <v>Southampton</v>
      </c>
      <c r="I692" s="2" t="str">
        <f aca="false">IF(F692&lt;&gt;"","N",IF(LEFT(B692,10)="Arsenal v ","H","A"))</f>
        <v>A</v>
      </c>
      <c r="J692" s="2"/>
    </row>
    <row r="693" customFormat="false" ht="15" hidden="false" customHeight="false" outlineLevel="0" collapsed="false">
      <c r="A693" s="3" t="n">
        <v>37121</v>
      </c>
      <c r="B693" s="2" t="s">
        <v>494</v>
      </c>
      <c r="C693" s="2" t="s">
        <v>702</v>
      </c>
      <c r="D693" s="2" t="s">
        <v>365</v>
      </c>
      <c r="E693" s="2" t="s">
        <v>356</v>
      </c>
      <c r="F693" s="2"/>
      <c r="G693" s="2" t="s">
        <v>115</v>
      </c>
      <c r="H693" s="2" t="str">
        <f aca="false">IF(LEFT(B693,10)="Arsenal v ",MID(B693,11,100),LEFT(B693,FIND(" v ",B693)-1))</f>
        <v>Middlesbrough</v>
      </c>
      <c r="I693" s="2" t="str">
        <f aca="false">IF(F693&lt;&gt;"","N",IF(LEFT(B693,10)="Arsenal v ","H","A"))</f>
        <v>A</v>
      </c>
      <c r="J693" s="2"/>
    </row>
    <row r="694" customFormat="false" ht="15" hidden="false" customHeight="false" outlineLevel="0" collapsed="false">
      <c r="A694" s="3" t="n">
        <v>37124</v>
      </c>
      <c r="B694" s="2" t="s">
        <v>729</v>
      </c>
      <c r="C694" s="2" t="s">
        <v>704</v>
      </c>
      <c r="D694" s="2" t="s">
        <v>360</v>
      </c>
      <c r="E694" s="2" t="s">
        <v>356</v>
      </c>
      <c r="F694" s="2"/>
      <c r="G694" s="2" t="s">
        <v>115</v>
      </c>
      <c r="H694" s="2" t="str">
        <f aca="false">IF(LEFT(B694,10)="Arsenal v ",MID(B694,11,100),LEFT(B694,FIND(" v ",B694)-1))</f>
        <v>Leeds United</v>
      </c>
      <c r="I694" s="2" t="str">
        <f aca="false">IF(F694&lt;&gt;"","N",IF(LEFT(B694,10)="Arsenal v ","H","A"))</f>
        <v>H</v>
      </c>
      <c r="J694" s="2"/>
    </row>
    <row r="695" customFormat="false" ht="15" hidden="false" customHeight="false" outlineLevel="0" collapsed="false">
      <c r="A695" s="3" t="n">
        <v>37128</v>
      </c>
      <c r="B695" s="2" t="s">
        <v>733</v>
      </c>
      <c r="C695" s="2" t="s">
        <v>702</v>
      </c>
      <c r="D695" s="2" t="s">
        <v>354</v>
      </c>
      <c r="E695" s="2" t="s">
        <v>356</v>
      </c>
      <c r="F695" s="2"/>
      <c r="G695" s="2" t="s">
        <v>115</v>
      </c>
      <c r="H695" s="2" t="str">
        <f aca="false">IF(LEFT(B695,10)="Arsenal v ",MID(B695,11,100),LEFT(B695,FIND(" v ",B695)-1))</f>
        <v>Leicester City</v>
      </c>
      <c r="I695" s="2" t="str">
        <f aca="false">IF(F695&lt;&gt;"","N",IF(LEFT(B695,10)="Arsenal v ","H","A"))</f>
        <v>H</v>
      </c>
      <c r="J695" s="2"/>
    </row>
    <row r="696" customFormat="false" ht="15" hidden="false" customHeight="false" outlineLevel="0" collapsed="false">
      <c r="A696" s="3" t="n">
        <v>37142</v>
      </c>
      <c r="B696" s="2" t="s">
        <v>426</v>
      </c>
      <c r="C696" s="2" t="s">
        <v>706</v>
      </c>
      <c r="D696" s="2" t="s">
        <v>361</v>
      </c>
      <c r="E696" s="2" t="s">
        <v>356</v>
      </c>
      <c r="F696" s="2"/>
      <c r="G696" s="2" t="s">
        <v>115</v>
      </c>
      <c r="H696" s="2" t="str">
        <f aca="false">IF(LEFT(B696,10)="Arsenal v ",MID(B696,11,100),LEFT(B696,FIND(" v ",B696)-1))</f>
        <v>Chelsea</v>
      </c>
      <c r="I696" s="2" t="str">
        <f aca="false">IF(F696&lt;&gt;"","N",IF(LEFT(B696,10)="Arsenal v ","H","A"))</f>
        <v>A</v>
      </c>
      <c r="J696" s="2"/>
    </row>
    <row r="697" customFormat="false" ht="15" hidden="false" customHeight="false" outlineLevel="0" collapsed="false">
      <c r="A697" s="3" t="n">
        <v>37145</v>
      </c>
      <c r="B697" s="2" t="s">
        <v>533</v>
      </c>
      <c r="C697" s="2" t="s">
        <v>704</v>
      </c>
      <c r="D697" s="2" t="s">
        <v>348</v>
      </c>
      <c r="E697" s="2" t="s">
        <v>352</v>
      </c>
      <c r="F697" s="2"/>
      <c r="G697" s="2" t="s">
        <v>115</v>
      </c>
      <c r="H697" s="2" t="str">
        <f aca="false">IF(LEFT(B697,10)="Arsenal v ",MID(B697,11,100),LEFT(B697,FIND(" v ",B697)-1))</f>
        <v>Real Mallorca</v>
      </c>
      <c r="I697" s="2" t="str">
        <f aca="false">IF(F697&lt;&gt;"","N",IF(LEFT(B697,10)="Arsenal v ","H","A"))</f>
        <v>A</v>
      </c>
      <c r="J697" s="2"/>
    </row>
    <row r="698" customFormat="false" ht="15" hidden="false" customHeight="false" outlineLevel="0" collapsed="false">
      <c r="A698" s="3" t="n">
        <v>37149</v>
      </c>
      <c r="B698" s="2" t="s">
        <v>461</v>
      </c>
      <c r="C698" s="2" t="s">
        <v>702</v>
      </c>
      <c r="D698" s="2" t="s">
        <v>373</v>
      </c>
      <c r="E698" s="2" t="s">
        <v>356</v>
      </c>
      <c r="F698" s="2"/>
      <c r="G698" s="2" t="s">
        <v>115</v>
      </c>
      <c r="H698" s="2" t="str">
        <f aca="false">IF(LEFT(B698,10)="Arsenal v ",MID(B698,11,100),LEFT(B698,FIND(" v ",B698)-1))</f>
        <v>Fulham</v>
      </c>
      <c r="I698" s="2" t="str">
        <f aca="false">IF(F698&lt;&gt;"","N",IF(LEFT(B698,10)="Arsenal v ","H","A"))</f>
        <v>A</v>
      </c>
      <c r="J698" s="2"/>
    </row>
    <row r="699" customFormat="false" ht="15" hidden="false" customHeight="false" outlineLevel="0" collapsed="false">
      <c r="A699" s="3" t="n">
        <v>37153</v>
      </c>
      <c r="B699" s="2" t="s">
        <v>779</v>
      </c>
      <c r="C699" s="2" t="s">
        <v>702</v>
      </c>
      <c r="D699" s="2" t="s">
        <v>382</v>
      </c>
      <c r="E699" s="2" t="s">
        <v>352</v>
      </c>
      <c r="F699" s="2"/>
      <c r="G699" s="2" t="s">
        <v>115</v>
      </c>
      <c r="H699" s="2" t="str">
        <f aca="false">IF(LEFT(B699,10)="Arsenal v ",MID(B699,11,100),LEFT(B699,FIND(" v ",B699)-1))</f>
        <v>Schalke 04</v>
      </c>
      <c r="I699" s="2" t="str">
        <f aca="false">IF(F699&lt;&gt;"","N",IF(LEFT(B699,10)="Arsenal v ","H","A"))</f>
        <v>H</v>
      </c>
      <c r="J699" s="2"/>
    </row>
    <row r="700" customFormat="false" ht="15" hidden="false" customHeight="false" outlineLevel="0" collapsed="false">
      <c r="A700" s="3" t="n">
        <v>37156</v>
      </c>
      <c r="B700" s="2" t="s">
        <v>743</v>
      </c>
      <c r="C700" s="2" t="s">
        <v>706</v>
      </c>
      <c r="D700" s="2" t="s">
        <v>361</v>
      </c>
      <c r="E700" s="2" t="s">
        <v>356</v>
      </c>
      <c r="F700" s="2"/>
      <c r="G700" s="2" t="s">
        <v>115</v>
      </c>
      <c r="H700" s="2" t="str">
        <f aca="false">IF(LEFT(B700,10)="Arsenal v ",MID(B700,11,100),LEFT(B700,FIND(" v ",B700)-1))</f>
        <v>Bolton Wanderers</v>
      </c>
      <c r="I700" s="2" t="str">
        <f aca="false">IF(F700&lt;&gt;"","N",IF(LEFT(B700,10)="Arsenal v ","H","A"))</f>
        <v>H</v>
      </c>
      <c r="J700" s="2"/>
    </row>
    <row r="701" customFormat="false" ht="15" hidden="false" customHeight="false" outlineLevel="0" collapsed="false">
      <c r="A701" s="3" t="n">
        <v>37160</v>
      </c>
      <c r="B701" s="2" t="s">
        <v>512</v>
      </c>
      <c r="C701" s="2" t="s">
        <v>704</v>
      </c>
      <c r="D701" s="2" t="s">
        <v>348</v>
      </c>
      <c r="E701" s="2" t="s">
        <v>352</v>
      </c>
      <c r="F701" s="2"/>
      <c r="G701" s="2" t="s">
        <v>115</v>
      </c>
      <c r="H701" s="2" t="str">
        <f aca="false">IF(LEFT(B701,10)="Arsenal v ",MID(B701,11,100),LEFT(B701,FIND(" v ",B701)-1))</f>
        <v>Panathinaikos</v>
      </c>
      <c r="I701" s="2" t="str">
        <f aca="false">IF(F701&lt;&gt;"","N",IF(LEFT(B701,10)="Arsenal v ","H","A"))</f>
        <v>A</v>
      </c>
      <c r="J701" s="2"/>
    </row>
    <row r="702" customFormat="false" ht="15" hidden="false" customHeight="false" outlineLevel="0" collapsed="false">
      <c r="A702" s="3" t="n">
        <v>37163</v>
      </c>
      <c r="B702" s="2" t="s">
        <v>440</v>
      </c>
      <c r="C702" s="2" t="s">
        <v>702</v>
      </c>
      <c r="D702" s="2" t="s">
        <v>353</v>
      </c>
      <c r="E702" s="2" t="s">
        <v>356</v>
      </c>
      <c r="F702" s="2"/>
      <c r="G702" s="2" t="s">
        <v>115</v>
      </c>
      <c r="H702" s="2" t="str">
        <f aca="false">IF(LEFT(B702,10)="Arsenal v ",MID(B702,11,100),LEFT(B702,FIND(" v ",B702)-1))</f>
        <v>Derby County</v>
      </c>
      <c r="I702" s="2" t="str">
        <f aca="false">IF(F702&lt;&gt;"","N",IF(LEFT(B702,10)="Arsenal v ","H","A"))</f>
        <v>A</v>
      </c>
      <c r="J702" s="2"/>
    </row>
    <row r="703" customFormat="false" ht="15" hidden="false" customHeight="false" outlineLevel="0" collapsed="false">
      <c r="A703" s="3" t="n">
        <v>37177</v>
      </c>
      <c r="B703" s="2" t="s">
        <v>546</v>
      </c>
      <c r="C703" s="2" t="s">
        <v>702</v>
      </c>
      <c r="D703" s="2" t="s">
        <v>353</v>
      </c>
      <c r="E703" s="2" t="s">
        <v>356</v>
      </c>
      <c r="F703" s="2"/>
      <c r="G703" s="2" t="s">
        <v>115</v>
      </c>
      <c r="H703" s="2" t="str">
        <f aca="false">IF(LEFT(B703,10)="Arsenal v ",MID(B703,11,100),LEFT(B703,FIND(" v ",B703)-1))</f>
        <v>Southampton</v>
      </c>
      <c r="I703" s="2" t="str">
        <f aca="false">IF(F703&lt;&gt;"","N",IF(LEFT(B703,10)="Arsenal v ","H","A"))</f>
        <v>A</v>
      </c>
      <c r="J703" s="2"/>
    </row>
    <row r="704" customFormat="false" ht="15" hidden="false" customHeight="false" outlineLevel="0" collapsed="false">
      <c r="A704" s="3" t="n">
        <v>37180</v>
      </c>
      <c r="B704" s="2" t="s">
        <v>659</v>
      </c>
      <c r="C704" s="2" t="s">
        <v>702</v>
      </c>
      <c r="D704" s="2" t="s">
        <v>359</v>
      </c>
      <c r="E704" s="2" t="s">
        <v>352</v>
      </c>
      <c r="F704" s="2"/>
      <c r="G704" s="2" t="s">
        <v>115</v>
      </c>
      <c r="H704" s="2" t="str">
        <f aca="false">IF(LEFT(B704,10)="Arsenal v ",MID(B704,11,100),LEFT(B704,FIND(" v ",B704)-1))</f>
        <v>Panathinaikos</v>
      </c>
      <c r="I704" s="2" t="str">
        <f aca="false">IF(F704&lt;&gt;"","N",IF(LEFT(B704,10)="Arsenal v ","H","A"))</f>
        <v>H</v>
      </c>
      <c r="J704" s="2"/>
    </row>
    <row r="705" customFormat="false" ht="15" hidden="false" customHeight="false" outlineLevel="0" collapsed="false">
      <c r="A705" s="3" t="n">
        <v>37184</v>
      </c>
      <c r="B705" s="2" t="s">
        <v>737</v>
      </c>
      <c r="C705" s="2" t="s">
        <v>706</v>
      </c>
      <c r="D705" s="2" t="s">
        <v>358</v>
      </c>
      <c r="E705" s="2" t="s">
        <v>356</v>
      </c>
      <c r="F705" s="2"/>
      <c r="G705" s="2" t="s">
        <v>115</v>
      </c>
      <c r="H705" s="2" t="str">
        <f aca="false">IF(LEFT(B705,10)="Arsenal v ",MID(B705,11,100),LEFT(B705,FIND(" v ",B705)-1))</f>
        <v>Blackburn Rovers</v>
      </c>
      <c r="I705" s="2" t="str">
        <f aca="false">IF(F705&lt;&gt;"","N",IF(LEFT(B705,10)="Arsenal v ","H","A"))</f>
        <v>H</v>
      </c>
      <c r="J705" s="2"/>
    </row>
    <row r="706" customFormat="false" ht="15" hidden="false" customHeight="false" outlineLevel="0" collapsed="false">
      <c r="A706" s="3" t="n">
        <v>37188</v>
      </c>
      <c r="B706" s="2" t="s">
        <v>780</v>
      </c>
      <c r="C706" s="2" t="s">
        <v>702</v>
      </c>
      <c r="D706" s="2" t="s">
        <v>377</v>
      </c>
      <c r="E706" s="2" t="s">
        <v>352</v>
      </c>
      <c r="F706" s="2"/>
      <c r="G706" s="2" t="s">
        <v>115</v>
      </c>
      <c r="H706" s="2" t="str">
        <f aca="false">IF(LEFT(B706,10)="Arsenal v ",MID(B706,11,100),LEFT(B706,FIND(" v ",B706)-1))</f>
        <v>Real Mallorca</v>
      </c>
      <c r="I706" s="2" t="str">
        <f aca="false">IF(F706&lt;&gt;"","N",IF(LEFT(B706,10)="Arsenal v ","H","A"))</f>
        <v>H</v>
      </c>
      <c r="J706" s="2"/>
    </row>
    <row r="707" customFormat="false" ht="15" hidden="false" customHeight="false" outlineLevel="0" collapsed="false">
      <c r="A707" s="3" t="n">
        <v>37191</v>
      </c>
      <c r="B707" s="2" t="s">
        <v>556</v>
      </c>
      <c r="C707" s="2" t="s">
        <v>706</v>
      </c>
      <c r="D707" s="2" t="s">
        <v>361</v>
      </c>
      <c r="E707" s="2" t="s">
        <v>356</v>
      </c>
      <c r="F707" s="2"/>
      <c r="G707" s="2" t="s">
        <v>115</v>
      </c>
      <c r="H707" s="2" t="str">
        <f aca="false">IF(LEFT(B707,10)="Arsenal v ",MID(B707,11,100),LEFT(B707,FIND(" v ",B707)-1))</f>
        <v>Sunderland</v>
      </c>
      <c r="I707" s="2" t="str">
        <f aca="false">IF(F707&lt;&gt;"","N",IF(LEFT(B707,10)="Arsenal v ","H","A"))</f>
        <v>A</v>
      </c>
      <c r="J707" s="2"/>
    </row>
    <row r="708" customFormat="false" ht="15" hidden="false" customHeight="false" outlineLevel="0" collapsed="false">
      <c r="A708" s="3" t="n">
        <v>37194</v>
      </c>
      <c r="B708" s="2" t="s">
        <v>538</v>
      </c>
      <c r="C708" s="2" t="s">
        <v>704</v>
      </c>
      <c r="D708" s="2" t="s">
        <v>377</v>
      </c>
      <c r="E708" s="2" t="s">
        <v>352</v>
      </c>
      <c r="F708" s="2"/>
      <c r="G708" s="2" t="s">
        <v>115</v>
      </c>
      <c r="H708" s="2" t="str">
        <f aca="false">IF(LEFT(B708,10)="Arsenal v ",MID(B708,11,100),LEFT(B708,FIND(" v ",B708)-1))</f>
        <v>Schalke 04</v>
      </c>
      <c r="I708" s="2" t="str">
        <f aca="false">IF(F708&lt;&gt;"","N",IF(LEFT(B708,10)="Arsenal v ","H","A"))</f>
        <v>A</v>
      </c>
      <c r="J708" s="2"/>
    </row>
    <row r="709" customFormat="false" ht="15" hidden="false" customHeight="false" outlineLevel="0" collapsed="false">
      <c r="A709" s="3" t="n">
        <v>37199</v>
      </c>
      <c r="B709" s="2" t="s">
        <v>717</v>
      </c>
      <c r="C709" s="2" t="s">
        <v>704</v>
      </c>
      <c r="D709" s="2" t="s">
        <v>384</v>
      </c>
      <c r="E709" s="2" t="s">
        <v>356</v>
      </c>
      <c r="F709" s="2"/>
      <c r="G709" s="2" t="s">
        <v>115</v>
      </c>
      <c r="H709" s="2" t="str">
        <f aca="false">IF(LEFT(B709,10)="Arsenal v ",MID(B709,11,100),LEFT(B709,FIND(" v ",B709)-1))</f>
        <v>Charlton Athletic</v>
      </c>
      <c r="I709" s="2" t="str">
        <f aca="false">IF(F709&lt;&gt;"","N",IF(LEFT(B709,10)="Arsenal v ","H","A"))</f>
        <v>H</v>
      </c>
      <c r="J709" s="2"/>
    </row>
    <row r="710" customFormat="false" ht="15" hidden="false" customHeight="false" outlineLevel="0" collapsed="false">
      <c r="A710" s="3" t="n">
        <v>37200</v>
      </c>
      <c r="B710" s="2" t="s">
        <v>656</v>
      </c>
      <c r="C710" s="2" t="s">
        <v>702</v>
      </c>
      <c r="D710" s="2" t="s">
        <v>354</v>
      </c>
      <c r="E710" s="2" t="s">
        <v>379</v>
      </c>
      <c r="F710" s="2"/>
      <c r="G710" s="2" t="s">
        <v>115</v>
      </c>
      <c r="H710" s="2" t="str">
        <f aca="false">IF(LEFT(B710,10)="Arsenal v ",MID(B710,11,100),LEFT(B710,FIND(" v ",B710)-1))</f>
        <v>Manchester United</v>
      </c>
      <c r="I710" s="2" t="str">
        <f aca="false">IF(F710&lt;&gt;"","N",IF(LEFT(B710,10)="Arsenal v ","H","A"))</f>
        <v>H</v>
      </c>
      <c r="J710" s="2"/>
    </row>
    <row r="711" customFormat="false" ht="15" hidden="false" customHeight="false" outlineLevel="0" collapsed="false">
      <c r="A711" s="3" t="n">
        <v>37212</v>
      </c>
      <c r="B711" s="2" t="s">
        <v>561</v>
      </c>
      <c r="C711" s="2" t="s">
        <v>706</v>
      </c>
      <c r="D711" s="2" t="s">
        <v>361</v>
      </c>
      <c r="E711" s="2" t="s">
        <v>356</v>
      </c>
      <c r="F711" s="2"/>
      <c r="G711" s="2" t="s">
        <v>115</v>
      </c>
      <c r="H711" s="2" t="str">
        <f aca="false">IF(LEFT(B711,10)="Arsenal v ",MID(B711,11,100),LEFT(B711,FIND(" v ",B711)-1))</f>
        <v>Tottenham Hotspur</v>
      </c>
      <c r="I711" s="2" t="str">
        <f aca="false">IF(F711&lt;&gt;"","N",IF(LEFT(B711,10)="Arsenal v ","H","A"))</f>
        <v>A</v>
      </c>
      <c r="J711" s="2"/>
    </row>
    <row r="712" customFormat="false" ht="15" hidden="false" customHeight="false" outlineLevel="0" collapsed="false">
      <c r="A712" s="3" t="n">
        <v>37216</v>
      </c>
      <c r="B712" s="2" t="s">
        <v>439</v>
      </c>
      <c r="C712" s="2" t="s">
        <v>704</v>
      </c>
      <c r="D712" s="2" t="s">
        <v>351</v>
      </c>
      <c r="E712" s="2" t="s">
        <v>352</v>
      </c>
      <c r="F712" s="2"/>
      <c r="G712" s="2" t="s">
        <v>115</v>
      </c>
      <c r="H712" s="2" t="str">
        <f aca="false">IF(LEFT(B712,10)="Arsenal v ",MID(B712,11,100),LEFT(B712,FIND(" v ",B712)-1))</f>
        <v>Deportivo La Coruña</v>
      </c>
      <c r="I712" s="2" t="str">
        <f aca="false">IF(F712&lt;&gt;"","N",IF(LEFT(B712,10)="Arsenal v ","H","A"))</f>
        <v>A</v>
      </c>
      <c r="J712" s="2"/>
    </row>
    <row r="713" customFormat="false" ht="15" hidden="false" customHeight="false" outlineLevel="0" collapsed="false">
      <c r="A713" s="3" t="n">
        <v>37220</v>
      </c>
      <c r="B713" s="2" t="s">
        <v>656</v>
      </c>
      <c r="C713" s="2" t="s">
        <v>702</v>
      </c>
      <c r="D713" s="2" t="s">
        <v>377</v>
      </c>
      <c r="E713" s="2" t="s">
        <v>356</v>
      </c>
      <c r="F713" s="2"/>
      <c r="G713" s="2" t="s">
        <v>115</v>
      </c>
      <c r="H713" s="2" t="str">
        <f aca="false">IF(LEFT(B713,10)="Arsenal v ",MID(B713,11,100),LEFT(B713,FIND(" v ",B713)-1))</f>
        <v>Manchester United</v>
      </c>
      <c r="I713" s="2" t="str">
        <f aca="false">IF(F713&lt;&gt;"","N",IF(LEFT(B713,10)="Arsenal v ","H","A"))</f>
        <v>H</v>
      </c>
      <c r="J713" s="2"/>
    </row>
    <row r="714" customFormat="false" ht="15" hidden="false" customHeight="false" outlineLevel="0" collapsed="false">
      <c r="A714" s="3" t="n">
        <v>37222</v>
      </c>
      <c r="B714" s="2" t="s">
        <v>781</v>
      </c>
      <c r="C714" s="2" t="s">
        <v>702</v>
      </c>
      <c r="D714" s="2" t="s">
        <v>351</v>
      </c>
      <c r="E714" s="2" t="s">
        <v>379</v>
      </c>
      <c r="F714" s="2"/>
      <c r="G714" s="2" t="s">
        <v>115</v>
      </c>
      <c r="H714" s="2" t="str">
        <f aca="false">IF(LEFT(B714,10)="Arsenal v ",MID(B714,11,100),LEFT(B714,FIND(" v ",B714)-1))</f>
        <v>Grimsby Town</v>
      </c>
      <c r="I714" s="2" t="str">
        <f aca="false">IF(F714&lt;&gt;"","N",IF(LEFT(B714,10)="Arsenal v ","H","A"))</f>
        <v>H</v>
      </c>
      <c r="J714" s="2"/>
    </row>
    <row r="715" customFormat="false" ht="15" hidden="false" customHeight="false" outlineLevel="0" collapsed="false">
      <c r="A715" s="3" t="n">
        <v>37226</v>
      </c>
      <c r="B715" s="2" t="s">
        <v>470</v>
      </c>
      <c r="C715" s="2" t="s">
        <v>702</v>
      </c>
      <c r="D715" s="2" t="s">
        <v>353</v>
      </c>
      <c r="E715" s="2" t="s">
        <v>356</v>
      </c>
      <c r="F715" s="2"/>
      <c r="G715" s="2" t="s">
        <v>115</v>
      </c>
      <c r="H715" s="2" t="str">
        <f aca="false">IF(LEFT(B715,10)="Arsenal v ",MID(B715,11,100),LEFT(B715,FIND(" v ",B715)-1))</f>
        <v>Ipswich Town</v>
      </c>
      <c r="I715" s="2" t="str">
        <f aca="false">IF(F715&lt;&gt;"","N",IF(LEFT(B715,10)="Arsenal v ","H","A"))</f>
        <v>A</v>
      </c>
      <c r="J715" s="2"/>
    </row>
    <row r="716" customFormat="false" ht="15" hidden="false" customHeight="false" outlineLevel="0" collapsed="false">
      <c r="A716" s="3" t="n">
        <v>37229</v>
      </c>
      <c r="B716" s="2" t="s">
        <v>782</v>
      </c>
      <c r="C716" s="2" t="s">
        <v>702</v>
      </c>
      <c r="D716" s="2" t="s">
        <v>377</v>
      </c>
      <c r="E716" s="2" t="s">
        <v>352</v>
      </c>
      <c r="F716" s="2"/>
      <c r="G716" s="2" t="s">
        <v>115</v>
      </c>
      <c r="H716" s="2" t="str">
        <f aca="false">IF(LEFT(B716,10)="Arsenal v ",MID(B716,11,100),LEFT(B716,FIND(" v ",B716)-1))</f>
        <v>Juventus</v>
      </c>
      <c r="I716" s="2" t="str">
        <f aca="false">IF(F716&lt;&gt;"","N",IF(LEFT(B716,10)="Arsenal v ","H","A"))</f>
        <v>H</v>
      </c>
      <c r="J716" s="2"/>
    </row>
    <row r="717" customFormat="false" ht="15" hidden="false" customHeight="false" outlineLevel="0" collapsed="false">
      <c r="A717" s="3" t="n">
        <v>37234</v>
      </c>
      <c r="B717" s="2" t="s">
        <v>703</v>
      </c>
      <c r="C717" s="2" t="s">
        <v>702</v>
      </c>
      <c r="D717" s="2" t="s">
        <v>382</v>
      </c>
      <c r="E717" s="2" t="s">
        <v>356</v>
      </c>
      <c r="F717" s="2"/>
      <c r="G717" s="2" t="s">
        <v>115</v>
      </c>
      <c r="H717" s="2" t="str">
        <f aca="false">IF(LEFT(B717,10)="Arsenal v ",MID(B717,11,100),LEFT(B717,FIND(" v ",B717)-1))</f>
        <v>Aston Villa</v>
      </c>
      <c r="I717" s="2" t="str">
        <f aca="false">IF(F717&lt;&gt;"","N",IF(LEFT(B717,10)="Arsenal v ","H","A"))</f>
        <v>H</v>
      </c>
      <c r="J717" s="2"/>
    </row>
    <row r="718" customFormat="false" ht="15" hidden="false" customHeight="false" outlineLevel="0" collapsed="false">
      <c r="A718" s="3" t="n">
        <v>37236</v>
      </c>
      <c r="B718" s="2" t="s">
        <v>406</v>
      </c>
      <c r="C718" s="2" t="s">
        <v>704</v>
      </c>
      <c r="D718" s="2" t="s">
        <v>354</v>
      </c>
      <c r="E718" s="2" t="s">
        <v>379</v>
      </c>
      <c r="F718" s="2"/>
      <c r="G718" s="2" t="s">
        <v>115</v>
      </c>
      <c r="H718" s="2" t="str">
        <f aca="false">IF(LEFT(B718,10)="Arsenal v ",MID(B718,11,100),LEFT(B718,FIND(" v ",B718)-1))</f>
        <v>Blackburn Rovers</v>
      </c>
      <c r="I718" s="2" t="str">
        <f aca="false">IF(F718&lt;&gt;"","N",IF(LEFT(B718,10)="Arsenal v ","H","A"))</f>
        <v>A</v>
      </c>
      <c r="J718" s="2"/>
    </row>
    <row r="719" customFormat="false" ht="15" hidden="false" customHeight="false" outlineLevel="0" collapsed="false">
      <c r="A719" s="3" t="n">
        <v>37240</v>
      </c>
      <c r="B719" s="2" t="s">
        <v>572</v>
      </c>
      <c r="C719" s="2" t="s">
        <v>706</v>
      </c>
      <c r="D719" s="2" t="s">
        <v>361</v>
      </c>
      <c r="E719" s="2" t="s">
        <v>356</v>
      </c>
      <c r="F719" s="2"/>
      <c r="G719" s="2" t="s">
        <v>115</v>
      </c>
      <c r="H719" s="2" t="str">
        <f aca="false">IF(LEFT(B719,10)="Arsenal v ",MID(B719,11,100),LEFT(B719,FIND(" v ",B719)-1))</f>
        <v>West Ham United</v>
      </c>
      <c r="I719" s="2" t="str">
        <f aca="false">IF(F719&lt;&gt;"","N",IF(LEFT(B719,10)="Arsenal v ","H","A"))</f>
        <v>A</v>
      </c>
      <c r="J719" s="2"/>
    </row>
    <row r="720" customFormat="false" ht="15" hidden="false" customHeight="false" outlineLevel="0" collapsed="false">
      <c r="A720" s="3" t="n">
        <v>37243</v>
      </c>
      <c r="B720" s="2" t="s">
        <v>719</v>
      </c>
      <c r="C720" s="2" t="s">
        <v>704</v>
      </c>
      <c r="D720" s="2" t="s">
        <v>373</v>
      </c>
      <c r="E720" s="2" t="s">
        <v>356</v>
      </c>
      <c r="F720" s="2"/>
      <c r="G720" s="2" t="s">
        <v>115</v>
      </c>
      <c r="H720" s="2" t="str">
        <f aca="false">IF(LEFT(B720,10)="Arsenal v ",MID(B720,11,100),LEFT(B720,FIND(" v ",B720)-1))</f>
        <v>Newcastle United</v>
      </c>
      <c r="I720" s="2" t="str">
        <f aca="false">IF(F720&lt;&gt;"","N",IF(LEFT(B720,10)="Arsenal v ","H","A"))</f>
        <v>H</v>
      </c>
      <c r="J720" s="2"/>
    </row>
    <row r="721" customFormat="false" ht="15" hidden="false" customHeight="false" outlineLevel="0" collapsed="false">
      <c r="A721" s="3" t="n">
        <v>37248</v>
      </c>
      <c r="B721" s="2" t="s">
        <v>477</v>
      </c>
      <c r="C721" s="2" t="s">
        <v>702</v>
      </c>
      <c r="D721" s="2" t="s">
        <v>360</v>
      </c>
      <c r="E721" s="2" t="s">
        <v>356</v>
      </c>
      <c r="F721" s="2"/>
      <c r="G721" s="2" t="s">
        <v>115</v>
      </c>
      <c r="H721" s="2" t="str">
        <f aca="false">IF(LEFT(B721,10)="Arsenal v ",MID(B721,11,100),LEFT(B721,FIND(" v ",B721)-1))</f>
        <v>Liverpool</v>
      </c>
      <c r="I721" s="2" t="str">
        <f aca="false">IF(F721&lt;&gt;"","N",IF(LEFT(B721,10)="Arsenal v ","H","A"))</f>
        <v>A</v>
      </c>
      <c r="J721" s="2"/>
    </row>
    <row r="722" customFormat="false" ht="15" hidden="false" customHeight="false" outlineLevel="0" collapsed="false">
      <c r="A722" s="3" t="n">
        <v>37251</v>
      </c>
      <c r="B722" s="2" t="s">
        <v>725</v>
      </c>
      <c r="C722" s="2" t="s">
        <v>702</v>
      </c>
      <c r="D722" s="2" t="s">
        <v>359</v>
      </c>
      <c r="E722" s="2" t="s">
        <v>356</v>
      </c>
      <c r="F722" s="2"/>
      <c r="G722" s="2" t="s">
        <v>115</v>
      </c>
      <c r="H722" s="2" t="str">
        <f aca="false">IF(LEFT(B722,10)="Arsenal v ",MID(B722,11,100),LEFT(B722,FIND(" v ",B722)-1))</f>
        <v>Chelsea</v>
      </c>
      <c r="I722" s="2" t="str">
        <f aca="false">IF(F722&lt;&gt;"","N",IF(LEFT(B722,10)="Arsenal v ","H","A"))</f>
        <v>H</v>
      </c>
      <c r="J722" s="2"/>
    </row>
    <row r="723" customFormat="false" ht="15" hidden="false" customHeight="false" outlineLevel="0" collapsed="false">
      <c r="A723" s="3" t="n">
        <v>37254</v>
      </c>
      <c r="B723" s="2" t="s">
        <v>711</v>
      </c>
      <c r="C723" s="2" t="s">
        <v>702</v>
      </c>
      <c r="D723" s="2" t="s">
        <v>359</v>
      </c>
      <c r="E723" s="2" t="s">
        <v>356</v>
      </c>
      <c r="F723" s="2"/>
      <c r="G723" s="2" t="s">
        <v>115</v>
      </c>
      <c r="H723" s="2" t="str">
        <f aca="false">IF(LEFT(B723,10)="Arsenal v ",MID(B723,11,100),LEFT(B723,FIND(" v ",B723)-1))</f>
        <v>Middlesbrough</v>
      </c>
      <c r="I723" s="2" t="str">
        <f aca="false">IF(F723&lt;&gt;"","N",IF(LEFT(B723,10)="Arsenal v ","H","A"))</f>
        <v>H</v>
      </c>
      <c r="J723" s="2"/>
    </row>
    <row r="724" customFormat="false" ht="15" hidden="false" customHeight="false" outlineLevel="0" collapsed="false">
      <c r="A724" s="3" t="n">
        <v>37261</v>
      </c>
      <c r="B724" s="2" t="s">
        <v>569</v>
      </c>
      <c r="C724" s="2" t="s">
        <v>702</v>
      </c>
      <c r="D724" s="2" t="s">
        <v>384</v>
      </c>
      <c r="E724" s="2" t="s">
        <v>362</v>
      </c>
      <c r="F724" s="2"/>
      <c r="G724" s="2" t="s">
        <v>115</v>
      </c>
      <c r="H724" s="2" t="str">
        <f aca="false">IF(LEFT(B724,10)="Arsenal v ",MID(B724,11,100),LEFT(B724,FIND(" v ",B724)-1))</f>
        <v>Watford</v>
      </c>
      <c r="I724" s="2" t="str">
        <f aca="false">IF(F724&lt;&gt;"","N",IF(LEFT(B724,10)="Arsenal v ","H","A"))</f>
        <v>A</v>
      </c>
      <c r="J724" s="2"/>
    </row>
    <row r="725" customFormat="false" ht="15" hidden="false" customHeight="false" outlineLevel="0" collapsed="false">
      <c r="A725" s="3" t="n">
        <v>37269</v>
      </c>
      <c r="B725" s="2" t="s">
        <v>710</v>
      </c>
      <c r="C725" s="2" t="s">
        <v>706</v>
      </c>
      <c r="D725" s="2" t="s">
        <v>361</v>
      </c>
      <c r="E725" s="2" t="s">
        <v>356</v>
      </c>
      <c r="F725" s="2"/>
      <c r="G725" s="2" t="s">
        <v>115</v>
      </c>
      <c r="H725" s="2" t="str">
        <f aca="false">IF(LEFT(B725,10)="Arsenal v ",MID(B725,11,100),LEFT(B725,FIND(" v ",B725)-1))</f>
        <v>Liverpool</v>
      </c>
      <c r="I725" s="2" t="str">
        <f aca="false">IF(F725&lt;&gt;"","N",IF(LEFT(B725,10)="Arsenal v ","H","A"))</f>
        <v>H</v>
      </c>
      <c r="J725" s="2"/>
    </row>
    <row r="726" customFormat="false" ht="15" hidden="false" customHeight="false" outlineLevel="0" collapsed="false">
      <c r="A726" s="3" t="n">
        <v>37276</v>
      </c>
      <c r="B726" s="2" t="s">
        <v>473</v>
      </c>
      <c r="C726" s="2" t="s">
        <v>706</v>
      </c>
      <c r="D726" s="2" t="s">
        <v>361</v>
      </c>
      <c r="E726" s="2" t="s">
        <v>356</v>
      </c>
      <c r="F726" s="2"/>
      <c r="G726" s="2" t="s">
        <v>115</v>
      </c>
      <c r="H726" s="2" t="str">
        <f aca="false">IF(LEFT(B726,10)="Arsenal v ",MID(B726,11,100),LEFT(B726,FIND(" v ",B726)-1))</f>
        <v>Leeds United</v>
      </c>
      <c r="I726" s="2" t="str">
        <f aca="false">IF(F726&lt;&gt;"","N",IF(LEFT(B726,10)="Arsenal v ","H","A"))</f>
        <v>A</v>
      </c>
      <c r="J726" s="2"/>
    </row>
    <row r="727" customFormat="false" ht="15" hidden="false" customHeight="false" outlineLevel="0" collapsed="false">
      <c r="A727" s="3" t="n">
        <v>37279</v>
      </c>
      <c r="B727" s="2" t="s">
        <v>474</v>
      </c>
      <c r="C727" s="2" t="s">
        <v>702</v>
      </c>
      <c r="D727" s="2" t="s">
        <v>373</v>
      </c>
      <c r="E727" s="2" t="s">
        <v>356</v>
      </c>
      <c r="F727" s="2"/>
      <c r="G727" s="2" t="s">
        <v>115</v>
      </c>
      <c r="H727" s="2" t="str">
        <f aca="false">IF(LEFT(B727,10)="Arsenal v ",MID(B727,11,100),LEFT(B727,FIND(" v ",B727)-1))</f>
        <v>Leicester City</v>
      </c>
      <c r="I727" s="2" t="str">
        <f aca="false">IF(F727&lt;&gt;"","N",IF(LEFT(B727,10)="Arsenal v ","H","A"))</f>
        <v>A</v>
      </c>
      <c r="J727" s="2"/>
    </row>
    <row r="728" customFormat="false" ht="15" hidden="false" customHeight="false" outlineLevel="0" collapsed="false">
      <c r="A728" s="3" t="n">
        <v>37283</v>
      </c>
      <c r="B728" s="2" t="s">
        <v>710</v>
      </c>
      <c r="C728" s="2" t="s">
        <v>702</v>
      </c>
      <c r="D728" s="2" t="s">
        <v>348</v>
      </c>
      <c r="E728" s="2" t="s">
        <v>362</v>
      </c>
      <c r="F728" s="2"/>
      <c r="G728" s="2" t="s">
        <v>115</v>
      </c>
      <c r="H728" s="2" t="str">
        <f aca="false">IF(LEFT(B728,10)="Arsenal v ",MID(B728,11,100),LEFT(B728,FIND(" v ",B728)-1))</f>
        <v>Liverpool</v>
      </c>
      <c r="I728" s="2" t="str">
        <f aca="false">IF(F728&lt;&gt;"","N",IF(LEFT(B728,10)="Arsenal v ","H","A"))</f>
        <v>H</v>
      </c>
      <c r="J728" s="2"/>
    </row>
    <row r="729" customFormat="false" ht="15" hidden="false" customHeight="false" outlineLevel="0" collapsed="false">
      <c r="A729" s="3" t="n">
        <v>37286</v>
      </c>
      <c r="B729" s="2" t="s">
        <v>406</v>
      </c>
      <c r="C729" s="2" t="s">
        <v>702</v>
      </c>
      <c r="D729" s="2" t="s">
        <v>366</v>
      </c>
      <c r="E729" s="2" t="s">
        <v>356</v>
      </c>
      <c r="F729" s="2"/>
      <c r="G729" s="2" t="s">
        <v>115</v>
      </c>
      <c r="H729" s="2" t="str">
        <f aca="false">IF(LEFT(B729,10)="Arsenal v ",MID(B729,11,100),LEFT(B729,FIND(" v ",B729)-1))</f>
        <v>Blackburn Rovers</v>
      </c>
      <c r="I729" s="2" t="str">
        <f aca="false">IF(F729&lt;&gt;"","N",IF(LEFT(B729,10)="Arsenal v ","H","A"))</f>
        <v>A</v>
      </c>
      <c r="J729" s="2"/>
    </row>
    <row r="730" customFormat="false" ht="15" hidden="false" customHeight="false" outlineLevel="0" collapsed="false">
      <c r="A730" s="3" t="n">
        <v>37289</v>
      </c>
      <c r="B730" s="2" t="s">
        <v>705</v>
      </c>
      <c r="C730" s="2" t="s">
        <v>706</v>
      </c>
      <c r="D730" s="2" t="s">
        <v>361</v>
      </c>
      <c r="E730" s="2" t="s">
        <v>356</v>
      </c>
      <c r="F730" s="2"/>
      <c r="G730" s="2" t="s">
        <v>115</v>
      </c>
      <c r="H730" s="2" t="str">
        <f aca="false">IF(LEFT(B730,10)="Arsenal v ",MID(B730,11,100),LEFT(B730,FIND(" v ",B730)-1))</f>
        <v>Southampton</v>
      </c>
      <c r="I730" s="2" t="str">
        <f aca="false">IF(F730&lt;&gt;"","N",IF(LEFT(B730,10)="Arsenal v ","H","A"))</f>
        <v>H</v>
      </c>
      <c r="J730" s="2"/>
    </row>
    <row r="731" customFormat="false" ht="15" hidden="false" customHeight="false" outlineLevel="0" collapsed="false">
      <c r="A731" s="3" t="n">
        <v>37297</v>
      </c>
      <c r="B731" s="2" t="s">
        <v>448</v>
      </c>
      <c r="C731" s="2" t="s">
        <v>702</v>
      </c>
      <c r="D731" s="2" t="s">
        <v>383</v>
      </c>
      <c r="E731" s="2" t="s">
        <v>356</v>
      </c>
      <c r="F731" s="2"/>
      <c r="G731" s="2" t="s">
        <v>115</v>
      </c>
      <c r="H731" s="2" t="str">
        <f aca="false">IF(LEFT(B731,10)="Arsenal v ",MID(B731,11,100),LEFT(B731,FIND(" v ",B731)-1))</f>
        <v>Everton</v>
      </c>
      <c r="I731" s="2" t="str">
        <f aca="false">IF(F731&lt;&gt;"","N",IF(LEFT(B731,10)="Arsenal v ","H","A"))</f>
        <v>A</v>
      </c>
      <c r="J731" s="2"/>
    </row>
    <row r="732" customFormat="false" ht="15" hidden="false" customHeight="false" outlineLevel="0" collapsed="false">
      <c r="A732" s="3" t="n">
        <v>37303</v>
      </c>
      <c r="B732" s="2" t="s">
        <v>783</v>
      </c>
      <c r="C732" s="2" t="s">
        <v>702</v>
      </c>
      <c r="D732" s="2" t="s">
        <v>732</v>
      </c>
      <c r="E732" s="2" t="s">
        <v>362</v>
      </c>
      <c r="F732" s="2"/>
      <c r="G732" s="2" t="s">
        <v>115</v>
      </c>
      <c r="H732" s="2" t="str">
        <f aca="false">IF(LEFT(B732,10)="Arsenal v ",MID(B732,11,100),LEFT(B732,FIND(" v ",B732)-1))</f>
        <v>Gillingham</v>
      </c>
      <c r="I732" s="2" t="str">
        <f aca="false">IF(F732&lt;&gt;"","N",IF(LEFT(B732,10)="Arsenal v ","H","A"))</f>
        <v>H</v>
      </c>
      <c r="J732" s="2"/>
    </row>
    <row r="733" customFormat="false" ht="15" hidden="false" customHeight="false" outlineLevel="0" collapsed="false">
      <c r="A733" s="3" t="n">
        <v>37306</v>
      </c>
      <c r="B733" s="2" t="s">
        <v>399</v>
      </c>
      <c r="C733" s="2" t="s">
        <v>706</v>
      </c>
      <c r="D733" s="2" t="s">
        <v>361</v>
      </c>
      <c r="E733" s="2" t="s">
        <v>352</v>
      </c>
      <c r="F733" s="2"/>
      <c r="G733" s="2" t="s">
        <v>115</v>
      </c>
      <c r="H733" s="2" t="str">
        <f aca="false">IF(LEFT(B733,10)="Arsenal v ",MID(B733,11,100),LEFT(B733,FIND(" v ",B733)-1))</f>
        <v>Bayer Leverkusen</v>
      </c>
      <c r="I733" s="2" t="str">
        <f aca="false">IF(F733&lt;&gt;"","N",IF(LEFT(B733,10)="Arsenal v ","H","A"))</f>
        <v>A</v>
      </c>
      <c r="J733" s="2"/>
    </row>
    <row r="734" customFormat="false" ht="15" hidden="false" customHeight="false" outlineLevel="0" collapsed="false">
      <c r="A734" s="3" t="n">
        <v>37310</v>
      </c>
      <c r="B734" s="2" t="s">
        <v>784</v>
      </c>
      <c r="C734" s="2" t="s">
        <v>702</v>
      </c>
      <c r="D734" s="2" t="s">
        <v>397</v>
      </c>
      <c r="E734" s="2" t="s">
        <v>356</v>
      </c>
      <c r="F734" s="2"/>
      <c r="G734" s="2" t="s">
        <v>115</v>
      </c>
      <c r="H734" s="2" t="str">
        <f aca="false">IF(LEFT(B734,10)="Arsenal v ",MID(B734,11,100),LEFT(B734,FIND(" v ",B734)-1))</f>
        <v>Fulham</v>
      </c>
      <c r="I734" s="2" t="str">
        <f aca="false">IF(F734&lt;&gt;"","N",IF(LEFT(B734,10)="Arsenal v ","H","A"))</f>
        <v>H</v>
      </c>
      <c r="J734" s="2"/>
    </row>
    <row r="735" customFormat="false" ht="15" hidden="false" customHeight="false" outlineLevel="0" collapsed="false">
      <c r="A735" s="3" t="n">
        <v>37314</v>
      </c>
      <c r="B735" s="2" t="s">
        <v>785</v>
      </c>
      <c r="C735" s="2" t="s">
        <v>702</v>
      </c>
      <c r="D735" s="2" t="s">
        <v>397</v>
      </c>
      <c r="E735" s="2" t="s">
        <v>352</v>
      </c>
      <c r="F735" s="2"/>
      <c r="G735" s="2" t="s">
        <v>115</v>
      </c>
      <c r="H735" s="2" t="str">
        <f aca="false">IF(LEFT(B735,10)="Arsenal v ",MID(B735,11,100),LEFT(B735,FIND(" v ",B735)-1))</f>
        <v>Bayer Leverkusen</v>
      </c>
      <c r="I735" s="2" t="str">
        <f aca="false">IF(F735&lt;&gt;"","N",IF(LEFT(B735,10)="Arsenal v ","H","A"))</f>
        <v>H</v>
      </c>
      <c r="J735" s="2"/>
    </row>
    <row r="736" customFormat="false" ht="15" hidden="false" customHeight="false" outlineLevel="0" collapsed="false">
      <c r="A736" s="3" t="n">
        <v>37317</v>
      </c>
      <c r="B736" s="2" t="s">
        <v>501</v>
      </c>
      <c r="C736" s="2" t="s">
        <v>702</v>
      </c>
      <c r="D736" s="2" t="s">
        <v>353</v>
      </c>
      <c r="E736" s="2" t="s">
        <v>356</v>
      </c>
      <c r="F736" s="2"/>
      <c r="G736" s="2" t="s">
        <v>115</v>
      </c>
      <c r="H736" s="2" t="str">
        <f aca="false">IF(LEFT(B736,10)="Arsenal v ",MID(B736,11,100),LEFT(B736,FIND(" v ",B736)-1))</f>
        <v>Newcastle United</v>
      </c>
      <c r="I736" s="2" t="str">
        <f aca="false">IF(F736&lt;&gt;"","N",IF(LEFT(B736,10)="Arsenal v ","H","A"))</f>
        <v>A</v>
      </c>
      <c r="J736" s="2"/>
    </row>
    <row r="737" customFormat="false" ht="15" hidden="false" customHeight="false" outlineLevel="0" collapsed="false">
      <c r="A737" s="3" t="n">
        <v>37320</v>
      </c>
      <c r="B737" s="2" t="s">
        <v>721</v>
      </c>
      <c r="C737" s="2" t="s">
        <v>702</v>
      </c>
      <c r="D737" s="2" t="s">
        <v>348</v>
      </c>
      <c r="E737" s="2" t="s">
        <v>356</v>
      </c>
      <c r="F737" s="2"/>
      <c r="G737" s="2" t="s">
        <v>115</v>
      </c>
      <c r="H737" s="2" t="str">
        <f aca="false">IF(LEFT(B737,10)="Arsenal v ",MID(B737,11,100),LEFT(B737,FIND(" v ",B737)-1))</f>
        <v>Derby County</v>
      </c>
      <c r="I737" s="2" t="str">
        <f aca="false">IF(F737&lt;&gt;"","N",IF(LEFT(B737,10)="Arsenal v ","H","A"))</f>
        <v>H</v>
      </c>
      <c r="J737" s="2"/>
    </row>
    <row r="738" customFormat="false" ht="15" hidden="false" customHeight="false" outlineLevel="0" collapsed="false">
      <c r="A738" s="3" t="n">
        <v>37324</v>
      </c>
      <c r="B738" s="2" t="s">
        <v>501</v>
      </c>
      <c r="C738" s="2" t="s">
        <v>706</v>
      </c>
      <c r="D738" s="2" t="s">
        <v>361</v>
      </c>
      <c r="E738" s="2" t="s">
        <v>362</v>
      </c>
      <c r="F738" s="2"/>
      <c r="G738" s="2" t="s">
        <v>115</v>
      </c>
      <c r="H738" s="2" t="str">
        <f aca="false">IF(LEFT(B738,10)="Arsenal v ",MID(B738,11,100),LEFT(B738,FIND(" v ",B738)-1))</f>
        <v>Newcastle United</v>
      </c>
      <c r="I738" s="2" t="str">
        <f aca="false">IF(F738&lt;&gt;"","N",IF(LEFT(B738,10)="Arsenal v ","H","A"))</f>
        <v>A</v>
      </c>
      <c r="J738" s="2"/>
    </row>
    <row r="739" customFormat="false" ht="15" hidden="false" customHeight="false" outlineLevel="0" collapsed="false">
      <c r="A739" s="3" t="n">
        <v>37327</v>
      </c>
      <c r="B739" s="2" t="s">
        <v>786</v>
      </c>
      <c r="C739" s="2" t="s">
        <v>704</v>
      </c>
      <c r="D739" s="2" t="s">
        <v>353</v>
      </c>
      <c r="E739" s="2" t="s">
        <v>352</v>
      </c>
      <c r="F739" s="2"/>
      <c r="G739" s="2" t="s">
        <v>115</v>
      </c>
      <c r="H739" s="2" t="str">
        <f aca="false">IF(LEFT(B739,10)="Arsenal v ",MID(B739,11,100),LEFT(B739,FIND(" v ",B739)-1))</f>
        <v>Deportivo La Coruña</v>
      </c>
      <c r="I739" s="2" t="str">
        <f aca="false">IF(F739&lt;&gt;"","N",IF(LEFT(B739,10)="Arsenal v ","H","A"))</f>
        <v>H</v>
      </c>
      <c r="J739" s="2"/>
    </row>
    <row r="740" customFormat="false" ht="15" hidden="false" customHeight="false" outlineLevel="0" collapsed="false">
      <c r="A740" s="3" t="n">
        <v>37332</v>
      </c>
      <c r="B740" s="2" t="s">
        <v>376</v>
      </c>
      <c r="C740" s="2" t="s">
        <v>702</v>
      </c>
      <c r="D740" s="2" t="s">
        <v>360</v>
      </c>
      <c r="E740" s="2" t="s">
        <v>356</v>
      </c>
      <c r="F740" s="2"/>
      <c r="G740" s="2" t="s">
        <v>115</v>
      </c>
      <c r="H740" s="2" t="str">
        <f aca="false">IF(LEFT(B740,10)="Arsenal v ",MID(B740,11,100),LEFT(B740,FIND(" v ",B740)-1))</f>
        <v>Aston Villa</v>
      </c>
      <c r="I740" s="2" t="str">
        <f aca="false">IF(F740&lt;&gt;"","N",IF(LEFT(B740,10)="Arsenal v ","H","A"))</f>
        <v>A</v>
      </c>
      <c r="J740" s="2"/>
    </row>
    <row r="741" customFormat="false" ht="15" hidden="false" customHeight="false" outlineLevel="0" collapsed="false">
      <c r="A741" s="3" t="n">
        <v>37335</v>
      </c>
      <c r="B741" s="2" t="s">
        <v>471</v>
      </c>
      <c r="C741" s="2" t="s">
        <v>704</v>
      </c>
      <c r="D741" s="2" t="s">
        <v>348</v>
      </c>
      <c r="E741" s="2" t="s">
        <v>352</v>
      </c>
      <c r="F741" s="2"/>
      <c r="G741" s="2" t="s">
        <v>115</v>
      </c>
      <c r="H741" s="2" t="str">
        <f aca="false">IF(LEFT(B741,10)="Arsenal v ",MID(B741,11,100),LEFT(B741,FIND(" v ",B741)-1))</f>
        <v>Juventus</v>
      </c>
      <c r="I741" s="2" t="str">
        <f aca="false">IF(F741&lt;&gt;"","N",IF(LEFT(B741,10)="Arsenal v ","H","A"))</f>
        <v>A</v>
      </c>
      <c r="J741" s="2"/>
    </row>
    <row r="742" customFormat="false" ht="15" hidden="false" customHeight="false" outlineLevel="0" collapsed="false">
      <c r="A742" s="3" t="n">
        <v>37338</v>
      </c>
      <c r="B742" s="2" t="s">
        <v>719</v>
      </c>
      <c r="C742" s="2" t="s">
        <v>702</v>
      </c>
      <c r="D742" s="2" t="s">
        <v>434</v>
      </c>
      <c r="E742" s="2" t="s">
        <v>362</v>
      </c>
      <c r="F742" s="2"/>
      <c r="G742" s="2" t="s">
        <v>115</v>
      </c>
      <c r="H742" s="2" t="str">
        <f aca="false">IF(LEFT(B742,10)="Arsenal v ",MID(B742,11,100),LEFT(B742,FIND(" v ",B742)-1))</f>
        <v>Newcastle United</v>
      </c>
      <c r="I742" s="2" t="str">
        <f aca="false">IF(F742&lt;&gt;"","N",IF(LEFT(B742,10)="Arsenal v ","H","A"))</f>
        <v>H</v>
      </c>
      <c r="J742" s="2"/>
    </row>
    <row r="743" customFormat="false" ht="15" hidden="false" customHeight="false" outlineLevel="0" collapsed="false">
      <c r="A743" s="3" t="n">
        <v>37345</v>
      </c>
      <c r="B743" s="2" t="s">
        <v>727</v>
      </c>
      <c r="C743" s="2" t="s">
        <v>702</v>
      </c>
      <c r="D743" s="2" t="s">
        <v>434</v>
      </c>
      <c r="E743" s="2" t="s">
        <v>356</v>
      </c>
      <c r="F743" s="2"/>
      <c r="G743" s="2" t="s">
        <v>115</v>
      </c>
      <c r="H743" s="2" t="str">
        <f aca="false">IF(LEFT(B743,10)="Arsenal v ",MID(B743,11,100),LEFT(B743,FIND(" v ",B743)-1))</f>
        <v>Sunderland</v>
      </c>
      <c r="I743" s="2" t="str">
        <f aca="false">IF(F743&lt;&gt;"","N",IF(LEFT(B743,10)="Arsenal v ","H","A"))</f>
        <v>H</v>
      </c>
      <c r="J743" s="2"/>
    </row>
    <row r="744" customFormat="false" ht="15" hidden="false" customHeight="false" outlineLevel="0" collapsed="false">
      <c r="A744" s="3" t="n">
        <v>37347</v>
      </c>
      <c r="B744" s="2" t="s">
        <v>425</v>
      </c>
      <c r="C744" s="2" t="s">
        <v>702</v>
      </c>
      <c r="D744" s="2" t="s">
        <v>363</v>
      </c>
      <c r="E744" s="2" t="s">
        <v>356</v>
      </c>
      <c r="F744" s="2"/>
      <c r="G744" s="2" t="s">
        <v>115</v>
      </c>
      <c r="H744" s="2" t="str">
        <f aca="false">IF(LEFT(B744,10)="Arsenal v ",MID(B744,11,100),LEFT(B744,FIND(" v ",B744)-1))</f>
        <v>Charlton Athletic</v>
      </c>
      <c r="I744" s="2" t="str">
        <f aca="false">IF(F744&lt;&gt;"","N",IF(LEFT(B744,10)="Arsenal v ","H","A"))</f>
        <v>A</v>
      </c>
      <c r="J744" s="2"/>
    </row>
    <row r="745" customFormat="false" ht="15" hidden="false" customHeight="false" outlineLevel="0" collapsed="false">
      <c r="A745" s="3" t="n">
        <v>37352</v>
      </c>
      <c r="B745" s="2" t="s">
        <v>655</v>
      </c>
      <c r="C745" s="2" t="s">
        <v>702</v>
      </c>
      <c r="D745" s="2" t="s">
        <v>359</v>
      </c>
      <c r="E745" s="2" t="s">
        <v>356</v>
      </c>
      <c r="F745" s="2"/>
      <c r="G745" s="2" t="s">
        <v>115</v>
      </c>
      <c r="H745" s="2" t="str">
        <f aca="false">IF(LEFT(B745,10)="Arsenal v ",MID(B745,11,100),LEFT(B745,FIND(" v ",B745)-1))</f>
        <v>Tottenham Hotspur</v>
      </c>
      <c r="I745" s="2" t="str">
        <f aca="false">IF(F745&lt;&gt;"","N",IF(LEFT(B745,10)="Arsenal v ","H","A"))</f>
        <v>H</v>
      </c>
      <c r="J745" s="2"/>
    </row>
    <row r="746" customFormat="false" ht="15" hidden="false" customHeight="false" outlineLevel="0" collapsed="false">
      <c r="A746" s="3" t="n">
        <v>37360</v>
      </c>
      <c r="B746" s="2" t="s">
        <v>494</v>
      </c>
      <c r="C746" s="2" t="s">
        <v>702</v>
      </c>
      <c r="D746" s="2" t="s">
        <v>383</v>
      </c>
      <c r="E746" s="2" t="s">
        <v>362</v>
      </c>
      <c r="F746" s="2" t="s">
        <v>612</v>
      </c>
      <c r="G746" s="2" t="s">
        <v>115</v>
      </c>
      <c r="H746" s="2" t="str">
        <f aca="false">IF(LEFT(B746,10)="Arsenal v ",MID(B746,11,100),LEFT(B746,FIND(" v ",B746)-1))</f>
        <v>Middlesbrough</v>
      </c>
      <c r="I746" s="2" t="str">
        <f aca="false">IF(F746&lt;&gt;"","N",IF(LEFT(B746,10)="Arsenal v ","H","A"))</f>
        <v>N</v>
      </c>
      <c r="J746" s="2"/>
    </row>
    <row r="747" customFormat="false" ht="15" hidden="false" customHeight="false" outlineLevel="0" collapsed="false">
      <c r="A747" s="3" t="n">
        <v>37367</v>
      </c>
      <c r="B747" s="2" t="s">
        <v>738</v>
      </c>
      <c r="C747" s="2" t="s">
        <v>702</v>
      </c>
      <c r="D747" s="2" t="s">
        <v>351</v>
      </c>
      <c r="E747" s="2" t="s">
        <v>356</v>
      </c>
      <c r="F747" s="2"/>
      <c r="G747" s="2" t="s">
        <v>115</v>
      </c>
      <c r="H747" s="2" t="str">
        <f aca="false">IF(LEFT(B747,10)="Arsenal v ",MID(B747,11,100),LEFT(B747,FIND(" v ",B747)-1))</f>
        <v>Ipswich Town</v>
      </c>
      <c r="I747" s="2" t="str">
        <f aca="false">IF(F747&lt;&gt;"","N",IF(LEFT(B747,10)="Arsenal v ","H","A"))</f>
        <v>H</v>
      </c>
      <c r="J747" s="2"/>
    </row>
    <row r="748" customFormat="false" ht="15" hidden="false" customHeight="false" outlineLevel="0" collapsed="false">
      <c r="A748" s="3" t="n">
        <v>37370</v>
      </c>
      <c r="B748" s="2" t="s">
        <v>712</v>
      </c>
      <c r="C748" s="2" t="s">
        <v>702</v>
      </c>
      <c r="D748" s="2" t="s">
        <v>351</v>
      </c>
      <c r="E748" s="2" t="s">
        <v>356</v>
      </c>
      <c r="F748" s="2"/>
      <c r="G748" s="2" t="s">
        <v>115</v>
      </c>
      <c r="H748" s="2" t="str">
        <f aca="false">IF(LEFT(B748,10)="Arsenal v ",MID(B748,11,100),LEFT(B748,FIND(" v ",B748)-1))</f>
        <v>West Ham United</v>
      </c>
      <c r="I748" s="2" t="str">
        <f aca="false">IF(F748&lt;&gt;"","N",IF(LEFT(B748,10)="Arsenal v ","H","A"))</f>
        <v>H</v>
      </c>
      <c r="J748" s="2"/>
    </row>
    <row r="749" customFormat="false" ht="15" hidden="false" customHeight="false" outlineLevel="0" collapsed="false">
      <c r="A749" s="3" t="n">
        <v>37375</v>
      </c>
      <c r="B749" s="2" t="s">
        <v>410</v>
      </c>
      <c r="C749" s="2" t="s">
        <v>702</v>
      </c>
      <c r="D749" s="2" t="s">
        <v>353</v>
      </c>
      <c r="E749" s="2" t="s">
        <v>356</v>
      </c>
      <c r="F749" s="2"/>
      <c r="G749" s="2" t="s">
        <v>115</v>
      </c>
      <c r="H749" s="2" t="str">
        <f aca="false">IF(LEFT(B749,10)="Arsenal v ",MID(B749,11,100),LEFT(B749,FIND(" v ",B749)-1))</f>
        <v>Bolton Wanderers</v>
      </c>
      <c r="I749" s="2" t="str">
        <f aca="false">IF(F749&lt;&gt;"","N",IF(LEFT(B749,10)="Arsenal v ","H","A"))</f>
        <v>A</v>
      </c>
      <c r="J749" s="2"/>
    </row>
    <row r="750" customFormat="false" ht="15" hidden="false" customHeight="false" outlineLevel="0" collapsed="false">
      <c r="A750" s="3" t="n">
        <v>37380</v>
      </c>
      <c r="B750" s="2" t="s">
        <v>725</v>
      </c>
      <c r="C750" s="2" t="s">
        <v>702</v>
      </c>
      <c r="D750" s="2" t="s">
        <v>351</v>
      </c>
      <c r="E750" s="2" t="s">
        <v>362</v>
      </c>
      <c r="F750" s="2" t="s">
        <v>689</v>
      </c>
      <c r="G750" s="2" t="s">
        <v>115</v>
      </c>
      <c r="H750" s="2" t="str">
        <f aca="false">IF(LEFT(B750,10)="Arsenal v ",MID(B750,11,100),LEFT(B750,FIND(" v ",B750)-1))</f>
        <v>Chelsea</v>
      </c>
      <c r="I750" s="2" t="str">
        <f aca="false">IF(F750&lt;&gt;"","N",IF(LEFT(B750,10)="Arsenal v ","H","A"))</f>
        <v>N</v>
      </c>
      <c r="J750" s="2"/>
    </row>
    <row r="751" customFormat="false" ht="15" hidden="false" customHeight="false" outlineLevel="0" collapsed="false">
      <c r="A751" s="3" t="n">
        <v>37384</v>
      </c>
      <c r="B751" s="2" t="s">
        <v>490</v>
      </c>
      <c r="C751" s="2" t="s">
        <v>702</v>
      </c>
      <c r="D751" s="2" t="s">
        <v>383</v>
      </c>
      <c r="E751" s="2" t="s">
        <v>356</v>
      </c>
      <c r="F751" s="2"/>
      <c r="G751" s="2" t="s">
        <v>115</v>
      </c>
      <c r="H751" s="2" t="str">
        <f aca="false">IF(LEFT(B751,10)="Arsenal v ",MID(B751,11,100),LEFT(B751,FIND(" v ",B751)-1))</f>
        <v>Manchester United</v>
      </c>
      <c r="I751" s="2" t="str">
        <f aca="false">IF(F751&lt;&gt;"","N",IF(LEFT(B751,10)="Arsenal v ","H","A"))</f>
        <v>A</v>
      </c>
      <c r="J751" s="2"/>
    </row>
    <row r="752" customFormat="false" ht="15" hidden="false" customHeight="false" outlineLevel="0" collapsed="false">
      <c r="A752" s="3" t="n">
        <v>37387</v>
      </c>
      <c r="B752" s="2" t="s">
        <v>718</v>
      </c>
      <c r="C752" s="2" t="s">
        <v>702</v>
      </c>
      <c r="D752" s="2" t="s">
        <v>408</v>
      </c>
      <c r="E752" s="2" t="s">
        <v>356</v>
      </c>
      <c r="F752" s="2"/>
      <c r="G752" s="2" t="s">
        <v>115</v>
      </c>
      <c r="H752" s="2" t="str">
        <f aca="false">IF(LEFT(B752,10)="Arsenal v ",MID(B752,11,100),LEFT(B752,FIND(" v ",B752)-1))</f>
        <v>Everton</v>
      </c>
      <c r="I752" s="2" t="str">
        <f aca="false">IF(F752&lt;&gt;"","N",IF(LEFT(B752,10)="Arsenal v ","H","A"))</f>
        <v>H</v>
      </c>
      <c r="J752" s="2"/>
    </row>
    <row r="753" customFormat="false" ht="15" hidden="false" customHeight="false" outlineLevel="0" collapsed="false">
      <c r="A753" s="3" t="n">
        <v>37479</v>
      </c>
      <c r="B753" s="2" t="s">
        <v>710</v>
      </c>
      <c r="C753" s="2" t="s">
        <v>702</v>
      </c>
      <c r="D753" s="2" t="s">
        <v>348</v>
      </c>
      <c r="E753" s="2" t="s">
        <v>787</v>
      </c>
      <c r="F753" s="2" t="s">
        <v>689</v>
      </c>
      <c r="G753" s="2" t="s">
        <v>135</v>
      </c>
      <c r="H753" s="2" t="str">
        <f aca="false">IF(LEFT(B753,10)="Arsenal v ",MID(B753,11,100),LEFT(B753,FIND(" v ",B753)-1))</f>
        <v>Liverpool</v>
      </c>
      <c r="I753" s="2" t="str">
        <f aca="false">IF(F753&lt;&gt;"","N",IF(LEFT(B753,10)="Arsenal v ","H","A"))</f>
        <v>N</v>
      </c>
      <c r="J753" s="2"/>
    </row>
    <row r="754" customFormat="false" ht="15" hidden="false" customHeight="false" outlineLevel="0" collapsed="false">
      <c r="A754" s="3" t="n">
        <v>37486</v>
      </c>
      <c r="B754" s="2" t="s">
        <v>760</v>
      </c>
      <c r="C754" s="2" t="s">
        <v>702</v>
      </c>
      <c r="D754" s="2" t="s">
        <v>351</v>
      </c>
      <c r="E754" s="2" t="s">
        <v>356</v>
      </c>
      <c r="F754" s="2"/>
      <c r="G754" s="2" t="s">
        <v>135</v>
      </c>
      <c r="H754" s="2" t="str">
        <f aca="false">IF(LEFT(B754,10)="Arsenal v ",MID(B754,11,100),LEFT(B754,FIND(" v ",B754)-1))</f>
        <v>Birmingham City</v>
      </c>
      <c r="I754" s="2" t="str">
        <f aca="false">IF(F754&lt;&gt;"","N",IF(LEFT(B754,10)="Arsenal v ","H","A"))</f>
        <v>H</v>
      </c>
      <c r="J754" s="2"/>
    </row>
    <row r="755" customFormat="false" ht="15" hidden="false" customHeight="false" outlineLevel="0" collapsed="false">
      <c r="A755" s="3" t="n">
        <v>37492</v>
      </c>
      <c r="B755" s="2" t="s">
        <v>572</v>
      </c>
      <c r="C755" s="2" t="s">
        <v>706</v>
      </c>
      <c r="D755" s="2" t="s">
        <v>380</v>
      </c>
      <c r="E755" s="2" t="s">
        <v>356</v>
      </c>
      <c r="F755" s="2"/>
      <c r="G755" s="2" t="s">
        <v>135</v>
      </c>
      <c r="H755" s="2" t="str">
        <f aca="false">IF(LEFT(B755,10)="Arsenal v ",MID(B755,11,100),LEFT(B755,FIND(" v ",B755)-1))</f>
        <v>West Ham United</v>
      </c>
      <c r="I755" s="2" t="str">
        <f aca="false">IF(F755&lt;&gt;"","N",IF(LEFT(B755,10)="Arsenal v ","H","A"))</f>
        <v>A</v>
      </c>
      <c r="J755" s="2"/>
    </row>
    <row r="756" customFormat="false" ht="15" hidden="false" customHeight="false" outlineLevel="0" collapsed="false">
      <c r="A756" s="3" t="n">
        <v>37495</v>
      </c>
      <c r="B756" s="2" t="s">
        <v>788</v>
      </c>
      <c r="C756" s="2" t="s">
        <v>702</v>
      </c>
      <c r="D756" s="2" t="s">
        <v>732</v>
      </c>
      <c r="E756" s="2" t="s">
        <v>356</v>
      </c>
      <c r="F756" s="2"/>
      <c r="G756" s="2" t="s">
        <v>135</v>
      </c>
      <c r="H756" s="2" t="str">
        <f aca="false">IF(LEFT(B756,10)="Arsenal v ",MID(B756,11,100),LEFT(B756,FIND(" v ",B756)-1))</f>
        <v>West Bromwich Albion</v>
      </c>
      <c r="I756" s="2" t="str">
        <f aca="false">IF(F756&lt;&gt;"","N",IF(LEFT(B756,10)="Arsenal v ","H","A"))</f>
        <v>H</v>
      </c>
      <c r="J756" s="2"/>
    </row>
    <row r="757" customFormat="false" ht="15" hidden="false" customHeight="false" outlineLevel="0" collapsed="false">
      <c r="A757" s="3" t="n">
        <v>37500</v>
      </c>
      <c r="B757" s="2" t="s">
        <v>426</v>
      </c>
      <c r="C757" s="2" t="s">
        <v>706</v>
      </c>
      <c r="D757" s="2" t="s">
        <v>361</v>
      </c>
      <c r="E757" s="2" t="s">
        <v>356</v>
      </c>
      <c r="F757" s="2"/>
      <c r="G757" s="2" t="s">
        <v>135</v>
      </c>
      <c r="H757" s="2" t="str">
        <f aca="false">IF(LEFT(B757,10)="Arsenal v ",MID(B757,11,100),LEFT(B757,FIND(" v ",B757)-1))</f>
        <v>Chelsea</v>
      </c>
      <c r="I757" s="2" t="str">
        <f aca="false">IF(F757&lt;&gt;"","N",IF(LEFT(B757,10)="Arsenal v ","H","A"))</f>
        <v>A</v>
      </c>
      <c r="J757" s="2"/>
    </row>
    <row r="758" customFormat="false" ht="15" hidden="false" customHeight="false" outlineLevel="0" collapsed="false">
      <c r="A758" s="3" t="n">
        <v>37509</v>
      </c>
      <c r="B758" s="2" t="s">
        <v>657</v>
      </c>
      <c r="C758" s="2" t="s">
        <v>702</v>
      </c>
      <c r="D758" s="2" t="s">
        <v>359</v>
      </c>
      <c r="E758" s="2" t="s">
        <v>356</v>
      </c>
      <c r="F758" s="2"/>
      <c r="G758" s="2" t="s">
        <v>135</v>
      </c>
      <c r="H758" s="2" t="str">
        <f aca="false">IF(LEFT(B758,10)="Arsenal v ",MID(B758,11,100),LEFT(B758,FIND(" v ",B758)-1))</f>
        <v>Manchester City</v>
      </c>
      <c r="I758" s="2" t="str">
        <f aca="false">IF(F758&lt;&gt;"","N",IF(LEFT(B758,10)="Arsenal v ","H","A"))</f>
        <v>H</v>
      </c>
      <c r="J758" s="2"/>
    </row>
    <row r="759" customFormat="false" ht="15" hidden="false" customHeight="false" outlineLevel="0" collapsed="false">
      <c r="A759" s="3" t="n">
        <v>37513</v>
      </c>
      <c r="B759" s="2" t="s">
        <v>425</v>
      </c>
      <c r="C759" s="2" t="s">
        <v>702</v>
      </c>
      <c r="D759" s="2" t="s">
        <v>363</v>
      </c>
      <c r="E759" s="2" t="s">
        <v>356</v>
      </c>
      <c r="F759" s="2"/>
      <c r="G759" s="2" t="s">
        <v>135</v>
      </c>
      <c r="H759" s="2" t="str">
        <f aca="false">IF(LEFT(B759,10)="Arsenal v ",MID(B759,11,100),LEFT(B759,FIND(" v ",B759)-1))</f>
        <v>Charlton Athletic</v>
      </c>
      <c r="I759" s="2" t="str">
        <f aca="false">IF(F759&lt;&gt;"","N",IF(LEFT(B759,10)="Arsenal v ","H","A"))</f>
        <v>A</v>
      </c>
      <c r="J759" s="2"/>
    </row>
    <row r="760" customFormat="false" ht="15" hidden="false" customHeight="false" outlineLevel="0" collapsed="false">
      <c r="A760" s="3" t="n">
        <v>37516</v>
      </c>
      <c r="B760" s="2" t="s">
        <v>789</v>
      </c>
      <c r="C760" s="2" t="s">
        <v>702</v>
      </c>
      <c r="D760" s="2" t="s">
        <v>351</v>
      </c>
      <c r="E760" s="2" t="s">
        <v>352</v>
      </c>
      <c r="F760" s="2"/>
      <c r="G760" s="2" t="s">
        <v>135</v>
      </c>
      <c r="H760" s="2" t="str">
        <f aca="false">IF(LEFT(B760,10)="Arsenal v ",MID(B760,11,100),LEFT(B760,FIND(" v ",B760)-1))</f>
        <v>Borussia Dortmund</v>
      </c>
      <c r="I760" s="2" t="str">
        <f aca="false">IF(F760&lt;&gt;"","N",IF(LEFT(B760,10)="Arsenal v ","H","A"))</f>
        <v>H</v>
      </c>
      <c r="J760" s="2"/>
    </row>
    <row r="761" customFormat="false" ht="15" hidden="false" customHeight="false" outlineLevel="0" collapsed="false">
      <c r="A761" s="3" t="n">
        <v>37520</v>
      </c>
      <c r="B761" s="2" t="s">
        <v>743</v>
      </c>
      <c r="C761" s="2" t="s">
        <v>702</v>
      </c>
      <c r="D761" s="2" t="s">
        <v>359</v>
      </c>
      <c r="E761" s="2" t="s">
        <v>356</v>
      </c>
      <c r="F761" s="2"/>
      <c r="G761" s="2" t="s">
        <v>135</v>
      </c>
      <c r="H761" s="2" t="str">
        <f aca="false">IF(LEFT(B761,10)="Arsenal v ",MID(B761,11,100),LEFT(B761,FIND(" v ",B761)-1))</f>
        <v>Bolton Wanderers</v>
      </c>
      <c r="I761" s="2" t="str">
        <f aca="false">IF(F761&lt;&gt;"","N",IF(LEFT(B761,10)="Arsenal v ","H","A"))</f>
        <v>H</v>
      </c>
      <c r="J761" s="2"/>
    </row>
    <row r="762" customFormat="false" ht="15" hidden="false" customHeight="false" outlineLevel="0" collapsed="false">
      <c r="A762" s="3" t="n">
        <v>37524</v>
      </c>
      <c r="B762" s="2" t="s">
        <v>522</v>
      </c>
      <c r="C762" s="2" t="s">
        <v>702</v>
      </c>
      <c r="D762" s="2" t="s">
        <v>365</v>
      </c>
      <c r="E762" s="2" t="s">
        <v>352</v>
      </c>
      <c r="F762" s="2"/>
      <c r="G762" s="2" t="s">
        <v>135</v>
      </c>
      <c r="H762" s="2" t="str">
        <f aca="false">IF(LEFT(B762,10)="Arsenal v ",MID(B762,11,100),LEFT(B762,FIND(" v ",B762)-1))</f>
        <v>PSV Eindhoven</v>
      </c>
      <c r="I762" s="2" t="str">
        <f aca="false">IF(F762&lt;&gt;"","N",IF(LEFT(B762,10)="Arsenal v ","H","A"))</f>
        <v>A</v>
      </c>
      <c r="J762" s="2"/>
    </row>
    <row r="763" customFormat="false" ht="15" hidden="false" customHeight="false" outlineLevel="0" collapsed="false">
      <c r="A763" s="3" t="n">
        <v>37527</v>
      </c>
      <c r="B763" s="2" t="s">
        <v>473</v>
      </c>
      <c r="C763" s="2" t="s">
        <v>702</v>
      </c>
      <c r="D763" s="2" t="s">
        <v>407</v>
      </c>
      <c r="E763" s="2" t="s">
        <v>356</v>
      </c>
      <c r="F763" s="2"/>
      <c r="G763" s="2" t="s">
        <v>135</v>
      </c>
      <c r="H763" s="2" t="str">
        <f aca="false">IF(LEFT(B763,10)="Arsenal v ",MID(B763,11,100),LEFT(B763,FIND(" v ",B763)-1))</f>
        <v>Leeds United</v>
      </c>
      <c r="I763" s="2" t="str">
        <f aca="false">IF(F763&lt;&gt;"","N",IF(LEFT(B763,10)="Arsenal v ","H","A"))</f>
        <v>A</v>
      </c>
      <c r="J763" s="2"/>
    </row>
    <row r="764" customFormat="false" ht="15" hidden="false" customHeight="false" outlineLevel="0" collapsed="false">
      <c r="A764" s="3" t="n">
        <v>37531</v>
      </c>
      <c r="B764" s="2" t="s">
        <v>394</v>
      </c>
      <c r="C764" s="2" t="s">
        <v>702</v>
      </c>
      <c r="D764" s="2" t="s">
        <v>383</v>
      </c>
      <c r="E764" s="2" t="s">
        <v>352</v>
      </c>
      <c r="F764" s="2"/>
      <c r="G764" s="2" t="s">
        <v>135</v>
      </c>
      <c r="H764" s="2" t="str">
        <f aca="false">IF(LEFT(B764,10)="Arsenal v ",MID(B764,11,100),LEFT(B764,FIND(" v ",B764)-1))</f>
        <v>Auxerre</v>
      </c>
      <c r="I764" s="2" t="str">
        <f aca="false">IF(F764&lt;&gt;"","N",IF(LEFT(B764,10)="Arsenal v ","H","A"))</f>
        <v>A</v>
      </c>
      <c r="J764" s="2"/>
    </row>
    <row r="765" customFormat="false" ht="15" hidden="false" customHeight="false" outlineLevel="0" collapsed="false">
      <c r="A765" s="3" t="n">
        <v>37535</v>
      </c>
      <c r="B765" s="2" t="s">
        <v>727</v>
      </c>
      <c r="C765" s="2" t="s">
        <v>702</v>
      </c>
      <c r="D765" s="2" t="s">
        <v>377</v>
      </c>
      <c r="E765" s="2" t="s">
        <v>356</v>
      </c>
      <c r="F765" s="2"/>
      <c r="G765" s="2" t="s">
        <v>135</v>
      </c>
      <c r="H765" s="2" t="str">
        <f aca="false">IF(LEFT(B765,10)="Arsenal v ",MID(B765,11,100),LEFT(B765,FIND(" v ",B765)-1))</f>
        <v>Sunderland</v>
      </c>
      <c r="I765" s="2" t="str">
        <f aca="false">IF(F765&lt;&gt;"","N",IF(LEFT(B765,10)="Arsenal v ","H","A"))</f>
        <v>H</v>
      </c>
      <c r="J765" s="2"/>
    </row>
    <row r="766" customFormat="false" ht="15" hidden="false" customHeight="false" outlineLevel="0" collapsed="false">
      <c r="A766" s="3" t="n">
        <v>37548</v>
      </c>
      <c r="B766" s="2" t="s">
        <v>448</v>
      </c>
      <c r="C766" s="2" t="s">
        <v>704</v>
      </c>
      <c r="D766" s="2" t="s">
        <v>359</v>
      </c>
      <c r="E766" s="2" t="s">
        <v>356</v>
      </c>
      <c r="F766" s="2"/>
      <c r="G766" s="2" t="s">
        <v>135</v>
      </c>
      <c r="H766" s="2" t="str">
        <f aca="false">IF(LEFT(B766,10)="Arsenal v ",MID(B766,11,100),LEFT(B766,FIND(" v ",B766)-1))</f>
        <v>Everton</v>
      </c>
      <c r="I766" s="2" t="str">
        <f aca="false">IF(F766&lt;&gt;"","N",IF(LEFT(B766,10)="Arsenal v ","H","A"))</f>
        <v>A</v>
      </c>
      <c r="J766" s="2"/>
    </row>
    <row r="767" customFormat="false" ht="15" hidden="false" customHeight="false" outlineLevel="0" collapsed="false">
      <c r="A767" s="3" t="n">
        <v>37551</v>
      </c>
      <c r="B767" s="2" t="s">
        <v>752</v>
      </c>
      <c r="C767" s="2" t="s">
        <v>704</v>
      </c>
      <c r="D767" s="2" t="s">
        <v>360</v>
      </c>
      <c r="E767" s="2" t="s">
        <v>352</v>
      </c>
      <c r="F767" s="2"/>
      <c r="G767" s="2" t="s">
        <v>135</v>
      </c>
      <c r="H767" s="2" t="str">
        <f aca="false">IF(LEFT(B767,10)="Arsenal v ",MID(B767,11,100),LEFT(B767,FIND(" v ",B767)-1))</f>
        <v>Auxerre</v>
      </c>
      <c r="I767" s="2" t="str">
        <f aca="false">IF(F767&lt;&gt;"","N",IF(LEFT(B767,10)="Arsenal v ","H","A"))</f>
        <v>H</v>
      </c>
      <c r="J767" s="2"/>
    </row>
    <row r="768" customFormat="false" ht="15" hidden="false" customHeight="false" outlineLevel="0" collapsed="false">
      <c r="A768" s="3" t="n">
        <v>37555</v>
      </c>
      <c r="B768" s="2" t="s">
        <v>737</v>
      </c>
      <c r="C768" s="2" t="s">
        <v>704</v>
      </c>
      <c r="D768" s="2" t="s">
        <v>360</v>
      </c>
      <c r="E768" s="2" t="s">
        <v>356</v>
      </c>
      <c r="F768" s="2"/>
      <c r="G768" s="2" t="s">
        <v>135</v>
      </c>
      <c r="H768" s="2" t="str">
        <f aca="false">IF(LEFT(B768,10)="Arsenal v ",MID(B768,11,100),LEFT(B768,FIND(" v ",B768)-1))</f>
        <v>Blackburn Rovers</v>
      </c>
      <c r="I768" s="2" t="str">
        <f aca="false">IF(F768&lt;&gt;"","N",IF(LEFT(B768,10)="Arsenal v ","H","A"))</f>
        <v>H</v>
      </c>
      <c r="J768" s="2"/>
    </row>
    <row r="769" customFormat="false" ht="15" hidden="false" customHeight="false" outlineLevel="0" collapsed="false">
      <c r="A769" s="3" t="n">
        <v>37559</v>
      </c>
      <c r="B769" s="2" t="s">
        <v>411</v>
      </c>
      <c r="C769" s="2" t="s">
        <v>704</v>
      </c>
      <c r="D769" s="2" t="s">
        <v>359</v>
      </c>
      <c r="E769" s="2" t="s">
        <v>352</v>
      </c>
      <c r="F769" s="2"/>
      <c r="G769" s="2" t="s">
        <v>135</v>
      </c>
      <c r="H769" s="2" t="str">
        <f aca="false">IF(LEFT(B769,10)="Arsenal v ",MID(B769,11,100),LEFT(B769,FIND(" v ",B769)-1))</f>
        <v>Borussia Dortmund</v>
      </c>
      <c r="I769" s="2" t="str">
        <f aca="false">IF(F769&lt;&gt;"","N",IF(LEFT(B769,10)="Arsenal v ","H","A"))</f>
        <v>A</v>
      </c>
      <c r="J769" s="2"/>
    </row>
    <row r="770" customFormat="false" ht="15" hidden="false" customHeight="false" outlineLevel="0" collapsed="false">
      <c r="A770" s="3" t="n">
        <v>37563</v>
      </c>
      <c r="B770" s="2" t="s">
        <v>461</v>
      </c>
      <c r="C770" s="2" t="s">
        <v>702</v>
      </c>
      <c r="D770" s="2" t="s">
        <v>383</v>
      </c>
      <c r="E770" s="2" t="s">
        <v>356</v>
      </c>
      <c r="F770" s="2"/>
      <c r="G770" s="2" t="s">
        <v>135</v>
      </c>
      <c r="H770" s="2" t="str">
        <f aca="false">IF(LEFT(B770,10)="Arsenal v ",MID(B770,11,100),LEFT(B770,FIND(" v ",B770)-1))</f>
        <v>Fulham</v>
      </c>
      <c r="I770" s="2" t="str">
        <f aca="false">IF(F770&lt;&gt;"","N",IF(LEFT(B770,10)="Arsenal v ","H","A"))</f>
        <v>A</v>
      </c>
      <c r="J770" s="2"/>
    </row>
    <row r="771" customFormat="false" ht="15" hidden="false" customHeight="false" outlineLevel="0" collapsed="false">
      <c r="A771" s="3" t="n">
        <v>37566</v>
      </c>
      <c r="B771" s="2" t="s">
        <v>727</v>
      </c>
      <c r="C771" s="2" t="s">
        <v>704</v>
      </c>
      <c r="D771" s="2" t="s">
        <v>366</v>
      </c>
      <c r="E771" s="2" t="s">
        <v>379</v>
      </c>
      <c r="F771" s="2"/>
      <c r="G771" s="2" t="s">
        <v>135</v>
      </c>
      <c r="H771" s="2" t="str">
        <f aca="false">IF(LEFT(B771,10)="Arsenal v ",MID(B771,11,100),LEFT(B771,FIND(" v ",B771)-1))</f>
        <v>Sunderland</v>
      </c>
      <c r="I771" s="2" t="str">
        <f aca="false">IF(F771&lt;&gt;"","N",IF(LEFT(B771,10)="Arsenal v ","H","A"))</f>
        <v>H</v>
      </c>
      <c r="J771" s="2"/>
    </row>
    <row r="772" customFormat="false" ht="15" hidden="false" customHeight="false" outlineLevel="0" collapsed="false">
      <c r="A772" s="3" t="n">
        <v>37569</v>
      </c>
      <c r="B772" s="2" t="s">
        <v>719</v>
      </c>
      <c r="C772" s="2" t="s">
        <v>702</v>
      </c>
      <c r="D772" s="2" t="s">
        <v>348</v>
      </c>
      <c r="E772" s="2" t="s">
        <v>356</v>
      </c>
      <c r="F772" s="2"/>
      <c r="G772" s="2" t="s">
        <v>135</v>
      </c>
      <c r="H772" s="2" t="str">
        <f aca="false">IF(LEFT(B772,10)="Arsenal v ",MID(B772,11,100),LEFT(B772,FIND(" v ",B772)-1))</f>
        <v>Newcastle United</v>
      </c>
      <c r="I772" s="2" t="str">
        <f aca="false">IF(F772&lt;&gt;"","N",IF(LEFT(B772,10)="Arsenal v ","H","A"))</f>
        <v>H</v>
      </c>
      <c r="J772" s="2"/>
    </row>
    <row r="773" customFormat="false" ht="15" hidden="false" customHeight="false" outlineLevel="0" collapsed="false">
      <c r="A773" s="3" t="n">
        <v>37572</v>
      </c>
      <c r="B773" s="2" t="s">
        <v>790</v>
      </c>
      <c r="C773" s="2" t="s">
        <v>706</v>
      </c>
      <c r="D773" s="2" t="s">
        <v>369</v>
      </c>
      <c r="E773" s="2" t="s">
        <v>352</v>
      </c>
      <c r="F773" s="2"/>
      <c r="G773" s="2" t="s">
        <v>135</v>
      </c>
      <c r="H773" s="2" t="str">
        <f aca="false">IF(LEFT(B773,10)="Arsenal v ",MID(B773,11,100),LEFT(B773,FIND(" v ",B773)-1))</f>
        <v>PSV Eindhoven</v>
      </c>
      <c r="I773" s="2" t="str">
        <f aca="false">IF(F773&lt;&gt;"","N",IF(LEFT(B773,10)="Arsenal v ","H","A"))</f>
        <v>H</v>
      </c>
      <c r="J773" s="2"/>
    </row>
    <row r="774" customFormat="false" ht="15" hidden="false" customHeight="false" outlineLevel="0" collapsed="false">
      <c r="A774" s="3" t="n">
        <v>37576</v>
      </c>
      <c r="B774" s="2" t="s">
        <v>655</v>
      </c>
      <c r="C774" s="2" t="s">
        <v>702</v>
      </c>
      <c r="D774" s="2" t="s">
        <v>434</v>
      </c>
      <c r="E774" s="2" t="s">
        <v>356</v>
      </c>
      <c r="F774" s="2"/>
      <c r="G774" s="2" t="s">
        <v>135</v>
      </c>
      <c r="H774" s="2" t="str">
        <f aca="false">IF(LEFT(B774,10)="Arsenal v ",MID(B774,11,100),LEFT(B774,FIND(" v ",B774)-1))</f>
        <v>Tottenham Hotspur</v>
      </c>
      <c r="I774" s="2" t="str">
        <f aca="false">IF(F774&lt;&gt;"","N",IF(LEFT(B774,10)="Arsenal v ","H","A"))</f>
        <v>H</v>
      </c>
      <c r="J774" s="2"/>
    </row>
    <row r="775" customFormat="false" ht="15" hidden="false" customHeight="false" outlineLevel="0" collapsed="false">
      <c r="A775" s="3" t="n">
        <v>37583</v>
      </c>
      <c r="B775" s="2" t="s">
        <v>546</v>
      </c>
      <c r="C775" s="2" t="s">
        <v>704</v>
      </c>
      <c r="D775" s="2" t="s">
        <v>382</v>
      </c>
      <c r="E775" s="2" t="s">
        <v>356</v>
      </c>
      <c r="F775" s="2"/>
      <c r="G775" s="2" t="s">
        <v>135</v>
      </c>
      <c r="H775" s="2" t="str">
        <f aca="false">IF(LEFT(B775,10)="Arsenal v ",MID(B775,11,100),LEFT(B775,FIND(" v ",B775)-1))</f>
        <v>Southampton</v>
      </c>
      <c r="I775" s="2" t="str">
        <f aca="false">IF(F775&lt;&gt;"","N",IF(LEFT(B775,10)="Arsenal v ","H","A"))</f>
        <v>A</v>
      </c>
      <c r="J775" s="2"/>
    </row>
    <row r="776" customFormat="false" ht="15" hidden="false" customHeight="false" outlineLevel="0" collapsed="false">
      <c r="A776" s="3" t="n">
        <v>37587</v>
      </c>
      <c r="B776" s="2" t="s">
        <v>372</v>
      </c>
      <c r="C776" s="2" t="s">
        <v>702</v>
      </c>
      <c r="D776" s="2" t="s">
        <v>373</v>
      </c>
      <c r="E776" s="2" t="s">
        <v>352</v>
      </c>
      <c r="F776" s="2"/>
      <c r="G776" s="2" t="s">
        <v>135</v>
      </c>
      <c r="H776" s="2" t="str">
        <f aca="false">IF(LEFT(B776,10)="Arsenal v ",MID(B776,11,100),LEFT(B776,FIND(" v ",B776)-1))</f>
        <v>AS Roma</v>
      </c>
      <c r="I776" s="2" t="str">
        <f aca="false">IF(F776&lt;&gt;"","N",IF(LEFT(B776,10)="Arsenal v ","H","A"))</f>
        <v>A</v>
      </c>
      <c r="J776" s="2"/>
    </row>
    <row r="777" customFormat="false" ht="15" hidden="false" customHeight="false" outlineLevel="0" collapsed="false">
      <c r="A777" s="3" t="n">
        <v>37590</v>
      </c>
      <c r="B777" s="2" t="s">
        <v>703</v>
      </c>
      <c r="C777" s="2" t="s">
        <v>702</v>
      </c>
      <c r="D777" s="2" t="s">
        <v>377</v>
      </c>
      <c r="E777" s="2" t="s">
        <v>356</v>
      </c>
      <c r="F777" s="2"/>
      <c r="G777" s="2" t="s">
        <v>135</v>
      </c>
      <c r="H777" s="2" t="str">
        <f aca="false">IF(LEFT(B777,10)="Arsenal v ",MID(B777,11,100),LEFT(B777,FIND(" v ",B777)-1))</f>
        <v>Aston Villa</v>
      </c>
      <c r="I777" s="2" t="str">
        <f aca="false">IF(F777&lt;&gt;"","N",IF(LEFT(B777,10)="Arsenal v ","H","A"))</f>
        <v>H</v>
      </c>
      <c r="J777" s="2"/>
    </row>
    <row r="778" customFormat="false" ht="15" hidden="false" customHeight="false" outlineLevel="0" collapsed="false">
      <c r="A778" s="3" t="n">
        <v>37597</v>
      </c>
      <c r="B778" s="2" t="s">
        <v>490</v>
      </c>
      <c r="C778" s="2" t="s">
        <v>704</v>
      </c>
      <c r="D778" s="2" t="s">
        <v>351</v>
      </c>
      <c r="E778" s="2" t="s">
        <v>356</v>
      </c>
      <c r="F778" s="2"/>
      <c r="G778" s="2" t="s">
        <v>135</v>
      </c>
      <c r="H778" s="2" t="str">
        <f aca="false">IF(LEFT(B778,10)="Arsenal v ",MID(B778,11,100),LEFT(B778,FIND(" v ",B778)-1))</f>
        <v>Manchester United</v>
      </c>
      <c r="I778" s="2" t="str">
        <f aca="false">IF(F778&lt;&gt;"","N",IF(LEFT(B778,10)="Arsenal v ","H","A"))</f>
        <v>A</v>
      </c>
      <c r="J778" s="2"/>
    </row>
    <row r="779" customFormat="false" ht="15" hidden="false" customHeight="false" outlineLevel="0" collapsed="false">
      <c r="A779" s="3" t="n">
        <v>37600</v>
      </c>
      <c r="B779" s="2" t="s">
        <v>778</v>
      </c>
      <c r="C779" s="2" t="s">
        <v>706</v>
      </c>
      <c r="D779" s="2" t="s">
        <v>369</v>
      </c>
      <c r="E779" s="2" t="s">
        <v>352</v>
      </c>
      <c r="F779" s="2"/>
      <c r="G779" s="2" t="s">
        <v>135</v>
      </c>
      <c r="H779" s="2" t="str">
        <f aca="false">IF(LEFT(B779,10)="Arsenal v ",MID(B779,11,100),LEFT(B779,FIND(" v ",B779)-1))</f>
        <v>Valencia</v>
      </c>
      <c r="I779" s="2" t="str">
        <f aca="false">IF(F779&lt;&gt;"","N",IF(LEFT(B779,10)="Arsenal v ","H","A"))</f>
        <v>H</v>
      </c>
      <c r="J779" s="2"/>
    </row>
    <row r="780" customFormat="false" ht="15" hidden="false" customHeight="false" outlineLevel="0" collapsed="false">
      <c r="A780" s="3" t="n">
        <v>37605</v>
      </c>
      <c r="B780" s="2" t="s">
        <v>561</v>
      </c>
      <c r="C780" s="2" t="s">
        <v>706</v>
      </c>
      <c r="D780" s="2" t="s">
        <v>361</v>
      </c>
      <c r="E780" s="2" t="s">
        <v>356</v>
      </c>
      <c r="F780" s="2"/>
      <c r="G780" s="2" t="s">
        <v>135</v>
      </c>
      <c r="H780" s="2" t="str">
        <f aca="false">IF(LEFT(B780,10)="Arsenal v ",MID(B780,11,100),LEFT(B780,FIND(" v ",B780)-1))</f>
        <v>Tottenham Hotspur</v>
      </c>
      <c r="I780" s="2" t="str">
        <f aca="false">IF(F780&lt;&gt;"","N",IF(LEFT(B780,10)="Arsenal v ","H","A"))</f>
        <v>A</v>
      </c>
      <c r="J780" s="2"/>
    </row>
    <row r="781" customFormat="false" ht="15" hidden="false" customHeight="false" outlineLevel="0" collapsed="false">
      <c r="A781" s="3" t="n">
        <v>37611</v>
      </c>
      <c r="B781" s="2" t="s">
        <v>711</v>
      </c>
      <c r="C781" s="2" t="s">
        <v>702</v>
      </c>
      <c r="D781" s="2" t="s">
        <v>351</v>
      </c>
      <c r="E781" s="2" t="s">
        <v>356</v>
      </c>
      <c r="F781" s="2"/>
      <c r="G781" s="2" t="s">
        <v>135</v>
      </c>
      <c r="H781" s="2" t="str">
        <f aca="false">IF(LEFT(B781,10)="Arsenal v ",MID(B781,11,100),LEFT(B781,FIND(" v ",B781)-1))</f>
        <v>Middlesbrough</v>
      </c>
      <c r="I781" s="2" t="str">
        <f aca="false">IF(F781&lt;&gt;"","N",IF(LEFT(B781,10)="Arsenal v ","H","A"))</f>
        <v>H</v>
      </c>
      <c r="J781" s="2"/>
    </row>
    <row r="782" customFormat="false" ht="15" hidden="false" customHeight="false" outlineLevel="0" collapsed="false">
      <c r="A782" s="3" t="n">
        <v>37616</v>
      </c>
      <c r="B782" s="2" t="s">
        <v>571</v>
      </c>
      <c r="C782" s="2" t="s">
        <v>702</v>
      </c>
      <c r="D782" s="2" t="s">
        <v>360</v>
      </c>
      <c r="E782" s="2" t="s">
        <v>356</v>
      </c>
      <c r="F782" s="2"/>
      <c r="G782" s="2" t="s">
        <v>135</v>
      </c>
      <c r="H782" s="2" t="str">
        <f aca="false">IF(LEFT(B782,10)="Arsenal v ",MID(B782,11,100),LEFT(B782,FIND(" v ",B782)-1))</f>
        <v>West Bromwich Albion</v>
      </c>
      <c r="I782" s="2" t="str">
        <f aca="false">IF(F782&lt;&gt;"","N",IF(LEFT(B782,10)="Arsenal v ","H","A"))</f>
        <v>A</v>
      </c>
      <c r="J782" s="2"/>
    </row>
    <row r="783" customFormat="false" ht="15" hidden="false" customHeight="false" outlineLevel="0" collapsed="false">
      <c r="A783" s="3" t="n">
        <v>37619</v>
      </c>
      <c r="B783" s="2" t="s">
        <v>710</v>
      </c>
      <c r="C783" s="2" t="s">
        <v>706</v>
      </c>
      <c r="D783" s="2" t="s">
        <v>361</v>
      </c>
      <c r="E783" s="2" t="s">
        <v>356</v>
      </c>
      <c r="F783" s="2"/>
      <c r="G783" s="2" t="s">
        <v>135</v>
      </c>
      <c r="H783" s="2" t="str">
        <f aca="false">IF(LEFT(B783,10)="Arsenal v ",MID(B783,11,100),LEFT(B783,FIND(" v ",B783)-1))</f>
        <v>Liverpool</v>
      </c>
      <c r="I783" s="2" t="str">
        <f aca="false">IF(F783&lt;&gt;"","N",IF(LEFT(B783,10)="Arsenal v ","H","A"))</f>
        <v>H</v>
      </c>
      <c r="J783" s="2"/>
    </row>
    <row r="784" customFormat="false" ht="15" hidden="false" customHeight="false" outlineLevel="0" collapsed="false">
      <c r="A784" s="3" t="n">
        <v>37622</v>
      </c>
      <c r="B784" s="2" t="s">
        <v>725</v>
      </c>
      <c r="C784" s="2" t="s">
        <v>702</v>
      </c>
      <c r="D784" s="2" t="s">
        <v>382</v>
      </c>
      <c r="E784" s="2" t="s">
        <v>356</v>
      </c>
      <c r="F784" s="2"/>
      <c r="G784" s="2" t="s">
        <v>135</v>
      </c>
      <c r="H784" s="2" t="str">
        <f aca="false">IF(LEFT(B784,10)="Arsenal v ",MID(B784,11,100),LEFT(B784,FIND(" v ",B784)-1))</f>
        <v>Chelsea</v>
      </c>
      <c r="I784" s="2" t="str">
        <f aca="false">IF(F784&lt;&gt;"","N",IF(LEFT(B784,10)="Arsenal v ","H","A"))</f>
        <v>H</v>
      </c>
      <c r="J784" s="2"/>
    </row>
    <row r="785" customFormat="false" ht="15" hidden="false" customHeight="false" outlineLevel="0" collapsed="false">
      <c r="A785" s="3" t="n">
        <v>37625</v>
      </c>
      <c r="B785" s="2" t="s">
        <v>791</v>
      </c>
      <c r="C785" s="2" t="s">
        <v>702</v>
      </c>
      <c r="D785" s="2" t="s">
        <v>351</v>
      </c>
      <c r="E785" s="2" t="s">
        <v>362</v>
      </c>
      <c r="F785" s="2"/>
      <c r="G785" s="2" t="s">
        <v>135</v>
      </c>
      <c r="H785" s="2" t="str">
        <f aca="false">IF(LEFT(B785,10)="Arsenal v ",MID(B785,11,100),LEFT(B785,FIND(" v ",B785)-1))</f>
        <v>Oxford United</v>
      </c>
      <c r="I785" s="2" t="str">
        <f aca="false">IF(F785&lt;&gt;"","N",IF(LEFT(B785,10)="Arsenal v ","H","A"))</f>
        <v>H</v>
      </c>
      <c r="J785" s="2"/>
    </row>
    <row r="786" customFormat="false" ht="15" hidden="false" customHeight="false" outlineLevel="0" collapsed="false">
      <c r="A786" s="3" t="n">
        <v>37633</v>
      </c>
      <c r="B786" s="2" t="s">
        <v>405</v>
      </c>
      <c r="C786" s="2" t="s">
        <v>702</v>
      </c>
      <c r="D786" s="2" t="s">
        <v>365</v>
      </c>
      <c r="E786" s="2" t="s">
        <v>356</v>
      </c>
      <c r="F786" s="2"/>
      <c r="G786" s="2" t="s">
        <v>135</v>
      </c>
      <c r="H786" s="2" t="str">
        <f aca="false">IF(LEFT(B786,10)="Arsenal v ",MID(B786,11,100),LEFT(B786,FIND(" v ",B786)-1))</f>
        <v>Birmingham City</v>
      </c>
      <c r="I786" s="2" t="str">
        <f aca="false">IF(F786&lt;&gt;"","N",IF(LEFT(B786,10)="Arsenal v ","H","A"))</f>
        <v>A</v>
      </c>
      <c r="J786" s="2"/>
    </row>
    <row r="787" customFormat="false" ht="15" hidden="false" customHeight="false" outlineLevel="0" collapsed="false">
      <c r="A787" s="3" t="n">
        <v>37640</v>
      </c>
      <c r="B787" s="2" t="s">
        <v>712</v>
      </c>
      <c r="C787" s="2" t="s">
        <v>702</v>
      </c>
      <c r="D787" s="2" t="s">
        <v>377</v>
      </c>
      <c r="E787" s="2" t="s">
        <v>356</v>
      </c>
      <c r="F787" s="2"/>
      <c r="G787" s="2" t="s">
        <v>135</v>
      </c>
      <c r="H787" s="2" t="str">
        <f aca="false">IF(LEFT(B787,10)="Arsenal v ",MID(B787,11,100),LEFT(B787,FIND(" v ",B787)-1))</f>
        <v>West Ham United</v>
      </c>
      <c r="I787" s="2" t="str">
        <f aca="false">IF(F787&lt;&gt;"","N",IF(LEFT(B787,10)="Arsenal v ","H","A"))</f>
        <v>H</v>
      </c>
      <c r="J787" s="2"/>
    </row>
    <row r="788" customFormat="false" ht="15" hidden="false" customHeight="false" outlineLevel="0" collapsed="false">
      <c r="A788" s="3" t="n">
        <v>37646</v>
      </c>
      <c r="B788" s="2" t="s">
        <v>451</v>
      </c>
      <c r="C788" s="2" t="s">
        <v>702</v>
      </c>
      <c r="D788" s="2" t="s">
        <v>435</v>
      </c>
      <c r="E788" s="2" t="s">
        <v>362</v>
      </c>
      <c r="F788" s="2"/>
      <c r="G788" s="2" t="s">
        <v>135</v>
      </c>
      <c r="H788" s="2" t="str">
        <f aca="false">IF(LEFT(B788,10)="Arsenal v ",MID(B788,11,100),LEFT(B788,FIND(" v ",B788)-1))</f>
        <v>Farnborough Town</v>
      </c>
      <c r="I788" s="2" t="str">
        <f aca="false">IF(F788&lt;&gt;"","N",IF(LEFT(B788,10)="Arsenal v ","H","A"))</f>
        <v>A</v>
      </c>
      <c r="J788" s="2"/>
    </row>
    <row r="789" customFormat="false" ht="15" hidden="false" customHeight="false" outlineLevel="0" collapsed="false">
      <c r="A789" s="3" t="n">
        <v>37650</v>
      </c>
      <c r="B789" s="2" t="s">
        <v>477</v>
      </c>
      <c r="C789" s="2" t="s">
        <v>706</v>
      </c>
      <c r="D789" s="2" t="s">
        <v>380</v>
      </c>
      <c r="E789" s="2" t="s">
        <v>356</v>
      </c>
      <c r="F789" s="2"/>
      <c r="G789" s="2" t="s">
        <v>135</v>
      </c>
      <c r="H789" s="2" t="str">
        <f aca="false">IF(LEFT(B789,10)="Arsenal v ",MID(B789,11,100),LEFT(B789,FIND(" v ",B789)-1))</f>
        <v>Liverpool</v>
      </c>
      <c r="I789" s="2" t="str">
        <f aca="false">IF(F789&lt;&gt;"","N",IF(LEFT(B789,10)="Arsenal v ","H","A"))</f>
        <v>A</v>
      </c>
      <c r="J789" s="2"/>
    </row>
    <row r="790" customFormat="false" ht="15" hidden="false" customHeight="false" outlineLevel="0" collapsed="false">
      <c r="A790" s="3" t="n">
        <v>37653</v>
      </c>
      <c r="B790" s="2" t="s">
        <v>784</v>
      </c>
      <c r="C790" s="2" t="s">
        <v>702</v>
      </c>
      <c r="D790" s="2" t="s">
        <v>359</v>
      </c>
      <c r="E790" s="2" t="s">
        <v>356</v>
      </c>
      <c r="F790" s="2"/>
      <c r="G790" s="2" t="s">
        <v>135</v>
      </c>
      <c r="H790" s="2" t="str">
        <f aca="false">IF(LEFT(B790,10)="Arsenal v ",MID(B790,11,100),LEFT(B790,FIND(" v ",B790)-1))</f>
        <v>Fulham</v>
      </c>
      <c r="I790" s="2" t="str">
        <f aca="false">IF(F790&lt;&gt;"","N",IF(LEFT(B790,10)="Arsenal v ","H","A"))</f>
        <v>H</v>
      </c>
      <c r="J790" s="2"/>
    </row>
    <row r="791" customFormat="false" ht="15" hidden="false" customHeight="false" outlineLevel="0" collapsed="false">
      <c r="A791" s="3" t="n">
        <v>37661</v>
      </c>
      <c r="B791" s="2" t="s">
        <v>501</v>
      </c>
      <c r="C791" s="2" t="s">
        <v>706</v>
      </c>
      <c r="D791" s="2" t="s">
        <v>361</v>
      </c>
      <c r="E791" s="2" t="s">
        <v>356</v>
      </c>
      <c r="F791" s="2"/>
      <c r="G791" s="2" t="s">
        <v>135</v>
      </c>
      <c r="H791" s="2" t="str">
        <f aca="false">IF(LEFT(B791,10)="Arsenal v ",MID(B791,11,100),LEFT(B791,FIND(" v ",B791)-1))</f>
        <v>Newcastle United</v>
      </c>
      <c r="I791" s="2" t="str">
        <f aca="false">IF(F791&lt;&gt;"","N",IF(LEFT(B791,10)="Arsenal v ","H","A"))</f>
        <v>A</v>
      </c>
      <c r="J791" s="2"/>
    </row>
    <row r="792" customFormat="false" ht="15" hidden="false" customHeight="false" outlineLevel="0" collapsed="false">
      <c r="A792" s="3" t="n">
        <v>37667</v>
      </c>
      <c r="B792" s="2" t="s">
        <v>490</v>
      </c>
      <c r="C792" s="2" t="s">
        <v>702</v>
      </c>
      <c r="D792" s="2" t="s">
        <v>353</v>
      </c>
      <c r="E792" s="2" t="s">
        <v>362</v>
      </c>
      <c r="F792" s="2"/>
      <c r="G792" s="2" t="s">
        <v>135</v>
      </c>
      <c r="H792" s="2" t="str">
        <f aca="false">IF(LEFT(B792,10)="Arsenal v ",MID(B792,11,100),LEFT(B792,FIND(" v ",B792)-1))</f>
        <v>Manchester United</v>
      </c>
      <c r="I792" s="2" t="str">
        <f aca="false">IF(F792&lt;&gt;"","N",IF(LEFT(B792,10)="Arsenal v ","H","A"))</f>
        <v>A</v>
      </c>
      <c r="J792" s="2"/>
    </row>
    <row r="793" customFormat="false" ht="15" hidden="false" customHeight="false" outlineLevel="0" collapsed="false">
      <c r="A793" s="3" t="n">
        <v>37670</v>
      </c>
      <c r="B793" s="2" t="s">
        <v>792</v>
      </c>
      <c r="C793" s="2" t="s">
        <v>706</v>
      </c>
      <c r="D793" s="2" t="s">
        <v>361</v>
      </c>
      <c r="E793" s="2" t="s">
        <v>352</v>
      </c>
      <c r="F793" s="2"/>
      <c r="G793" s="2" t="s">
        <v>135</v>
      </c>
      <c r="H793" s="2" t="str">
        <f aca="false">IF(LEFT(B793,10)="Arsenal v ",MID(B793,11,100),LEFT(B793,FIND(" v ",B793)-1))</f>
        <v>Ajax</v>
      </c>
      <c r="I793" s="2" t="str">
        <f aca="false">IF(F793&lt;&gt;"","N",IF(LEFT(B793,10)="Arsenal v ","H","A"))</f>
        <v>H</v>
      </c>
      <c r="J793" s="2"/>
    </row>
    <row r="794" customFormat="false" ht="15" hidden="false" customHeight="false" outlineLevel="0" collapsed="false">
      <c r="A794" s="3" t="n">
        <v>37674</v>
      </c>
      <c r="B794" s="2" t="s">
        <v>487</v>
      </c>
      <c r="C794" s="2" t="s">
        <v>702</v>
      </c>
      <c r="D794" s="2" t="s">
        <v>435</v>
      </c>
      <c r="E794" s="2" t="s">
        <v>356</v>
      </c>
      <c r="F794" s="2"/>
      <c r="G794" s="2" t="s">
        <v>135</v>
      </c>
      <c r="H794" s="2" t="str">
        <f aca="false">IF(LEFT(B794,10)="Arsenal v ",MID(B794,11,100),LEFT(B794,FIND(" v ",B794)-1))</f>
        <v>Manchester City</v>
      </c>
      <c r="I794" s="2" t="str">
        <f aca="false">IF(F794&lt;&gt;"","N",IF(LEFT(B794,10)="Arsenal v ","H","A"))</f>
        <v>A</v>
      </c>
      <c r="J794" s="2"/>
    </row>
    <row r="795" customFormat="false" ht="15" hidden="false" customHeight="false" outlineLevel="0" collapsed="false">
      <c r="A795" s="3" t="n">
        <v>37678</v>
      </c>
      <c r="B795" s="2" t="s">
        <v>368</v>
      </c>
      <c r="C795" s="2" t="s">
        <v>706</v>
      </c>
      <c r="D795" s="2" t="s">
        <v>369</v>
      </c>
      <c r="E795" s="2" t="s">
        <v>352</v>
      </c>
      <c r="F795" s="2"/>
      <c r="G795" s="2" t="s">
        <v>135</v>
      </c>
      <c r="H795" s="2" t="str">
        <f aca="false">IF(LEFT(B795,10)="Arsenal v ",MID(B795,11,100),LEFT(B795,FIND(" v ",B795)-1))</f>
        <v>Ajax</v>
      </c>
      <c r="I795" s="2" t="str">
        <f aca="false">IF(F795&lt;&gt;"","N",IF(LEFT(B795,10)="Arsenal v ","H","A"))</f>
        <v>A</v>
      </c>
      <c r="J795" s="2"/>
    </row>
    <row r="796" customFormat="false" ht="15" hidden="false" customHeight="false" outlineLevel="0" collapsed="false">
      <c r="A796" s="3" t="n">
        <v>37682</v>
      </c>
      <c r="B796" s="2" t="s">
        <v>717</v>
      </c>
      <c r="C796" s="2" t="s">
        <v>702</v>
      </c>
      <c r="D796" s="2" t="s">
        <v>351</v>
      </c>
      <c r="E796" s="2" t="s">
        <v>356</v>
      </c>
      <c r="F796" s="2"/>
      <c r="G796" s="2" t="s">
        <v>135</v>
      </c>
      <c r="H796" s="2" t="str">
        <f aca="false">IF(LEFT(B796,10)="Arsenal v ",MID(B796,11,100),LEFT(B796,FIND(" v ",B796)-1))</f>
        <v>Charlton Athletic</v>
      </c>
      <c r="I796" s="2" t="str">
        <f aca="false">IF(F796&lt;&gt;"","N",IF(LEFT(B796,10)="Arsenal v ","H","A"))</f>
        <v>H</v>
      </c>
      <c r="J796" s="2"/>
    </row>
    <row r="797" customFormat="false" ht="15" hidden="false" customHeight="false" outlineLevel="0" collapsed="false">
      <c r="A797" s="3" t="n">
        <v>37688</v>
      </c>
      <c r="B797" s="2" t="s">
        <v>725</v>
      </c>
      <c r="C797" s="2" t="s">
        <v>706</v>
      </c>
      <c r="D797" s="2" t="s">
        <v>380</v>
      </c>
      <c r="E797" s="2" t="s">
        <v>362</v>
      </c>
      <c r="F797" s="2"/>
      <c r="G797" s="2" t="s">
        <v>135</v>
      </c>
      <c r="H797" s="2" t="str">
        <f aca="false">IF(LEFT(B797,10)="Arsenal v ",MID(B797,11,100),LEFT(B797,FIND(" v ",B797)-1))</f>
        <v>Chelsea</v>
      </c>
      <c r="I797" s="2" t="str">
        <f aca="false">IF(F797&lt;&gt;"","N",IF(LEFT(B797,10)="Arsenal v ","H","A"))</f>
        <v>H</v>
      </c>
      <c r="J797" s="2"/>
    </row>
    <row r="798" customFormat="false" ht="15" hidden="false" customHeight="false" outlineLevel="0" collapsed="false">
      <c r="A798" s="3" t="n">
        <v>37691</v>
      </c>
      <c r="B798" s="2" t="s">
        <v>793</v>
      </c>
      <c r="C798" s="2" t="s">
        <v>706</v>
      </c>
      <c r="D798" s="2" t="s">
        <v>361</v>
      </c>
      <c r="E798" s="2" t="s">
        <v>352</v>
      </c>
      <c r="F798" s="2"/>
      <c r="G798" s="2" t="s">
        <v>135</v>
      </c>
      <c r="H798" s="2" t="str">
        <f aca="false">IF(LEFT(B798,10)="Arsenal v ",MID(B798,11,100),LEFT(B798,FIND(" v ",B798)-1))</f>
        <v>AS Roma</v>
      </c>
      <c r="I798" s="2" t="str">
        <f aca="false">IF(F798&lt;&gt;"","N",IF(LEFT(B798,10)="Arsenal v ","H","A"))</f>
        <v>H</v>
      </c>
      <c r="J798" s="2"/>
    </row>
    <row r="799" customFormat="false" ht="15" hidden="false" customHeight="false" outlineLevel="0" collapsed="false">
      <c r="A799" s="3" t="n">
        <v>37695</v>
      </c>
      <c r="B799" s="2" t="s">
        <v>406</v>
      </c>
      <c r="C799" s="2" t="s">
        <v>704</v>
      </c>
      <c r="D799" s="2" t="s">
        <v>351</v>
      </c>
      <c r="E799" s="2" t="s">
        <v>356</v>
      </c>
      <c r="F799" s="2"/>
      <c r="G799" s="2" t="s">
        <v>135</v>
      </c>
      <c r="H799" s="2" t="str">
        <f aca="false">IF(LEFT(B799,10)="Arsenal v ",MID(B799,11,100),LEFT(B799,FIND(" v ",B799)-1))</f>
        <v>Blackburn Rovers</v>
      </c>
      <c r="I799" s="2" t="str">
        <f aca="false">IF(F799&lt;&gt;"","N",IF(LEFT(B799,10)="Arsenal v ","H","A"))</f>
        <v>A</v>
      </c>
      <c r="J799" s="2"/>
    </row>
    <row r="800" customFormat="false" ht="15" hidden="false" customHeight="false" outlineLevel="0" collapsed="false">
      <c r="A800" s="3" t="n">
        <v>37699</v>
      </c>
      <c r="B800" s="2" t="s">
        <v>565</v>
      </c>
      <c r="C800" s="2" t="s">
        <v>704</v>
      </c>
      <c r="D800" s="2" t="s">
        <v>359</v>
      </c>
      <c r="E800" s="2" t="s">
        <v>352</v>
      </c>
      <c r="F800" s="2"/>
      <c r="G800" s="2" t="s">
        <v>135</v>
      </c>
      <c r="H800" s="2" t="str">
        <f aca="false">IF(LEFT(B800,10)="Arsenal v ",MID(B800,11,100),LEFT(B800,FIND(" v ",B800)-1))</f>
        <v>Valencia</v>
      </c>
      <c r="I800" s="2" t="str">
        <f aca="false">IF(F800&lt;&gt;"","N",IF(LEFT(B800,10)="Arsenal v ","H","A"))</f>
        <v>A</v>
      </c>
      <c r="J800" s="2"/>
    </row>
    <row r="801" customFormat="false" ht="15" hidden="false" customHeight="false" outlineLevel="0" collapsed="false">
      <c r="A801" s="3" t="n">
        <v>37703</v>
      </c>
      <c r="B801" s="2" t="s">
        <v>718</v>
      </c>
      <c r="C801" s="2" t="s">
        <v>702</v>
      </c>
      <c r="D801" s="2" t="s">
        <v>359</v>
      </c>
      <c r="E801" s="2" t="s">
        <v>356</v>
      </c>
      <c r="F801" s="2"/>
      <c r="G801" s="2" t="s">
        <v>135</v>
      </c>
      <c r="H801" s="2" t="str">
        <f aca="false">IF(LEFT(B801,10)="Arsenal v ",MID(B801,11,100),LEFT(B801,FIND(" v ",B801)-1))</f>
        <v>Everton</v>
      </c>
      <c r="I801" s="2" t="str">
        <f aca="false">IF(F801&lt;&gt;"","N",IF(LEFT(B801,10)="Arsenal v ","H","A"))</f>
        <v>H</v>
      </c>
      <c r="J801" s="2"/>
    </row>
    <row r="802" customFormat="false" ht="15" hidden="false" customHeight="false" outlineLevel="0" collapsed="false">
      <c r="A802" s="3" t="n">
        <v>37705</v>
      </c>
      <c r="B802" s="2" t="s">
        <v>426</v>
      </c>
      <c r="C802" s="2" t="s">
        <v>702</v>
      </c>
      <c r="D802" s="2" t="s">
        <v>373</v>
      </c>
      <c r="E802" s="2" t="s">
        <v>362</v>
      </c>
      <c r="F802" s="2"/>
      <c r="G802" s="2" t="s">
        <v>135</v>
      </c>
      <c r="H802" s="2" t="str">
        <f aca="false">IF(LEFT(B802,10)="Arsenal v ",MID(B802,11,100),LEFT(B802,FIND(" v ",B802)-1))</f>
        <v>Chelsea</v>
      </c>
      <c r="I802" s="2" t="str">
        <f aca="false">IF(F802&lt;&gt;"","N",IF(LEFT(B802,10)="Arsenal v ","H","A"))</f>
        <v>A</v>
      </c>
      <c r="J802" s="2"/>
    </row>
    <row r="803" customFormat="false" ht="15" hidden="false" customHeight="false" outlineLevel="0" collapsed="false">
      <c r="A803" s="3" t="n">
        <v>37716</v>
      </c>
      <c r="B803" s="2" t="s">
        <v>376</v>
      </c>
      <c r="C803" s="2" t="s">
        <v>706</v>
      </c>
      <c r="D803" s="2" t="s">
        <v>361</v>
      </c>
      <c r="E803" s="2" t="s">
        <v>356</v>
      </c>
      <c r="F803" s="2"/>
      <c r="G803" s="2" t="s">
        <v>135</v>
      </c>
      <c r="H803" s="2" t="str">
        <f aca="false">IF(LEFT(B803,10)="Arsenal v ",MID(B803,11,100),LEFT(B803,FIND(" v ",B803)-1))</f>
        <v>Aston Villa</v>
      </c>
      <c r="I803" s="2" t="str">
        <f aca="false">IF(F803&lt;&gt;"","N",IF(LEFT(B803,10)="Arsenal v ","H","A"))</f>
        <v>A</v>
      </c>
      <c r="J803" s="2"/>
    </row>
    <row r="804" customFormat="false" ht="15" hidden="false" customHeight="false" outlineLevel="0" collapsed="false">
      <c r="A804" s="3" t="n">
        <v>37724</v>
      </c>
      <c r="B804" s="2" t="s">
        <v>728</v>
      </c>
      <c r="C804" s="2" t="s">
        <v>702</v>
      </c>
      <c r="D804" s="2" t="s">
        <v>348</v>
      </c>
      <c r="E804" s="2" t="s">
        <v>362</v>
      </c>
      <c r="F804" s="2" t="s">
        <v>612</v>
      </c>
      <c r="G804" s="2" t="s">
        <v>135</v>
      </c>
      <c r="H804" s="2" t="str">
        <f aca="false">IF(LEFT(B804,10)="Arsenal v ",MID(B804,11,100),LEFT(B804,FIND(" v ",B804)-1))</f>
        <v>Sheffield United</v>
      </c>
      <c r="I804" s="2" t="str">
        <f aca="false">IF(F804&lt;&gt;"","N",IF(LEFT(B804,10)="Arsenal v ","H","A"))</f>
        <v>N</v>
      </c>
      <c r="J804" s="2"/>
    </row>
    <row r="805" customFormat="false" ht="15" hidden="false" customHeight="false" outlineLevel="0" collapsed="false">
      <c r="A805" s="3" t="n">
        <v>37727</v>
      </c>
      <c r="B805" s="2" t="s">
        <v>656</v>
      </c>
      <c r="C805" s="2" t="s">
        <v>706</v>
      </c>
      <c r="D805" s="2" t="s">
        <v>380</v>
      </c>
      <c r="E805" s="2" t="s">
        <v>356</v>
      </c>
      <c r="F805" s="2"/>
      <c r="G805" s="2" t="s">
        <v>135</v>
      </c>
      <c r="H805" s="2" t="str">
        <f aca="false">IF(LEFT(B805,10)="Arsenal v ",MID(B805,11,100),LEFT(B805,FIND(" v ",B805)-1))</f>
        <v>Manchester United</v>
      </c>
      <c r="I805" s="2" t="str">
        <f aca="false">IF(F805&lt;&gt;"","N",IF(LEFT(B805,10)="Arsenal v ","H","A"))</f>
        <v>H</v>
      </c>
      <c r="J805" s="2"/>
    </row>
    <row r="806" customFormat="false" ht="15" hidden="false" customHeight="false" outlineLevel="0" collapsed="false">
      <c r="A806" s="3" t="n">
        <v>37730</v>
      </c>
      <c r="B806" s="2" t="s">
        <v>494</v>
      </c>
      <c r="C806" s="2" t="s">
        <v>702</v>
      </c>
      <c r="D806" s="2" t="s">
        <v>353</v>
      </c>
      <c r="E806" s="2" t="s">
        <v>356</v>
      </c>
      <c r="F806" s="2"/>
      <c r="G806" s="2" t="s">
        <v>135</v>
      </c>
      <c r="H806" s="2" t="str">
        <f aca="false">IF(LEFT(B806,10)="Arsenal v ",MID(B806,11,100),LEFT(B806,FIND(" v ",B806)-1))</f>
        <v>Middlesbrough</v>
      </c>
      <c r="I806" s="2" t="str">
        <f aca="false">IF(F806&lt;&gt;"","N",IF(LEFT(B806,10)="Arsenal v ","H","A"))</f>
        <v>A</v>
      </c>
      <c r="J806" s="2"/>
    </row>
    <row r="807" customFormat="false" ht="15" hidden="false" customHeight="false" outlineLevel="0" collapsed="false">
      <c r="A807" s="3" t="n">
        <v>37737</v>
      </c>
      <c r="B807" s="2" t="s">
        <v>410</v>
      </c>
      <c r="C807" s="2" t="s">
        <v>706</v>
      </c>
      <c r="D807" s="2" t="s">
        <v>380</v>
      </c>
      <c r="E807" s="2" t="s">
        <v>356</v>
      </c>
      <c r="F807" s="2"/>
      <c r="G807" s="2" t="s">
        <v>135</v>
      </c>
      <c r="H807" s="2" t="str">
        <f aca="false">IF(LEFT(B807,10)="Arsenal v ",MID(B807,11,100),LEFT(B807,FIND(" v ",B807)-1))</f>
        <v>Bolton Wanderers</v>
      </c>
      <c r="I807" s="2" t="str">
        <f aca="false">IF(F807&lt;&gt;"","N",IF(LEFT(B807,10)="Arsenal v ","H","A"))</f>
        <v>A</v>
      </c>
      <c r="J807" s="2"/>
    </row>
    <row r="808" customFormat="false" ht="15" hidden="false" customHeight="false" outlineLevel="0" collapsed="false">
      <c r="A808" s="3" t="n">
        <v>37745</v>
      </c>
      <c r="B808" s="2" t="s">
        <v>729</v>
      </c>
      <c r="C808" s="2" t="s">
        <v>704</v>
      </c>
      <c r="D808" s="2" t="s">
        <v>366</v>
      </c>
      <c r="E808" s="2" t="s">
        <v>356</v>
      </c>
      <c r="F808" s="2"/>
      <c r="G808" s="2" t="s">
        <v>135</v>
      </c>
      <c r="H808" s="2" t="str">
        <f aca="false">IF(LEFT(B808,10)="Arsenal v ",MID(B808,11,100),LEFT(B808,FIND(" v ",B808)-1))</f>
        <v>Leeds United</v>
      </c>
      <c r="I808" s="2" t="str">
        <f aca="false">IF(F808&lt;&gt;"","N",IF(LEFT(B808,10)="Arsenal v ","H","A"))</f>
        <v>H</v>
      </c>
      <c r="J808" s="2"/>
    </row>
    <row r="809" customFormat="false" ht="15" hidden="false" customHeight="false" outlineLevel="0" collapsed="false">
      <c r="A809" s="3" t="n">
        <v>37748</v>
      </c>
      <c r="B809" s="2" t="s">
        <v>705</v>
      </c>
      <c r="C809" s="2" t="s">
        <v>702</v>
      </c>
      <c r="D809" s="2" t="s">
        <v>491</v>
      </c>
      <c r="E809" s="2" t="s">
        <v>356</v>
      </c>
      <c r="F809" s="2"/>
      <c r="G809" s="2" t="s">
        <v>135</v>
      </c>
      <c r="H809" s="2" t="str">
        <f aca="false">IF(LEFT(B809,10)="Arsenal v ",MID(B809,11,100),LEFT(B809,FIND(" v ",B809)-1))</f>
        <v>Southampton</v>
      </c>
      <c r="I809" s="2" t="str">
        <f aca="false">IF(F809&lt;&gt;"","N",IF(LEFT(B809,10)="Arsenal v ","H","A"))</f>
        <v>H</v>
      </c>
      <c r="J809" s="2"/>
    </row>
    <row r="810" customFormat="false" ht="15" hidden="false" customHeight="false" outlineLevel="0" collapsed="false">
      <c r="A810" s="3" t="n">
        <v>37752</v>
      </c>
      <c r="B810" s="2" t="s">
        <v>556</v>
      </c>
      <c r="C810" s="2" t="s">
        <v>702</v>
      </c>
      <c r="D810" s="2" t="s">
        <v>365</v>
      </c>
      <c r="E810" s="2" t="s">
        <v>356</v>
      </c>
      <c r="F810" s="2"/>
      <c r="G810" s="2" t="s">
        <v>135</v>
      </c>
      <c r="H810" s="2" t="str">
        <f aca="false">IF(LEFT(B810,10)="Arsenal v ",MID(B810,11,100),LEFT(B810,FIND(" v ",B810)-1))</f>
        <v>Sunderland</v>
      </c>
      <c r="I810" s="2" t="str">
        <f aca="false">IF(F810&lt;&gt;"","N",IF(LEFT(B810,10)="Arsenal v ","H","A"))</f>
        <v>A</v>
      </c>
      <c r="J810" s="2"/>
    </row>
    <row r="811" customFormat="false" ht="15" hidden="false" customHeight="false" outlineLevel="0" collapsed="false">
      <c r="A811" s="3" t="n">
        <v>37758</v>
      </c>
      <c r="B811" s="2" t="s">
        <v>705</v>
      </c>
      <c r="C811" s="2" t="s">
        <v>702</v>
      </c>
      <c r="D811" s="2" t="s">
        <v>348</v>
      </c>
      <c r="E811" s="2" t="s">
        <v>362</v>
      </c>
      <c r="F811" s="2" t="s">
        <v>689</v>
      </c>
      <c r="G811" s="2" t="s">
        <v>135</v>
      </c>
      <c r="H811" s="2" t="str">
        <f aca="false">IF(LEFT(B811,10)="Arsenal v ",MID(B811,11,100),LEFT(B811,FIND(" v ",B811)-1))</f>
        <v>Southampton</v>
      </c>
      <c r="I811" s="2" t="str">
        <f aca="false">IF(F811&lt;&gt;"","N",IF(LEFT(B811,10)="Arsenal v ","H","A"))</f>
        <v>N</v>
      </c>
      <c r="J811" s="2"/>
    </row>
    <row r="812" customFormat="false" ht="15" hidden="false" customHeight="false" outlineLevel="0" collapsed="false">
      <c r="A812" s="3" t="n">
        <v>37843</v>
      </c>
      <c r="B812" s="2" t="s">
        <v>490</v>
      </c>
      <c r="C812" s="2" t="s">
        <v>704</v>
      </c>
      <c r="D812" s="2" t="s">
        <v>794</v>
      </c>
      <c r="E812" s="2" t="s">
        <v>787</v>
      </c>
      <c r="F812" s="2" t="s">
        <v>689</v>
      </c>
      <c r="G812" s="2" t="s">
        <v>91</v>
      </c>
      <c r="H812" s="2" t="str">
        <f aca="false">IF(LEFT(B812,10)="Arsenal v ",MID(B812,11,100),LEFT(B812,FIND(" v ",B812)-1))</f>
        <v>Manchester United</v>
      </c>
      <c r="I812" s="2" t="str">
        <f aca="false">IF(F812&lt;&gt;"","N",IF(LEFT(B812,10)="Arsenal v ","H","A"))</f>
        <v>N</v>
      </c>
      <c r="J812" s="2"/>
    </row>
    <row r="813" customFormat="false" ht="15" hidden="false" customHeight="false" outlineLevel="0" collapsed="false">
      <c r="A813" s="3" t="n">
        <v>37849</v>
      </c>
      <c r="B813" s="2" t="s">
        <v>718</v>
      </c>
      <c r="C813" s="2" t="s">
        <v>702</v>
      </c>
      <c r="D813" s="2" t="s">
        <v>359</v>
      </c>
      <c r="E813" s="2" t="s">
        <v>356</v>
      </c>
      <c r="F813" s="2"/>
      <c r="G813" s="2" t="s">
        <v>91</v>
      </c>
      <c r="H813" s="2" t="str">
        <f aca="false">IF(LEFT(B813,10)="Arsenal v ",MID(B813,11,100),LEFT(B813,FIND(" v ",B813)-1))</f>
        <v>Everton</v>
      </c>
      <c r="I813" s="2" t="str">
        <f aca="false">IF(F813&lt;&gt;"","N",IF(LEFT(B813,10)="Arsenal v ","H","A"))</f>
        <v>H</v>
      </c>
      <c r="J813" s="2"/>
    </row>
    <row r="814" customFormat="false" ht="15" hidden="false" customHeight="false" outlineLevel="0" collapsed="false">
      <c r="A814" s="3" t="n">
        <v>37857</v>
      </c>
      <c r="B814" s="2" t="s">
        <v>494</v>
      </c>
      <c r="C814" s="2" t="s">
        <v>702</v>
      </c>
      <c r="D814" s="2" t="s">
        <v>365</v>
      </c>
      <c r="E814" s="2" t="s">
        <v>356</v>
      </c>
      <c r="F814" s="2"/>
      <c r="G814" s="2" t="s">
        <v>91</v>
      </c>
      <c r="H814" s="2" t="str">
        <f aca="false">IF(LEFT(B814,10)="Arsenal v ",MID(B814,11,100),LEFT(B814,FIND(" v ",B814)-1))</f>
        <v>Middlesbrough</v>
      </c>
      <c r="I814" s="2" t="str">
        <f aca="false">IF(F814&lt;&gt;"","N",IF(LEFT(B814,10)="Arsenal v ","H","A"))</f>
        <v>A</v>
      </c>
      <c r="J814" s="2"/>
    </row>
    <row r="815" customFormat="false" ht="15" hidden="false" customHeight="false" outlineLevel="0" collapsed="false">
      <c r="A815" s="3" t="n">
        <v>37860</v>
      </c>
      <c r="B815" s="2" t="s">
        <v>703</v>
      </c>
      <c r="C815" s="2" t="s">
        <v>702</v>
      </c>
      <c r="D815" s="2" t="s">
        <v>351</v>
      </c>
      <c r="E815" s="2" t="s">
        <v>356</v>
      </c>
      <c r="F815" s="2"/>
      <c r="G815" s="2" t="s">
        <v>91</v>
      </c>
      <c r="H815" s="2" t="str">
        <f aca="false">IF(LEFT(B815,10)="Arsenal v ",MID(B815,11,100),LEFT(B815,FIND(" v ",B815)-1))</f>
        <v>Aston Villa</v>
      </c>
      <c r="I815" s="2" t="str">
        <f aca="false">IF(F815&lt;&gt;"","N",IF(LEFT(B815,10)="Arsenal v ","H","A"))</f>
        <v>H</v>
      </c>
      <c r="J815" s="2"/>
    </row>
    <row r="816" customFormat="false" ht="15" hidden="false" customHeight="false" outlineLevel="0" collapsed="false">
      <c r="A816" s="3" t="n">
        <v>37864</v>
      </c>
      <c r="B816" s="2" t="s">
        <v>487</v>
      </c>
      <c r="C816" s="2" t="s">
        <v>702</v>
      </c>
      <c r="D816" s="2" t="s">
        <v>360</v>
      </c>
      <c r="E816" s="2" t="s">
        <v>356</v>
      </c>
      <c r="F816" s="2"/>
      <c r="G816" s="2" t="s">
        <v>91</v>
      </c>
      <c r="H816" s="2" t="str">
        <f aca="false">IF(LEFT(B816,10)="Arsenal v ",MID(B816,11,100),LEFT(B816,FIND(" v ",B816)-1))</f>
        <v>Manchester City</v>
      </c>
      <c r="I816" s="2" t="str">
        <f aca="false">IF(F816&lt;&gt;"","N",IF(LEFT(B816,10)="Arsenal v ","H","A"))</f>
        <v>A</v>
      </c>
      <c r="J816" s="2"/>
    </row>
    <row r="817" customFormat="false" ht="15" hidden="false" customHeight="false" outlineLevel="0" collapsed="false">
      <c r="A817" s="3" t="n">
        <v>37877</v>
      </c>
      <c r="B817" s="2" t="s">
        <v>795</v>
      </c>
      <c r="C817" s="2" t="s">
        <v>706</v>
      </c>
      <c r="D817" s="2" t="s">
        <v>361</v>
      </c>
      <c r="E817" s="2" t="s">
        <v>356</v>
      </c>
      <c r="F817" s="2"/>
      <c r="G817" s="2" t="s">
        <v>91</v>
      </c>
      <c r="H817" s="2" t="str">
        <f aca="false">IF(LEFT(B817,10)="Arsenal v ",MID(B817,11,100),LEFT(B817,FIND(" v ",B817)-1))</f>
        <v>Portsmouth</v>
      </c>
      <c r="I817" s="2" t="str">
        <f aca="false">IF(F817&lt;&gt;"","N",IF(LEFT(B817,10)="Arsenal v ","H","A"))</f>
        <v>H</v>
      </c>
      <c r="J817" s="2"/>
    </row>
    <row r="818" customFormat="false" ht="15" hidden="false" customHeight="false" outlineLevel="0" collapsed="false">
      <c r="A818" s="3" t="n">
        <v>37881</v>
      </c>
      <c r="B818" s="2" t="s">
        <v>796</v>
      </c>
      <c r="C818" s="2" t="s">
        <v>704</v>
      </c>
      <c r="D818" s="2" t="s">
        <v>363</v>
      </c>
      <c r="E818" s="2" t="s">
        <v>352</v>
      </c>
      <c r="F818" s="2"/>
      <c r="G818" s="2" t="s">
        <v>91</v>
      </c>
      <c r="H818" s="2" t="str">
        <f aca="false">IF(LEFT(B818,10)="Arsenal v ",MID(B818,11,100),LEFT(B818,FIND(" v ",B818)-1))</f>
        <v>Inter Milano</v>
      </c>
      <c r="I818" s="2" t="str">
        <f aca="false">IF(F818&lt;&gt;"","N",IF(LEFT(B818,10)="Arsenal v ","H","A"))</f>
        <v>H</v>
      </c>
      <c r="J818" s="2"/>
    </row>
    <row r="819" customFormat="false" ht="15" hidden="false" customHeight="false" outlineLevel="0" collapsed="false">
      <c r="A819" s="3" t="n">
        <v>37885</v>
      </c>
      <c r="B819" s="2" t="s">
        <v>490</v>
      </c>
      <c r="C819" s="2" t="s">
        <v>706</v>
      </c>
      <c r="D819" s="2" t="s">
        <v>369</v>
      </c>
      <c r="E819" s="2" t="s">
        <v>356</v>
      </c>
      <c r="F819" s="2"/>
      <c r="G819" s="2" t="s">
        <v>91</v>
      </c>
      <c r="H819" s="2" t="str">
        <f aca="false">IF(LEFT(B819,10)="Arsenal v ",MID(B819,11,100),LEFT(B819,FIND(" v ",B819)-1))</f>
        <v>Manchester United</v>
      </c>
      <c r="I819" s="2" t="str">
        <f aca="false">IF(F819&lt;&gt;"","N",IF(LEFT(B819,10)="Arsenal v ","H","A"))</f>
        <v>A</v>
      </c>
      <c r="J819" s="2"/>
    </row>
    <row r="820" customFormat="false" ht="15" hidden="false" customHeight="false" outlineLevel="0" collapsed="false">
      <c r="A820" s="3" t="n">
        <v>37890</v>
      </c>
      <c r="B820" s="2" t="s">
        <v>719</v>
      </c>
      <c r="C820" s="2" t="s">
        <v>702</v>
      </c>
      <c r="D820" s="2" t="s">
        <v>382</v>
      </c>
      <c r="E820" s="2" t="s">
        <v>356</v>
      </c>
      <c r="F820" s="2"/>
      <c r="G820" s="2" t="s">
        <v>91</v>
      </c>
      <c r="H820" s="2" t="str">
        <f aca="false">IF(LEFT(B820,10)="Arsenal v ",MID(B820,11,100),LEFT(B820,FIND(" v ",B820)-1))</f>
        <v>Newcastle United</v>
      </c>
      <c r="I820" s="2" t="str">
        <f aca="false">IF(F820&lt;&gt;"","N",IF(LEFT(B820,10)="Arsenal v ","H","A"))</f>
        <v>H</v>
      </c>
      <c r="J820" s="2"/>
    </row>
    <row r="821" customFormat="false" ht="15" hidden="false" customHeight="false" outlineLevel="0" collapsed="false">
      <c r="A821" s="3" t="n">
        <v>37894</v>
      </c>
      <c r="B821" s="2" t="s">
        <v>484</v>
      </c>
      <c r="C821" s="2" t="s">
        <v>706</v>
      </c>
      <c r="D821" s="2" t="s">
        <v>369</v>
      </c>
      <c r="E821" s="2" t="s">
        <v>352</v>
      </c>
      <c r="F821" s="2"/>
      <c r="G821" s="2" t="s">
        <v>91</v>
      </c>
      <c r="H821" s="2" t="str">
        <f aca="false">IF(LEFT(B821,10)="Arsenal v ",MID(B821,11,100),LEFT(B821,FIND(" v ",B821)-1))</f>
        <v>Lokomotiv Moskva</v>
      </c>
      <c r="I821" s="2" t="str">
        <f aca="false">IF(F821&lt;&gt;"","N",IF(LEFT(B821,10)="Arsenal v ","H","A"))</f>
        <v>A</v>
      </c>
      <c r="J821" s="2"/>
    </row>
    <row r="822" customFormat="false" ht="15" hidden="false" customHeight="false" outlineLevel="0" collapsed="false">
      <c r="A822" s="3" t="n">
        <v>37898</v>
      </c>
      <c r="B822" s="2" t="s">
        <v>477</v>
      </c>
      <c r="C822" s="2" t="s">
        <v>702</v>
      </c>
      <c r="D822" s="2" t="s">
        <v>360</v>
      </c>
      <c r="E822" s="2" t="s">
        <v>356</v>
      </c>
      <c r="F822" s="2"/>
      <c r="G822" s="2" t="s">
        <v>91</v>
      </c>
      <c r="H822" s="2" t="str">
        <f aca="false">IF(LEFT(B822,10)="Arsenal v ",MID(B822,11,100),LEFT(B822,FIND(" v ",B822)-1))</f>
        <v>Liverpool</v>
      </c>
      <c r="I822" s="2" t="str">
        <f aca="false">IF(F822&lt;&gt;"","N",IF(LEFT(B822,10)="Arsenal v ","H","A"))</f>
        <v>A</v>
      </c>
      <c r="J822" s="2"/>
    </row>
    <row r="823" customFormat="false" ht="15" hidden="false" customHeight="false" outlineLevel="0" collapsed="false">
      <c r="A823" s="3" t="n">
        <v>37912</v>
      </c>
      <c r="B823" s="2" t="s">
        <v>725</v>
      </c>
      <c r="C823" s="2" t="s">
        <v>702</v>
      </c>
      <c r="D823" s="2" t="s">
        <v>359</v>
      </c>
      <c r="E823" s="2" t="s">
        <v>356</v>
      </c>
      <c r="F823" s="2"/>
      <c r="G823" s="2" t="s">
        <v>91</v>
      </c>
      <c r="H823" s="2" t="str">
        <f aca="false">IF(LEFT(B823,10)="Arsenal v ",MID(B823,11,100),LEFT(B823,FIND(" v ",B823)-1))</f>
        <v>Chelsea</v>
      </c>
      <c r="I823" s="2" t="str">
        <f aca="false">IF(F823&lt;&gt;"","N",IF(LEFT(B823,10)="Arsenal v ","H","A"))</f>
        <v>H</v>
      </c>
      <c r="J823" s="2"/>
    </row>
    <row r="824" customFormat="false" ht="15" hidden="false" customHeight="false" outlineLevel="0" collapsed="false">
      <c r="A824" s="3" t="n">
        <v>37915</v>
      </c>
      <c r="B824" s="2" t="s">
        <v>446</v>
      </c>
      <c r="C824" s="2" t="s">
        <v>704</v>
      </c>
      <c r="D824" s="2" t="s">
        <v>359</v>
      </c>
      <c r="E824" s="2" t="s">
        <v>352</v>
      </c>
      <c r="F824" s="2"/>
      <c r="G824" s="2" t="s">
        <v>91</v>
      </c>
      <c r="H824" s="2" t="str">
        <f aca="false">IF(LEFT(B824,10)="Arsenal v ",MID(B824,11,100),LEFT(B824,FIND(" v ",B824)-1))</f>
        <v>Dynamo Kiev</v>
      </c>
      <c r="I824" s="2" t="str">
        <f aca="false">IF(F824&lt;&gt;"","N",IF(LEFT(B824,10)="Arsenal v ","H","A"))</f>
        <v>A</v>
      </c>
      <c r="J824" s="2"/>
    </row>
    <row r="825" customFormat="false" ht="15" hidden="false" customHeight="false" outlineLevel="0" collapsed="false">
      <c r="A825" s="3" t="n">
        <v>37920</v>
      </c>
      <c r="B825" s="2" t="s">
        <v>425</v>
      </c>
      <c r="C825" s="2" t="s">
        <v>706</v>
      </c>
      <c r="D825" s="2" t="s">
        <v>361</v>
      </c>
      <c r="E825" s="2" t="s">
        <v>356</v>
      </c>
      <c r="F825" s="2"/>
      <c r="G825" s="2" t="s">
        <v>91</v>
      </c>
      <c r="H825" s="2" t="str">
        <f aca="false">IF(LEFT(B825,10)="Arsenal v ",MID(B825,11,100),LEFT(B825,FIND(" v ",B825)-1))</f>
        <v>Charlton Athletic</v>
      </c>
      <c r="I825" s="2" t="str">
        <f aca="false">IF(F825&lt;&gt;"","N",IF(LEFT(B825,10)="Arsenal v ","H","A"))</f>
        <v>A</v>
      </c>
      <c r="J825" s="2"/>
    </row>
    <row r="826" customFormat="false" ht="15" hidden="false" customHeight="false" outlineLevel="0" collapsed="false">
      <c r="A826" s="3" t="n">
        <v>37922</v>
      </c>
      <c r="B826" s="2" t="s">
        <v>797</v>
      </c>
      <c r="C826" s="2" t="s">
        <v>702</v>
      </c>
      <c r="D826" s="2" t="s">
        <v>798</v>
      </c>
      <c r="E826" s="2" t="s">
        <v>379</v>
      </c>
      <c r="F826" s="2"/>
      <c r="G826" s="2" t="s">
        <v>91</v>
      </c>
      <c r="H826" s="2" t="str">
        <f aca="false">IF(LEFT(B826,10)="Arsenal v ",MID(B826,11,100),LEFT(B826,FIND(" v ",B826)-1))</f>
        <v>Rotherham United</v>
      </c>
      <c r="I826" s="2" t="str">
        <f aca="false">IF(F826&lt;&gt;"","N",IF(LEFT(B826,10)="Arsenal v ","H","A"))</f>
        <v>H</v>
      </c>
      <c r="J826" s="2"/>
    </row>
    <row r="827" customFormat="false" ht="15" hidden="false" customHeight="false" outlineLevel="0" collapsed="false">
      <c r="A827" s="3" t="n">
        <v>37926</v>
      </c>
      <c r="B827" s="2" t="s">
        <v>473</v>
      </c>
      <c r="C827" s="2" t="s">
        <v>702</v>
      </c>
      <c r="D827" s="2" t="s">
        <v>407</v>
      </c>
      <c r="E827" s="2" t="s">
        <v>356</v>
      </c>
      <c r="F827" s="2"/>
      <c r="G827" s="2" t="s">
        <v>91</v>
      </c>
      <c r="H827" s="2" t="str">
        <f aca="false">IF(LEFT(B827,10)="Arsenal v ",MID(B827,11,100),LEFT(B827,FIND(" v ",B827)-1))</f>
        <v>Leeds United</v>
      </c>
      <c r="I827" s="2" t="str">
        <f aca="false">IF(F827&lt;&gt;"","N",IF(LEFT(B827,10)="Arsenal v ","H","A"))</f>
        <v>A</v>
      </c>
      <c r="J827" s="2"/>
    </row>
    <row r="828" customFormat="false" ht="15" hidden="false" customHeight="false" outlineLevel="0" collapsed="false">
      <c r="A828" s="3" t="n">
        <v>37930</v>
      </c>
      <c r="B828" s="2" t="s">
        <v>661</v>
      </c>
      <c r="C828" s="2" t="s">
        <v>702</v>
      </c>
      <c r="D828" s="2" t="s">
        <v>348</v>
      </c>
      <c r="E828" s="2" t="s">
        <v>352</v>
      </c>
      <c r="F828" s="2"/>
      <c r="G828" s="2" t="s">
        <v>91</v>
      </c>
      <c r="H828" s="2" t="str">
        <f aca="false">IF(LEFT(B828,10)="Arsenal v ",MID(B828,11,100),LEFT(B828,FIND(" v ",B828)-1))</f>
        <v>Dynamo Kiev</v>
      </c>
      <c r="I828" s="2" t="str">
        <f aca="false">IF(F828&lt;&gt;"","N",IF(LEFT(B828,10)="Arsenal v ","H","A"))</f>
        <v>H</v>
      </c>
      <c r="J828" s="2"/>
    </row>
    <row r="829" customFormat="false" ht="15" hidden="false" customHeight="false" outlineLevel="0" collapsed="false">
      <c r="A829" s="3" t="n">
        <v>37933</v>
      </c>
      <c r="B829" s="2" t="s">
        <v>655</v>
      </c>
      <c r="C829" s="2" t="s">
        <v>702</v>
      </c>
      <c r="D829" s="2" t="s">
        <v>359</v>
      </c>
      <c r="E829" s="2" t="s">
        <v>356</v>
      </c>
      <c r="F829" s="2"/>
      <c r="G829" s="2" t="s">
        <v>91</v>
      </c>
      <c r="H829" s="2" t="str">
        <f aca="false">IF(LEFT(B829,10)="Arsenal v ",MID(B829,11,100),LEFT(B829,FIND(" v ",B829)-1))</f>
        <v>Tottenham Hotspur</v>
      </c>
      <c r="I829" s="2" t="str">
        <f aca="false">IF(F829&lt;&gt;"","N",IF(LEFT(B829,10)="Arsenal v ","H","A"))</f>
        <v>H</v>
      </c>
      <c r="J829" s="2"/>
    </row>
    <row r="830" customFormat="false" ht="15" hidden="false" customHeight="false" outlineLevel="0" collapsed="false">
      <c r="A830" s="3" t="n">
        <v>37947</v>
      </c>
      <c r="B830" s="2" t="s">
        <v>405</v>
      </c>
      <c r="C830" s="2" t="s">
        <v>702</v>
      </c>
      <c r="D830" s="2" t="s">
        <v>363</v>
      </c>
      <c r="E830" s="2" t="s">
        <v>356</v>
      </c>
      <c r="F830" s="2"/>
      <c r="G830" s="2" t="s">
        <v>91</v>
      </c>
      <c r="H830" s="2" t="str">
        <f aca="false">IF(LEFT(B830,10)="Arsenal v ",MID(B830,11,100),LEFT(B830,FIND(" v ",B830)-1))</f>
        <v>Birmingham City</v>
      </c>
      <c r="I830" s="2" t="str">
        <f aca="false">IF(F830&lt;&gt;"","N",IF(LEFT(B830,10)="Arsenal v ","H","A"))</f>
        <v>A</v>
      </c>
      <c r="J830" s="2"/>
    </row>
    <row r="831" customFormat="false" ht="15" hidden="false" customHeight="false" outlineLevel="0" collapsed="false">
      <c r="A831" s="3" t="n">
        <v>37950</v>
      </c>
      <c r="B831" s="2" t="s">
        <v>468</v>
      </c>
      <c r="C831" s="2" t="s">
        <v>702</v>
      </c>
      <c r="D831" s="2" t="s">
        <v>435</v>
      </c>
      <c r="E831" s="2" t="s">
        <v>352</v>
      </c>
      <c r="F831" s="2"/>
      <c r="G831" s="2" t="s">
        <v>91</v>
      </c>
      <c r="H831" s="2" t="str">
        <f aca="false">IF(LEFT(B831,10)="Arsenal v ",MID(B831,11,100),LEFT(B831,FIND(" v ",B831)-1))</f>
        <v>Inter Milano</v>
      </c>
      <c r="I831" s="2" t="str">
        <f aca="false">IF(F831&lt;&gt;"","N",IF(LEFT(B831,10)="Arsenal v ","H","A"))</f>
        <v>A</v>
      </c>
      <c r="J831" s="2"/>
    </row>
    <row r="832" customFormat="false" ht="15" hidden="false" customHeight="false" outlineLevel="0" collapsed="false">
      <c r="A832" s="3" t="n">
        <v>37955</v>
      </c>
      <c r="B832" s="2" t="s">
        <v>784</v>
      </c>
      <c r="C832" s="2" t="s">
        <v>706</v>
      </c>
      <c r="D832" s="2" t="s">
        <v>369</v>
      </c>
      <c r="E832" s="2" t="s">
        <v>356</v>
      </c>
      <c r="F832" s="2"/>
      <c r="G832" s="2" t="s">
        <v>91</v>
      </c>
      <c r="H832" s="2" t="str">
        <f aca="false">IF(LEFT(B832,10)="Arsenal v ",MID(B832,11,100),LEFT(B832,FIND(" v ",B832)-1))</f>
        <v>Fulham</v>
      </c>
      <c r="I832" s="2" t="str">
        <f aca="false">IF(F832&lt;&gt;"","N",IF(LEFT(B832,10)="Arsenal v ","H","A"))</f>
        <v>H</v>
      </c>
      <c r="J832" s="2"/>
    </row>
    <row r="833" customFormat="false" ht="15" hidden="false" customHeight="false" outlineLevel="0" collapsed="false">
      <c r="A833" s="3" t="n">
        <v>37957</v>
      </c>
      <c r="B833" s="2" t="s">
        <v>762</v>
      </c>
      <c r="C833" s="2" t="s">
        <v>702</v>
      </c>
      <c r="D833" s="2" t="s">
        <v>401</v>
      </c>
      <c r="E833" s="2" t="s">
        <v>379</v>
      </c>
      <c r="F833" s="2"/>
      <c r="G833" s="2" t="s">
        <v>91</v>
      </c>
      <c r="H833" s="2" t="str">
        <f aca="false">IF(LEFT(B833,10)="Arsenal v ",MID(B833,11,100),LEFT(B833,FIND(" v ",B833)-1))</f>
        <v>Wolverhampton Wanderers</v>
      </c>
      <c r="I833" s="2" t="str">
        <f aca="false">IF(F833&lt;&gt;"","N",IF(LEFT(B833,10)="Arsenal v ","H","A"))</f>
        <v>H</v>
      </c>
      <c r="J833" s="2"/>
    </row>
    <row r="834" customFormat="false" ht="15" hidden="false" customHeight="false" outlineLevel="0" collapsed="false">
      <c r="A834" s="3" t="n">
        <v>37961</v>
      </c>
      <c r="B834" s="2" t="s">
        <v>474</v>
      </c>
      <c r="C834" s="2" t="s">
        <v>706</v>
      </c>
      <c r="D834" s="2" t="s">
        <v>361</v>
      </c>
      <c r="E834" s="2" t="s">
        <v>356</v>
      </c>
      <c r="F834" s="2"/>
      <c r="G834" s="2" t="s">
        <v>91</v>
      </c>
      <c r="H834" s="2" t="str">
        <f aca="false">IF(LEFT(B834,10)="Arsenal v ",MID(B834,11,100),LEFT(B834,FIND(" v ",B834)-1))</f>
        <v>Leicester City</v>
      </c>
      <c r="I834" s="2" t="str">
        <f aca="false">IF(F834&lt;&gt;"","N",IF(LEFT(B834,10)="Arsenal v ","H","A"))</f>
        <v>A</v>
      </c>
      <c r="J834" s="2"/>
    </row>
    <row r="835" customFormat="false" ht="15" hidden="false" customHeight="false" outlineLevel="0" collapsed="false">
      <c r="A835" s="3" t="n">
        <v>37965</v>
      </c>
      <c r="B835" s="2" t="s">
        <v>799</v>
      </c>
      <c r="C835" s="2" t="s">
        <v>702</v>
      </c>
      <c r="D835" s="2" t="s">
        <v>351</v>
      </c>
      <c r="E835" s="2" t="s">
        <v>352</v>
      </c>
      <c r="F835" s="2"/>
      <c r="G835" s="2" t="s">
        <v>91</v>
      </c>
      <c r="H835" s="2" t="str">
        <f aca="false">IF(LEFT(B835,10)="Arsenal v ",MID(B835,11,100),LEFT(B835,FIND(" v ",B835)-1))</f>
        <v>Lokomotiv Moskva</v>
      </c>
      <c r="I835" s="2" t="str">
        <f aca="false">IF(F835&lt;&gt;"","N",IF(LEFT(B835,10)="Arsenal v ","H","A"))</f>
        <v>H</v>
      </c>
      <c r="J835" s="2"/>
    </row>
    <row r="836" customFormat="false" ht="15" hidden="false" customHeight="false" outlineLevel="0" collapsed="false">
      <c r="A836" s="3" t="n">
        <v>37969</v>
      </c>
      <c r="B836" s="2" t="s">
        <v>737</v>
      </c>
      <c r="C836" s="2" t="s">
        <v>702</v>
      </c>
      <c r="D836" s="2" t="s">
        <v>348</v>
      </c>
      <c r="E836" s="2" t="s">
        <v>356</v>
      </c>
      <c r="F836" s="2"/>
      <c r="G836" s="2" t="s">
        <v>91</v>
      </c>
      <c r="H836" s="2" t="str">
        <f aca="false">IF(LEFT(B836,10)="Arsenal v ",MID(B836,11,100),LEFT(B836,FIND(" v ",B836)-1))</f>
        <v>Blackburn Rovers</v>
      </c>
      <c r="I836" s="2" t="str">
        <f aca="false">IF(F836&lt;&gt;"","N",IF(LEFT(B836,10)="Arsenal v ","H","A"))</f>
        <v>H</v>
      </c>
      <c r="J836" s="2"/>
    </row>
    <row r="837" customFormat="false" ht="15" hidden="false" customHeight="false" outlineLevel="0" collapsed="false">
      <c r="A837" s="3" t="n">
        <v>37971</v>
      </c>
      <c r="B837" s="2" t="s">
        <v>571</v>
      </c>
      <c r="C837" s="2" t="s">
        <v>702</v>
      </c>
      <c r="D837" s="2" t="s">
        <v>353</v>
      </c>
      <c r="E837" s="2" t="s">
        <v>379</v>
      </c>
      <c r="F837" s="2"/>
      <c r="G837" s="2" t="s">
        <v>91</v>
      </c>
      <c r="H837" s="2" t="str">
        <f aca="false">IF(LEFT(B837,10)="Arsenal v ",MID(B837,11,100),LEFT(B837,FIND(" v ",B837)-1))</f>
        <v>West Bromwich Albion</v>
      </c>
      <c r="I837" s="2" t="str">
        <f aca="false">IF(F837&lt;&gt;"","N",IF(LEFT(B837,10)="Arsenal v ","H","A"))</f>
        <v>A</v>
      </c>
      <c r="J837" s="2"/>
    </row>
    <row r="838" customFormat="false" ht="15" hidden="false" customHeight="false" outlineLevel="0" collapsed="false">
      <c r="A838" s="3" t="n">
        <v>37975</v>
      </c>
      <c r="B838" s="2" t="s">
        <v>410</v>
      </c>
      <c r="C838" s="2" t="s">
        <v>706</v>
      </c>
      <c r="D838" s="2" t="s">
        <v>361</v>
      </c>
      <c r="E838" s="2" t="s">
        <v>356</v>
      </c>
      <c r="F838" s="2"/>
      <c r="G838" s="2" t="s">
        <v>91</v>
      </c>
      <c r="H838" s="2" t="str">
        <f aca="false">IF(LEFT(B838,10)="Arsenal v ",MID(B838,11,100),LEFT(B838,FIND(" v ",B838)-1))</f>
        <v>Bolton Wanderers</v>
      </c>
      <c r="I838" s="2" t="str">
        <f aca="false">IF(F838&lt;&gt;"","N",IF(LEFT(B838,10)="Arsenal v ","H","A"))</f>
        <v>A</v>
      </c>
      <c r="J838" s="2"/>
    </row>
    <row r="839" customFormat="false" ht="15" hidden="false" customHeight="false" outlineLevel="0" collapsed="false">
      <c r="A839" s="3" t="n">
        <v>37981</v>
      </c>
      <c r="B839" s="2" t="s">
        <v>762</v>
      </c>
      <c r="C839" s="2" t="s">
        <v>702</v>
      </c>
      <c r="D839" s="2" t="s">
        <v>434</v>
      </c>
      <c r="E839" s="2" t="s">
        <v>356</v>
      </c>
      <c r="F839" s="2"/>
      <c r="G839" s="2" t="s">
        <v>91</v>
      </c>
      <c r="H839" s="2" t="str">
        <f aca="false">IF(LEFT(B839,10)="Arsenal v ",MID(B839,11,100),LEFT(B839,FIND(" v ",B839)-1))</f>
        <v>Wolverhampton Wanderers</v>
      </c>
      <c r="I839" s="2" t="str">
        <f aca="false">IF(F839&lt;&gt;"","N",IF(LEFT(B839,10)="Arsenal v ","H","A"))</f>
        <v>H</v>
      </c>
      <c r="J839" s="2"/>
    </row>
    <row r="840" customFormat="false" ht="15" hidden="false" customHeight="false" outlineLevel="0" collapsed="false">
      <c r="A840" s="3" t="n">
        <v>37984</v>
      </c>
      <c r="B840" s="2" t="s">
        <v>546</v>
      </c>
      <c r="C840" s="2" t="s">
        <v>702</v>
      </c>
      <c r="D840" s="2" t="s">
        <v>383</v>
      </c>
      <c r="E840" s="2" t="s">
        <v>356</v>
      </c>
      <c r="F840" s="2"/>
      <c r="G840" s="2" t="s">
        <v>91</v>
      </c>
      <c r="H840" s="2" t="str">
        <f aca="false">IF(LEFT(B840,10)="Arsenal v ",MID(B840,11,100),LEFT(B840,FIND(" v ",B840)-1))</f>
        <v>Southampton</v>
      </c>
      <c r="I840" s="2" t="str">
        <f aca="false">IF(F840&lt;&gt;"","N",IF(LEFT(B840,10)="Arsenal v ","H","A"))</f>
        <v>A</v>
      </c>
      <c r="J840" s="2"/>
    </row>
    <row r="841" customFormat="false" ht="15" hidden="false" customHeight="false" outlineLevel="0" collapsed="false">
      <c r="A841" s="3" t="n">
        <v>37990</v>
      </c>
      <c r="B841" s="2" t="s">
        <v>473</v>
      </c>
      <c r="C841" s="2" t="s">
        <v>702</v>
      </c>
      <c r="D841" s="2" t="s">
        <v>407</v>
      </c>
      <c r="E841" s="2" t="s">
        <v>362</v>
      </c>
      <c r="F841" s="2"/>
      <c r="G841" s="2" t="s">
        <v>91</v>
      </c>
      <c r="H841" s="2" t="str">
        <f aca="false">IF(LEFT(B841,10)="Arsenal v ",MID(B841,11,100),LEFT(B841,FIND(" v ",B841)-1))</f>
        <v>Leeds United</v>
      </c>
      <c r="I841" s="2" t="str">
        <f aca="false">IF(F841&lt;&gt;"","N",IF(LEFT(B841,10)="Arsenal v ","H","A"))</f>
        <v>A</v>
      </c>
      <c r="J841" s="2"/>
    </row>
    <row r="842" customFormat="false" ht="15" hidden="false" customHeight="false" outlineLevel="0" collapsed="false">
      <c r="A842" s="3" t="n">
        <v>37993</v>
      </c>
      <c r="B842" s="2" t="s">
        <v>448</v>
      </c>
      <c r="C842" s="2" t="s">
        <v>706</v>
      </c>
      <c r="D842" s="2" t="s">
        <v>361</v>
      </c>
      <c r="E842" s="2" t="s">
        <v>356</v>
      </c>
      <c r="F842" s="2"/>
      <c r="G842" s="2" t="s">
        <v>91</v>
      </c>
      <c r="H842" s="2" t="str">
        <f aca="false">IF(LEFT(B842,10)="Arsenal v ",MID(B842,11,100),LEFT(B842,FIND(" v ",B842)-1))</f>
        <v>Everton</v>
      </c>
      <c r="I842" s="2" t="str">
        <f aca="false">IF(F842&lt;&gt;"","N",IF(LEFT(B842,10)="Arsenal v ","H","A"))</f>
        <v>A</v>
      </c>
      <c r="J842" s="2"/>
    </row>
    <row r="843" customFormat="false" ht="15" hidden="false" customHeight="false" outlineLevel="0" collapsed="false">
      <c r="A843" s="3" t="n">
        <v>37996</v>
      </c>
      <c r="B843" s="2" t="s">
        <v>711</v>
      </c>
      <c r="C843" s="2" t="s">
        <v>702</v>
      </c>
      <c r="D843" s="2" t="s">
        <v>397</v>
      </c>
      <c r="E843" s="2" t="s">
        <v>356</v>
      </c>
      <c r="F843" s="2"/>
      <c r="G843" s="2" t="s">
        <v>91</v>
      </c>
      <c r="H843" s="2" t="str">
        <f aca="false">IF(LEFT(B843,10)="Arsenal v ",MID(B843,11,100),LEFT(B843,FIND(" v ",B843)-1))</f>
        <v>Middlesbrough</v>
      </c>
      <c r="I843" s="2" t="str">
        <f aca="false">IF(F843&lt;&gt;"","N",IF(LEFT(B843,10)="Arsenal v ","H","A"))</f>
        <v>H</v>
      </c>
      <c r="J843" s="2"/>
    </row>
    <row r="844" customFormat="false" ht="15" hidden="false" customHeight="false" outlineLevel="0" collapsed="false">
      <c r="A844" s="3" t="n">
        <v>38004</v>
      </c>
      <c r="B844" s="2" t="s">
        <v>376</v>
      </c>
      <c r="C844" s="2" t="s">
        <v>702</v>
      </c>
      <c r="D844" s="2" t="s">
        <v>353</v>
      </c>
      <c r="E844" s="2" t="s">
        <v>356</v>
      </c>
      <c r="F844" s="2"/>
      <c r="G844" s="2" t="s">
        <v>91</v>
      </c>
      <c r="H844" s="2" t="str">
        <f aca="false">IF(LEFT(B844,10)="Arsenal v ",MID(B844,11,100),LEFT(B844,FIND(" v ",B844)-1))</f>
        <v>Aston Villa</v>
      </c>
      <c r="I844" s="2" t="str">
        <f aca="false">IF(F844&lt;&gt;"","N",IF(LEFT(B844,10)="Arsenal v ","H","A"))</f>
        <v>A</v>
      </c>
      <c r="J844" s="2"/>
    </row>
    <row r="845" customFormat="false" ht="15" hidden="false" customHeight="false" outlineLevel="0" collapsed="false">
      <c r="A845" s="3" t="n">
        <v>38006</v>
      </c>
      <c r="B845" s="2" t="s">
        <v>711</v>
      </c>
      <c r="C845" s="2" t="s">
        <v>704</v>
      </c>
      <c r="D845" s="2" t="s">
        <v>383</v>
      </c>
      <c r="E845" s="2" t="s">
        <v>379</v>
      </c>
      <c r="F845" s="2"/>
      <c r="G845" s="2" t="s">
        <v>91</v>
      </c>
      <c r="H845" s="2" t="str">
        <f aca="false">IF(LEFT(B845,10)="Arsenal v ",MID(B845,11,100),LEFT(B845,FIND(" v ",B845)-1))</f>
        <v>Middlesbrough</v>
      </c>
      <c r="I845" s="2" t="str">
        <f aca="false">IF(F845&lt;&gt;"","N",IF(LEFT(B845,10)="Arsenal v ","H","A"))</f>
        <v>H</v>
      </c>
      <c r="J845" s="2"/>
    </row>
    <row r="846" customFormat="false" ht="15" hidden="false" customHeight="false" outlineLevel="0" collapsed="false">
      <c r="A846" s="3" t="n">
        <v>38010</v>
      </c>
      <c r="B846" s="2" t="s">
        <v>711</v>
      </c>
      <c r="C846" s="2" t="s">
        <v>702</v>
      </c>
      <c r="D846" s="2" t="s">
        <v>397</v>
      </c>
      <c r="E846" s="2" t="s">
        <v>362</v>
      </c>
      <c r="F846" s="2"/>
      <c r="G846" s="2" t="s">
        <v>91</v>
      </c>
      <c r="H846" s="2" t="str">
        <f aca="false">IF(LEFT(B846,10)="Arsenal v ",MID(B846,11,100),LEFT(B846,FIND(" v ",B846)-1))</f>
        <v>Middlesbrough</v>
      </c>
      <c r="I846" s="2" t="str">
        <f aca="false">IF(F846&lt;&gt;"","N",IF(LEFT(B846,10)="Arsenal v ","H","A"))</f>
        <v>H</v>
      </c>
      <c r="J846" s="2"/>
    </row>
    <row r="847" customFormat="false" ht="15" hidden="false" customHeight="false" outlineLevel="0" collapsed="false">
      <c r="A847" s="3" t="n">
        <v>38018</v>
      </c>
      <c r="B847" s="2" t="s">
        <v>657</v>
      </c>
      <c r="C847" s="2" t="s">
        <v>702</v>
      </c>
      <c r="D847" s="2" t="s">
        <v>359</v>
      </c>
      <c r="E847" s="2" t="s">
        <v>356</v>
      </c>
      <c r="F847" s="2"/>
      <c r="G847" s="2" t="s">
        <v>91</v>
      </c>
      <c r="H847" s="2" t="str">
        <f aca="false">IF(LEFT(B847,10)="Arsenal v ",MID(B847,11,100),LEFT(B847,FIND(" v ",B847)-1))</f>
        <v>Manchester City</v>
      </c>
      <c r="I847" s="2" t="str">
        <f aca="false">IF(F847&lt;&gt;"","N",IF(LEFT(B847,10)="Arsenal v ","H","A"))</f>
        <v>H</v>
      </c>
      <c r="J847" s="2"/>
    </row>
    <row r="848" customFormat="false" ht="15" hidden="false" customHeight="false" outlineLevel="0" collapsed="false">
      <c r="A848" s="3" t="n">
        <v>38020</v>
      </c>
      <c r="B848" s="2" t="s">
        <v>494</v>
      </c>
      <c r="C848" s="2" t="s">
        <v>704</v>
      </c>
      <c r="D848" s="2" t="s">
        <v>359</v>
      </c>
      <c r="E848" s="2" t="s">
        <v>379</v>
      </c>
      <c r="F848" s="2"/>
      <c r="G848" s="2" t="s">
        <v>91</v>
      </c>
      <c r="H848" s="2" t="str">
        <f aca="false">IF(LEFT(B848,10)="Arsenal v ",MID(B848,11,100),LEFT(B848,FIND(" v ",B848)-1))</f>
        <v>Middlesbrough</v>
      </c>
      <c r="I848" s="2" t="str">
        <f aca="false">IF(F848&lt;&gt;"","N",IF(LEFT(B848,10)="Arsenal v ","H","A"))</f>
        <v>A</v>
      </c>
      <c r="J848" s="2"/>
    </row>
    <row r="849" customFormat="false" ht="15" hidden="false" customHeight="false" outlineLevel="0" collapsed="false">
      <c r="A849" s="3" t="n">
        <v>38024</v>
      </c>
      <c r="B849" s="2" t="s">
        <v>575</v>
      </c>
      <c r="C849" s="2" t="s">
        <v>702</v>
      </c>
      <c r="D849" s="2" t="s">
        <v>373</v>
      </c>
      <c r="E849" s="2" t="s">
        <v>356</v>
      </c>
      <c r="F849" s="2"/>
      <c r="G849" s="2" t="s">
        <v>91</v>
      </c>
      <c r="H849" s="2" t="str">
        <f aca="false">IF(LEFT(B849,10)="Arsenal v ",MID(B849,11,100),LEFT(B849,FIND(" v ",B849)-1))</f>
        <v>Wolverhampton Wanderers</v>
      </c>
      <c r="I849" s="2" t="str">
        <f aca="false">IF(F849&lt;&gt;"","N",IF(LEFT(B849,10)="Arsenal v ","H","A"))</f>
        <v>A</v>
      </c>
      <c r="J849" s="2"/>
    </row>
    <row r="850" customFormat="false" ht="15" hidden="false" customHeight="false" outlineLevel="0" collapsed="false">
      <c r="A850" s="3" t="n">
        <v>38027</v>
      </c>
      <c r="B850" s="2" t="s">
        <v>705</v>
      </c>
      <c r="C850" s="2" t="s">
        <v>702</v>
      </c>
      <c r="D850" s="2" t="s">
        <v>351</v>
      </c>
      <c r="E850" s="2" t="s">
        <v>356</v>
      </c>
      <c r="F850" s="2"/>
      <c r="G850" s="2" t="s">
        <v>91</v>
      </c>
      <c r="H850" s="2" t="str">
        <f aca="false">IF(LEFT(B850,10)="Arsenal v ",MID(B850,11,100),LEFT(B850,FIND(" v ",B850)-1))</f>
        <v>Southampton</v>
      </c>
      <c r="I850" s="2" t="str">
        <f aca="false">IF(F850&lt;&gt;"","N",IF(LEFT(B850,10)="Arsenal v ","H","A"))</f>
        <v>H</v>
      </c>
      <c r="J850" s="2"/>
    </row>
    <row r="851" customFormat="false" ht="15" hidden="false" customHeight="false" outlineLevel="0" collapsed="false">
      <c r="A851" s="3" t="n">
        <v>38032</v>
      </c>
      <c r="B851" s="2" t="s">
        <v>725</v>
      </c>
      <c r="C851" s="2" t="s">
        <v>702</v>
      </c>
      <c r="D851" s="2" t="s">
        <v>359</v>
      </c>
      <c r="E851" s="2" t="s">
        <v>362</v>
      </c>
      <c r="F851" s="2"/>
      <c r="G851" s="2" t="s">
        <v>91</v>
      </c>
      <c r="H851" s="2" t="str">
        <f aca="false">IF(LEFT(B851,10)="Arsenal v ",MID(B851,11,100),LEFT(B851,FIND(" v ",B851)-1))</f>
        <v>Chelsea</v>
      </c>
      <c r="I851" s="2" t="str">
        <f aca="false">IF(F851&lt;&gt;"","N",IF(LEFT(B851,10)="Arsenal v ","H","A"))</f>
        <v>H</v>
      </c>
      <c r="J851" s="2"/>
    </row>
    <row r="852" customFormat="false" ht="15" hidden="false" customHeight="false" outlineLevel="0" collapsed="false">
      <c r="A852" s="3" t="n">
        <v>38038</v>
      </c>
      <c r="B852" s="2" t="s">
        <v>426</v>
      </c>
      <c r="C852" s="2" t="s">
        <v>702</v>
      </c>
      <c r="D852" s="2" t="s">
        <v>360</v>
      </c>
      <c r="E852" s="2" t="s">
        <v>356</v>
      </c>
      <c r="F852" s="2"/>
      <c r="G852" s="2" t="s">
        <v>91</v>
      </c>
      <c r="H852" s="2" t="str">
        <f aca="false">IF(LEFT(B852,10)="Arsenal v ",MID(B852,11,100),LEFT(B852,FIND(" v ",B852)-1))</f>
        <v>Chelsea</v>
      </c>
      <c r="I852" s="2" t="str">
        <f aca="false">IF(F852&lt;&gt;"","N",IF(LEFT(B852,10)="Arsenal v ","H","A"))</f>
        <v>A</v>
      </c>
      <c r="J852" s="2"/>
    </row>
    <row r="853" customFormat="false" ht="15" hidden="false" customHeight="false" outlineLevel="0" collapsed="false">
      <c r="A853" s="3" t="n">
        <v>38041</v>
      </c>
      <c r="B853" s="2" t="s">
        <v>423</v>
      </c>
      <c r="C853" s="2" t="s">
        <v>702</v>
      </c>
      <c r="D853" s="2" t="s">
        <v>366</v>
      </c>
      <c r="E853" s="2" t="s">
        <v>352</v>
      </c>
      <c r="F853" s="2"/>
      <c r="G853" s="2" t="s">
        <v>91</v>
      </c>
      <c r="H853" s="2" t="str">
        <f aca="false">IF(LEFT(B853,10)="Arsenal v ",MID(B853,11,100),LEFT(B853,FIND(" v ",B853)-1))</f>
        <v>Celta Vigo</v>
      </c>
      <c r="I853" s="2" t="str">
        <f aca="false">IF(F853&lt;&gt;"","N",IF(LEFT(B853,10)="Arsenal v ","H","A"))</f>
        <v>A</v>
      </c>
      <c r="J853" s="2"/>
    </row>
    <row r="854" customFormat="false" ht="15" hidden="false" customHeight="false" outlineLevel="0" collapsed="false">
      <c r="A854" s="3" t="n">
        <v>38045</v>
      </c>
      <c r="B854" s="2" t="s">
        <v>717</v>
      </c>
      <c r="C854" s="2" t="s">
        <v>702</v>
      </c>
      <c r="D854" s="2" t="s">
        <v>359</v>
      </c>
      <c r="E854" s="2" t="s">
        <v>356</v>
      </c>
      <c r="F854" s="2"/>
      <c r="G854" s="2" t="s">
        <v>91</v>
      </c>
      <c r="H854" s="2" t="str">
        <f aca="false">IF(LEFT(B854,10)="Arsenal v ",MID(B854,11,100),LEFT(B854,FIND(" v ",B854)-1))</f>
        <v>Charlton Athletic</v>
      </c>
      <c r="I854" s="2" t="str">
        <f aca="false">IF(F854&lt;&gt;"","N",IF(LEFT(B854,10)="Arsenal v ","H","A"))</f>
        <v>H</v>
      </c>
      <c r="J854" s="2"/>
    </row>
    <row r="855" customFormat="false" ht="15" hidden="false" customHeight="false" outlineLevel="0" collapsed="false">
      <c r="A855" s="3" t="n">
        <v>38052</v>
      </c>
      <c r="B855" s="2" t="s">
        <v>520</v>
      </c>
      <c r="C855" s="2" t="s">
        <v>702</v>
      </c>
      <c r="D855" s="2" t="s">
        <v>435</v>
      </c>
      <c r="E855" s="2" t="s">
        <v>362</v>
      </c>
      <c r="F855" s="2"/>
      <c r="G855" s="2" t="s">
        <v>91</v>
      </c>
      <c r="H855" s="2" t="str">
        <f aca="false">IF(LEFT(B855,10)="Arsenal v ",MID(B855,11,100),LEFT(B855,FIND(" v ",B855)-1))</f>
        <v>Portsmouth</v>
      </c>
      <c r="I855" s="2" t="str">
        <f aca="false">IF(F855&lt;&gt;"","N",IF(LEFT(B855,10)="Arsenal v ","H","A"))</f>
        <v>A</v>
      </c>
      <c r="J855" s="2"/>
    </row>
    <row r="856" customFormat="false" ht="15" hidden="false" customHeight="false" outlineLevel="0" collapsed="false">
      <c r="A856" s="3" t="n">
        <v>38056</v>
      </c>
      <c r="B856" s="2" t="s">
        <v>800</v>
      </c>
      <c r="C856" s="2" t="s">
        <v>702</v>
      </c>
      <c r="D856" s="2" t="s">
        <v>351</v>
      </c>
      <c r="E856" s="2" t="s">
        <v>352</v>
      </c>
      <c r="F856" s="2"/>
      <c r="G856" s="2" t="s">
        <v>91</v>
      </c>
      <c r="H856" s="2" t="str">
        <f aca="false">IF(LEFT(B856,10)="Arsenal v ",MID(B856,11,100),LEFT(B856,FIND(" v ",B856)-1))</f>
        <v>Celta Vigo</v>
      </c>
      <c r="I856" s="2" t="str">
        <f aca="false">IF(F856&lt;&gt;"","N",IF(LEFT(B856,10)="Arsenal v ","H","A"))</f>
        <v>H</v>
      </c>
      <c r="J856" s="2"/>
    </row>
    <row r="857" customFormat="false" ht="15" hidden="false" customHeight="false" outlineLevel="0" collapsed="false">
      <c r="A857" s="3" t="n">
        <v>38059</v>
      </c>
      <c r="B857" s="2" t="s">
        <v>406</v>
      </c>
      <c r="C857" s="2" t="s">
        <v>702</v>
      </c>
      <c r="D857" s="2" t="s">
        <v>353</v>
      </c>
      <c r="E857" s="2" t="s">
        <v>356</v>
      </c>
      <c r="F857" s="2"/>
      <c r="G857" s="2" t="s">
        <v>91</v>
      </c>
      <c r="H857" s="2" t="str">
        <f aca="false">IF(LEFT(B857,10)="Arsenal v ",MID(B857,11,100),LEFT(B857,FIND(" v ",B857)-1))</f>
        <v>Blackburn Rovers</v>
      </c>
      <c r="I857" s="2" t="str">
        <f aca="false">IF(F857&lt;&gt;"","N",IF(LEFT(B857,10)="Arsenal v ","H","A"))</f>
        <v>A</v>
      </c>
      <c r="J857" s="2"/>
    </row>
    <row r="858" customFormat="false" ht="15" hidden="false" customHeight="false" outlineLevel="0" collapsed="false">
      <c r="A858" s="3" t="n">
        <v>38066</v>
      </c>
      <c r="B858" s="2" t="s">
        <v>743</v>
      </c>
      <c r="C858" s="2" t="s">
        <v>702</v>
      </c>
      <c r="D858" s="2" t="s">
        <v>359</v>
      </c>
      <c r="E858" s="2" t="s">
        <v>356</v>
      </c>
      <c r="F858" s="2"/>
      <c r="G858" s="2" t="s">
        <v>91</v>
      </c>
      <c r="H858" s="2" t="str">
        <f aca="false">IF(LEFT(B858,10)="Arsenal v ",MID(B858,11,100),LEFT(B858,FIND(" v ",B858)-1))</f>
        <v>Bolton Wanderers</v>
      </c>
      <c r="I858" s="2" t="str">
        <f aca="false">IF(F858&lt;&gt;"","N",IF(LEFT(B858,10)="Arsenal v ","H","A"))</f>
        <v>H</v>
      </c>
      <c r="J858" s="2"/>
    </row>
    <row r="859" customFormat="false" ht="15" hidden="false" customHeight="false" outlineLevel="0" collapsed="false">
      <c r="A859" s="3" t="n">
        <v>38070</v>
      </c>
      <c r="B859" s="2" t="s">
        <v>426</v>
      </c>
      <c r="C859" s="2" t="s">
        <v>706</v>
      </c>
      <c r="D859" s="2" t="s">
        <v>361</v>
      </c>
      <c r="E859" s="2" t="s">
        <v>352</v>
      </c>
      <c r="F859" s="2"/>
      <c r="G859" s="2" t="s">
        <v>91</v>
      </c>
      <c r="H859" s="2" t="str">
        <f aca="false">IF(LEFT(B859,10)="Arsenal v ",MID(B859,11,100),LEFT(B859,FIND(" v ",B859)-1))</f>
        <v>Chelsea</v>
      </c>
      <c r="I859" s="2" t="str">
        <f aca="false">IF(F859&lt;&gt;"","N",IF(LEFT(B859,10)="Arsenal v ","H","A"))</f>
        <v>A</v>
      </c>
      <c r="J859" s="2"/>
    </row>
    <row r="860" customFormat="false" ht="15" hidden="false" customHeight="false" outlineLevel="0" collapsed="false">
      <c r="A860" s="3" t="n">
        <v>38074</v>
      </c>
      <c r="B860" s="2" t="s">
        <v>656</v>
      </c>
      <c r="C860" s="2" t="s">
        <v>706</v>
      </c>
      <c r="D860" s="2" t="s">
        <v>361</v>
      </c>
      <c r="E860" s="2" t="s">
        <v>356</v>
      </c>
      <c r="F860" s="2"/>
      <c r="G860" s="2" t="s">
        <v>91</v>
      </c>
      <c r="H860" s="2" t="str">
        <f aca="false">IF(LEFT(B860,10)="Arsenal v ",MID(B860,11,100),LEFT(B860,FIND(" v ",B860)-1))</f>
        <v>Manchester United</v>
      </c>
      <c r="I860" s="2" t="str">
        <f aca="false">IF(F860&lt;&gt;"","N",IF(LEFT(B860,10)="Arsenal v ","H","A"))</f>
        <v>H</v>
      </c>
      <c r="J860" s="2"/>
    </row>
    <row r="861" customFormat="false" ht="15" hidden="false" customHeight="false" outlineLevel="0" collapsed="false">
      <c r="A861" s="3" t="n">
        <v>38080</v>
      </c>
      <c r="B861" s="2" t="s">
        <v>656</v>
      </c>
      <c r="C861" s="2" t="s">
        <v>704</v>
      </c>
      <c r="D861" s="2" t="s">
        <v>383</v>
      </c>
      <c r="E861" s="2" t="s">
        <v>362</v>
      </c>
      <c r="F861" s="2" t="s">
        <v>608</v>
      </c>
      <c r="G861" s="2" t="s">
        <v>91</v>
      </c>
      <c r="H861" s="2" t="str">
        <f aca="false">IF(LEFT(B861,10)="Arsenal v ",MID(B861,11,100),LEFT(B861,FIND(" v ",B861)-1))</f>
        <v>Manchester United</v>
      </c>
      <c r="I861" s="2" t="str">
        <f aca="false">IF(F861&lt;&gt;"","N",IF(LEFT(B861,10)="Arsenal v ","H","A"))</f>
        <v>N</v>
      </c>
      <c r="J861" s="2"/>
    </row>
    <row r="862" customFormat="false" ht="15" hidden="false" customHeight="false" outlineLevel="0" collapsed="false">
      <c r="A862" s="3" t="n">
        <v>38083</v>
      </c>
      <c r="B862" s="2" t="s">
        <v>725</v>
      </c>
      <c r="C862" s="2" t="s">
        <v>704</v>
      </c>
      <c r="D862" s="2" t="s">
        <v>360</v>
      </c>
      <c r="E862" s="2" t="s">
        <v>352</v>
      </c>
      <c r="F862" s="2"/>
      <c r="G862" s="2" t="s">
        <v>91</v>
      </c>
      <c r="H862" s="2" t="str">
        <f aca="false">IF(LEFT(B862,10)="Arsenal v ",MID(B862,11,100),LEFT(B862,FIND(" v ",B862)-1))</f>
        <v>Chelsea</v>
      </c>
      <c r="I862" s="2" t="str">
        <f aca="false">IF(F862&lt;&gt;"","N",IF(LEFT(B862,10)="Arsenal v ","H","A"))</f>
        <v>H</v>
      </c>
      <c r="J862" s="2"/>
    </row>
    <row r="863" customFormat="false" ht="15" hidden="false" customHeight="false" outlineLevel="0" collapsed="false">
      <c r="A863" s="3" t="n">
        <v>38086</v>
      </c>
      <c r="B863" s="2" t="s">
        <v>710</v>
      </c>
      <c r="C863" s="2" t="s">
        <v>702</v>
      </c>
      <c r="D863" s="2" t="s">
        <v>479</v>
      </c>
      <c r="E863" s="2" t="s">
        <v>356</v>
      </c>
      <c r="F863" s="2"/>
      <c r="G863" s="2" t="s">
        <v>91</v>
      </c>
      <c r="H863" s="2" t="str">
        <f aca="false">IF(LEFT(B863,10)="Arsenal v ",MID(B863,11,100),LEFT(B863,FIND(" v ",B863)-1))</f>
        <v>Liverpool</v>
      </c>
      <c r="I863" s="2" t="str">
        <f aca="false">IF(F863&lt;&gt;"","N",IF(LEFT(B863,10)="Arsenal v ","H","A"))</f>
        <v>H</v>
      </c>
      <c r="J863" s="2"/>
    </row>
    <row r="864" customFormat="false" ht="15" hidden="false" customHeight="false" outlineLevel="0" collapsed="false">
      <c r="A864" s="3" t="n">
        <v>38088</v>
      </c>
      <c r="B864" s="2" t="s">
        <v>501</v>
      </c>
      <c r="C864" s="2" t="s">
        <v>706</v>
      </c>
      <c r="D864" s="2" t="s">
        <v>369</v>
      </c>
      <c r="E864" s="2" t="s">
        <v>356</v>
      </c>
      <c r="F864" s="2"/>
      <c r="G864" s="2" t="s">
        <v>91</v>
      </c>
      <c r="H864" s="2" t="str">
        <f aca="false">IF(LEFT(B864,10)="Arsenal v ",MID(B864,11,100),LEFT(B864,FIND(" v ",B864)-1))</f>
        <v>Newcastle United</v>
      </c>
      <c r="I864" s="2" t="str">
        <f aca="false">IF(F864&lt;&gt;"","N",IF(LEFT(B864,10)="Arsenal v ","H","A"))</f>
        <v>A</v>
      </c>
      <c r="J864" s="2"/>
    </row>
    <row r="865" customFormat="false" ht="15" hidden="false" customHeight="false" outlineLevel="0" collapsed="false">
      <c r="A865" s="3" t="n">
        <v>38093</v>
      </c>
      <c r="B865" s="2" t="s">
        <v>729</v>
      </c>
      <c r="C865" s="2" t="s">
        <v>702</v>
      </c>
      <c r="D865" s="2" t="s">
        <v>489</v>
      </c>
      <c r="E865" s="2" t="s">
        <v>356</v>
      </c>
      <c r="F865" s="2"/>
      <c r="G865" s="2" t="s">
        <v>91</v>
      </c>
      <c r="H865" s="2" t="str">
        <f aca="false">IF(LEFT(B865,10)="Arsenal v ",MID(B865,11,100),LEFT(B865,FIND(" v ",B865)-1))</f>
        <v>Leeds United</v>
      </c>
      <c r="I865" s="2" t="str">
        <f aca="false">IF(F865&lt;&gt;"","N",IF(LEFT(B865,10)="Arsenal v ","H","A"))</f>
        <v>H</v>
      </c>
      <c r="J865" s="2"/>
    </row>
    <row r="866" customFormat="false" ht="15" hidden="false" customHeight="false" outlineLevel="0" collapsed="false">
      <c r="A866" s="3" t="n">
        <v>38102</v>
      </c>
      <c r="B866" s="2" t="s">
        <v>561</v>
      </c>
      <c r="C866" s="2" t="s">
        <v>706</v>
      </c>
      <c r="D866" s="2" t="s">
        <v>380</v>
      </c>
      <c r="E866" s="2" t="s">
        <v>356</v>
      </c>
      <c r="F866" s="2"/>
      <c r="G866" s="2" t="s">
        <v>91</v>
      </c>
      <c r="H866" s="2" t="str">
        <f aca="false">IF(LEFT(B866,10)="Arsenal v ",MID(B866,11,100),LEFT(B866,FIND(" v ",B866)-1))</f>
        <v>Tottenham Hotspur</v>
      </c>
      <c r="I866" s="2" t="str">
        <f aca="false">IF(F866&lt;&gt;"","N",IF(LEFT(B866,10)="Arsenal v ","H","A"))</f>
        <v>A</v>
      </c>
      <c r="J866" s="2"/>
    </row>
    <row r="867" customFormat="false" ht="15" hidden="false" customHeight="false" outlineLevel="0" collapsed="false">
      <c r="A867" s="3" t="n">
        <v>38108</v>
      </c>
      <c r="B867" s="2" t="s">
        <v>760</v>
      </c>
      <c r="C867" s="2" t="s">
        <v>706</v>
      </c>
      <c r="D867" s="2" t="s">
        <v>369</v>
      </c>
      <c r="E867" s="2" t="s">
        <v>356</v>
      </c>
      <c r="F867" s="2"/>
      <c r="G867" s="2" t="s">
        <v>91</v>
      </c>
      <c r="H867" s="2" t="str">
        <f aca="false">IF(LEFT(B867,10)="Arsenal v ",MID(B867,11,100),LEFT(B867,FIND(" v ",B867)-1))</f>
        <v>Birmingham City</v>
      </c>
      <c r="I867" s="2" t="str">
        <f aca="false">IF(F867&lt;&gt;"","N",IF(LEFT(B867,10)="Arsenal v ","H","A"))</f>
        <v>H</v>
      </c>
      <c r="J867" s="2"/>
    </row>
    <row r="868" customFormat="false" ht="15" hidden="false" customHeight="false" outlineLevel="0" collapsed="false">
      <c r="A868" s="3" t="n">
        <v>38111</v>
      </c>
      <c r="B868" s="2" t="s">
        <v>520</v>
      </c>
      <c r="C868" s="2" t="s">
        <v>706</v>
      </c>
      <c r="D868" s="2" t="s">
        <v>361</v>
      </c>
      <c r="E868" s="2" t="s">
        <v>356</v>
      </c>
      <c r="F868" s="2"/>
      <c r="G868" s="2" t="s">
        <v>91</v>
      </c>
      <c r="H868" s="2" t="str">
        <f aca="false">IF(LEFT(B868,10)="Arsenal v ",MID(B868,11,100),LEFT(B868,FIND(" v ",B868)-1))</f>
        <v>Portsmouth</v>
      </c>
      <c r="I868" s="2" t="str">
        <f aca="false">IF(F868&lt;&gt;"","N",IF(LEFT(B868,10)="Arsenal v ","H","A"))</f>
        <v>A</v>
      </c>
      <c r="J868" s="2"/>
    </row>
    <row r="869" customFormat="false" ht="15" hidden="false" customHeight="false" outlineLevel="0" collapsed="false">
      <c r="A869" s="3" t="n">
        <v>38116</v>
      </c>
      <c r="B869" s="2" t="s">
        <v>461</v>
      </c>
      <c r="C869" s="2" t="s">
        <v>702</v>
      </c>
      <c r="D869" s="2" t="s">
        <v>383</v>
      </c>
      <c r="E869" s="2" t="s">
        <v>356</v>
      </c>
      <c r="F869" s="2"/>
      <c r="G869" s="2" t="s">
        <v>91</v>
      </c>
      <c r="H869" s="2" t="str">
        <f aca="false">IF(LEFT(B869,10)="Arsenal v ",MID(B869,11,100),LEFT(B869,FIND(" v ",B869)-1))</f>
        <v>Fulham</v>
      </c>
      <c r="I869" s="2" t="str">
        <f aca="false">IF(F869&lt;&gt;"","N",IF(LEFT(B869,10)="Arsenal v ","H","A"))</f>
        <v>A</v>
      </c>
      <c r="J869" s="2"/>
    </row>
    <row r="870" customFormat="false" ht="15" hidden="false" customHeight="false" outlineLevel="0" collapsed="false">
      <c r="A870" s="3" t="n">
        <v>38122</v>
      </c>
      <c r="B870" s="2" t="s">
        <v>733</v>
      </c>
      <c r="C870" s="2" t="s">
        <v>702</v>
      </c>
      <c r="D870" s="2" t="s">
        <v>359</v>
      </c>
      <c r="E870" s="2" t="s">
        <v>356</v>
      </c>
      <c r="F870" s="2"/>
      <c r="G870" s="2" t="s">
        <v>91</v>
      </c>
      <c r="H870" s="2" t="str">
        <f aca="false">IF(LEFT(B870,10)="Arsenal v ",MID(B870,11,100),LEFT(B870,FIND(" v ",B870)-1))</f>
        <v>Leicester City</v>
      </c>
      <c r="I870" s="2" t="str">
        <f aca="false">IF(F870&lt;&gt;"","N",IF(LEFT(B870,10)="Arsenal v ","H","A"))</f>
        <v>H</v>
      </c>
      <c r="J870" s="2"/>
    </row>
    <row r="871" customFormat="false" ht="15" hidden="false" customHeight="false" outlineLevel="0" collapsed="false">
      <c r="A871" s="3" t="n">
        <v>38207</v>
      </c>
      <c r="B871" s="2" t="s">
        <v>656</v>
      </c>
      <c r="C871" s="2" t="s">
        <v>702</v>
      </c>
      <c r="D871" s="2" t="s">
        <v>377</v>
      </c>
      <c r="E871" s="2" t="s">
        <v>787</v>
      </c>
      <c r="F871" s="2" t="s">
        <v>689</v>
      </c>
      <c r="G871" s="2" t="s">
        <v>263</v>
      </c>
      <c r="H871" s="2" t="str">
        <f aca="false">IF(LEFT(B871,10)="Arsenal v ",MID(B871,11,100),LEFT(B871,FIND(" v ",B871)-1))</f>
        <v>Manchester United</v>
      </c>
      <c r="I871" s="2" t="str">
        <f aca="false">IF(F871&lt;&gt;"","N",IF(LEFT(B871,10)="Arsenal v ","H","A"))</f>
        <v>N</v>
      </c>
      <c r="J871" s="2"/>
    </row>
    <row r="872" customFormat="false" ht="15" hidden="false" customHeight="false" outlineLevel="0" collapsed="false">
      <c r="A872" s="3" t="n">
        <v>38214</v>
      </c>
      <c r="B872" s="2" t="s">
        <v>448</v>
      </c>
      <c r="C872" s="2" t="s">
        <v>702</v>
      </c>
      <c r="D872" s="2" t="s">
        <v>407</v>
      </c>
      <c r="E872" s="2" t="s">
        <v>356</v>
      </c>
      <c r="F872" s="2"/>
      <c r="G872" s="2" t="s">
        <v>263</v>
      </c>
      <c r="H872" s="2" t="str">
        <f aca="false">IF(LEFT(B872,10)="Arsenal v ",MID(B872,11,100),LEFT(B872,FIND(" v ",B872)-1))</f>
        <v>Everton</v>
      </c>
      <c r="I872" s="2" t="str">
        <f aca="false">IF(F872&lt;&gt;"","N",IF(LEFT(B872,10)="Arsenal v ","H","A"))</f>
        <v>A</v>
      </c>
      <c r="J872" s="2"/>
    </row>
    <row r="873" customFormat="false" ht="15" hidden="false" customHeight="false" outlineLevel="0" collapsed="false">
      <c r="A873" s="3" t="n">
        <v>38221</v>
      </c>
      <c r="B873" s="2" t="s">
        <v>711</v>
      </c>
      <c r="C873" s="2" t="s">
        <v>702</v>
      </c>
      <c r="D873" s="2" t="s">
        <v>771</v>
      </c>
      <c r="E873" s="2" t="s">
        <v>356</v>
      </c>
      <c r="F873" s="2"/>
      <c r="G873" s="2" t="s">
        <v>263</v>
      </c>
      <c r="H873" s="2" t="str">
        <f aca="false">IF(LEFT(B873,10)="Arsenal v ",MID(B873,11,100),LEFT(B873,FIND(" v ",B873)-1))</f>
        <v>Middlesbrough</v>
      </c>
      <c r="I873" s="2" t="str">
        <f aca="false">IF(F873&lt;&gt;"","N",IF(LEFT(B873,10)="Arsenal v ","H","A"))</f>
        <v>H</v>
      </c>
      <c r="J873" s="2"/>
    </row>
    <row r="874" customFormat="false" ht="15" hidden="false" customHeight="false" outlineLevel="0" collapsed="false">
      <c r="A874" s="3" t="n">
        <v>38224</v>
      </c>
      <c r="B874" s="2" t="s">
        <v>737</v>
      </c>
      <c r="C874" s="2" t="s">
        <v>702</v>
      </c>
      <c r="D874" s="2" t="s">
        <v>434</v>
      </c>
      <c r="E874" s="2" t="s">
        <v>356</v>
      </c>
      <c r="F874" s="2"/>
      <c r="G874" s="2" t="s">
        <v>263</v>
      </c>
      <c r="H874" s="2" t="str">
        <f aca="false">IF(LEFT(B874,10)="Arsenal v ",MID(B874,11,100),LEFT(B874,FIND(" v ",B874)-1))</f>
        <v>Blackburn Rovers</v>
      </c>
      <c r="I874" s="2" t="str">
        <f aca="false">IF(F874&lt;&gt;"","N",IF(LEFT(B874,10)="Arsenal v ","H","A"))</f>
        <v>H</v>
      </c>
      <c r="J874" s="2"/>
    </row>
    <row r="875" customFormat="false" ht="15" hidden="false" customHeight="false" outlineLevel="0" collapsed="false">
      <c r="A875" s="3" t="n">
        <v>38227</v>
      </c>
      <c r="B875" s="2" t="s">
        <v>502</v>
      </c>
      <c r="C875" s="2" t="s">
        <v>702</v>
      </c>
      <c r="D875" s="2" t="s">
        <v>407</v>
      </c>
      <c r="E875" s="2" t="s">
        <v>356</v>
      </c>
      <c r="F875" s="2"/>
      <c r="G875" s="2" t="s">
        <v>263</v>
      </c>
      <c r="H875" s="2" t="str">
        <f aca="false">IF(LEFT(B875,10)="Arsenal v ",MID(B875,11,100),LEFT(B875,FIND(" v ",B875)-1))</f>
        <v>Norwich City</v>
      </c>
      <c r="I875" s="2" t="str">
        <f aca="false">IF(F875&lt;&gt;"","N",IF(LEFT(B875,10)="Arsenal v ","H","A"))</f>
        <v>A</v>
      </c>
      <c r="J875" s="2"/>
    </row>
    <row r="876" customFormat="false" ht="15" hidden="false" customHeight="false" outlineLevel="0" collapsed="false">
      <c r="A876" s="3" t="n">
        <v>38241</v>
      </c>
      <c r="B876" s="2" t="s">
        <v>461</v>
      </c>
      <c r="C876" s="2" t="s">
        <v>702</v>
      </c>
      <c r="D876" s="2" t="s">
        <v>363</v>
      </c>
      <c r="E876" s="2" t="s">
        <v>356</v>
      </c>
      <c r="F876" s="2"/>
      <c r="G876" s="2" t="s">
        <v>263</v>
      </c>
      <c r="H876" s="2" t="str">
        <f aca="false">IF(LEFT(B876,10)="Arsenal v ",MID(B876,11,100),LEFT(B876,FIND(" v ",B876)-1))</f>
        <v>Fulham</v>
      </c>
      <c r="I876" s="2" t="str">
        <f aca="false">IF(F876&lt;&gt;"","N",IF(LEFT(B876,10)="Arsenal v ","H","A"))</f>
        <v>A</v>
      </c>
      <c r="J876" s="2"/>
    </row>
    <row r="877" customFormat="false" ht="15" hidden="false" customHeight="false" outlineLevel="0" collapsed="false">
      <c r="A877" s="3" t="n">
        <v>38244</v>
      </c>
      <c r="B877" s="2" t="s">
        <v>790</v>
      </c>
      <c r="C877" s="2" t="s">
        <v>702</v>
      </c>
      <c r="D877" s="2" t="s">
        <v>348</v>
      </c>
      <c r="E877" s="2" t="s">
        <v>352</v>
      </c>
      <c r="F877" s="2"/>
      <c r="G877" s="2" t="s">
        <v>263</v>
      </c>
      <c r="H877" s="2" t="str">
        <f aca="false">IF(LEFT(B877,10)="Arsenal v ",MID(B877,11,100),LEFT(B877,FIND(" v ",B877)-1))</f>
        <v>PSV Eindhoven</v>
      </c>
      <c r="I877" s="2" t="str">
        <f aca="false">IF(F877&lt;&gt;"","N",IF(LEFT(B877,10)="Arsenal v ","H","A"))</f>
        <v>H</v>
      </c>
      <c r="J877" s="2"/>
    </row>
    <row r="878" customFormat="false" ht="15" hidden="false" customHeight="false" outlineLevel="0" collapsed="false">
      <c r="A878" s="3" t="n">
        <v>38248</v>
      </c>
      <c r="B878" s="2" t="s">
        <v>743</v>
      </c>
      <c r="C878" s="2" t="s">
        <v>706</v>
      </c>
      <c r="D878" s="2" t="s">
        <v>380</v>
      </c>
      <c r="E878" s="2" t="s">
        <v>356</v>
      </c>
      <c r="F878" s="2"/>
      <c r="G878" s="2" t="s">
        <v>263</v>
      </c>
      <c r="H878" s="2" t="str">
        <f aca="false">IF(LEFT(B878,10)="Arsenal v ",MID(B878,11,100),LEFT(B878,FIND(" v ",B878)-1))</f>
        <v>Bolton Wanderers</v>
      </c>
      <c r="I878" s="2" t="str">
        <f aca="false">IF(F878&lt;&gt;"","N",IF(LEFT(B878,10)="Arsenal v ","H","A"))</f>
        <v>H</v>
      </c>
      <c r="J878" s="2"/>
    </row>
    <row r="879" customFormat="false" ht="15" hidden="false" customHeight="false" outlineLevel="0" collapsed="false">
      <c r="A879" s="3" t="n">
        <v>38255</v>
      </c>
      <c r="B879" s="2" t="s">
        <v>487</v>
      </c>
      <c r="C879" s="2" t="s">
        <v>702</v>
      </c>
      <c r="D879" s="2" t="s">
        <v>383</v>
      </c>
      <c r="E879" s="2" t="s">
        <v>356</v>
      </c>
      <c r="F879" s="2"/>
      <c r="G879" s="2" t="s">
        <v>263</v>
      </c>
      <c r="H879" s="2" t="str">
        <f aca="false">IF(LEFT(B879,10)="Arsenal v ",MID(B879,11,100),LEFT(B879,FIND(" v ",B879)-1))</f>
        <v>Manchester City</v>
      </c>
      <c r="I879" s="2" t="str">
        <f aca="false">IF(F879&lt;&gt;"","N",IF(LEFT(B879,10)="Arsenal v ","H","A"))</f>
        <v>A</v>
      </c>
      <c r="J879" s="2"/>
    </row>
    <row r="880" customFormat="false" ht="15" hidden="false" customHeight="false" outlineLevel="0" collapsed="false">
      <c r="A880" s="3" t="n">
        <v>38259</v>
      </c>
      <c r="B880" s="2" t="s">
        <v>535</v>
      </c>
      <c r="C880" s="2" t="s">
        <v>706</v>
      </c>
      <c r="D880" s="2" t="s">
        <v>361</v>
      </c>
      <c r="E880" s="2" t="s">
        <v>352</v>
      </c>
      <c r="F880" s="2"/>
      <c r="G880" s="2" t="s">
        <v>263</v>
      </c>
      <c r="H880" s="2" t="str">
        <f aca="false">IF(LEFT(B880,10)="Arsenal v ",MID(B880,11,100),LEFT(B880,FIND(" v ",B880)-1))</f>
        <v>Rosenborg BK</v>
      </c>
      <c r="I880" s="2" t="str">
        <f aca="false">IF(F880&lt;&gt;"","N",IF(LEFT(B880,10)="Arsenal v ","H","A"))</f>
        <v>A</v>
      </c>
      <c r="J880" s="2"/>
    </row>
    <row r="881" customFormat="false" ht="15" hidden="false" customHeight="false" outlineLevel="0" collapsed="false">
      <c r="A881" s="3" t="n">
        <v>38262</v>
      </c>
      <c r="B881" s="2" t="s">
        <v>717</v>
      </c>
      <c r="C881" s="2" t="s">
        <v>702</v>
      </c>
      <c r="D881" s="2" t="s">
        <v>354</v>
      </c>
      <c r="E881" s="2" t="s">
        <v>356</v>
      </c>
      <c r="F881" s="2"/>
      <c r="G881" s="2" t="s">
        <v>263</v>
      </c>
      <c r="H881" s="2" t="str">
        <f aca="false">IF(LEFT(B881,10)="Arsenal v ",MID(B881,11,100),LEFT(B881,FIND(" v ",B881)-1))</f>
        <v>Charlton Athletic</v>
      </c>
      <c r="I881" s="2" t="str">
        <f aca="false">IF(F881&lt;&gt;"","N",IF(LEFT(B881,10)="Arsenal v ","H","A"))</f>
        <v>H</v>
      </c>
      <c r="J881" s="2"/>
    </row>
    <row r="882" customFormat="false" ht="15" hidden="false" customHeight="false" outlineLevel="0" collapsed="false">
      <c r="A882" s="3" t="n">
        <v>38276</v>
      </c>
      <c r="B882" s="2" t="s">
        <v>703</v>
      </c>
      <c r="C882" s="2" t="s">
        <v>702</v>
      </c>
      <c r="D882" s="2" t="s">
        <v>377</v>
      </c>
      <c r="E882" s="2" t="s">
        <v>356</v>
      </c>
      <c r="F882" s="2"/>
      <c r="G882" s="2" t="s">
        <v>263</v>
      </c>
      <c r="H882" s="2" t="str">
        <f aca="false">IF(LEFT(B882,10)="Arsenal v ",MID(B882,11,100),LEFT(B882,FIND(" v ",B882)-1))</f>
        <v>Aston Villa</v>
      </c>
      <c r="I882" s="2" t="str">
        <f aca="false">IF(F882&lt;&gt;"","N",IF(LEFT(B882,10)="Arsenal v ","H","A"))</f>
        <v>H</v>
      </c>
      <c r="J882" s="2"/>
    </row>
    <row r="883" customFormat="false" ht="15" hidden="false" customHeight="false" outlineLevel="0" collapsed="false">
      <c r="A883" s="3" t="n">
        <v>38280</v>
      </c>
      <c r="B883" s="2" t="s">
        <v>512</v>
      </c>
      <c r="C883" s="2" t="s">
        <v>706</v>
      </c>
      <c r="D883" s="2" t="s">
        <v>380</v>
      </c>
      <c r="E883" s="2" t="s">
        <v>352</v>
      </c>
      <c r="F883" s="2"/>
      <c r="G883" s="2" t="s">
        <v>263</v>
      </c>
      <c r="H883" s="2" t="str">
        <f aca="false">IF(LEFT(B883,10)="Arsenal v ",MID(B883,11,100),LEFT(B883,FIND(" v ",B883)-1))</f>
        <v>Panathinaikos</v>
      </c>
      <c r="I883" s="2" t="str">
        <f aca="false">IF(F883&lt;&gt;"","N",IF(LEFT(B883,10)="Arsenal v ","H","A"))</f>
        <v>A</v>
      </c>
      <c r="J883" s="2"/>
    </row>
    <row r="884" customFormat="false" ht="15" hidden="false" customHeight="false" outlineLevel="0" collapsed="false">
      <c r="A884" s="3" t="n">
        <v>38284</v>
      </c>
      <c r="B884" s="2" t="s">
        <v>490</v>
      </c>
      <c r="C884" s="2" t="s">
        <v>704</v>
      </c>
      <c r="D884" s="2" t="s">
        <v>351</v>
      </c>
      <c r="E884" s="2" t="s">
        <v>356</v>
      </c>
      <c r="F884" s="2"/>
      <c r="G884" s="2" t="s">
        <v>263</v>
      </c>
      <c r="H884" s="2" t="str">
        <f aca="false">IF(LEFT(B884,10)="Arsenal v ",MID(B884,11,100),LEFT(B884,FIND(" v ",B884)-1))</f>
        <v>Manchester United</v>
      </c>
      <c r="I884" s="2" t="str">
        <f aca="false">IF(F884&lt;&gt;"","N",IF(LEFT(B884,10)="Arsenal v ","H","A"))</f>
        <v>A</v>
      </c>
      <c r="J884" s="2"/>
    </row>
    <row r="885" customFormat="false" ht="15" hidden="false" customHeight="false" outlineLevel="0" collapsed="false">
      <c r="A885" s="3" t="n">
        <v>38287</v>
      </c>
      <c r="B885" s="2" t="s">
        <v>487</v>
      </c>
      <c r="C885" s="2" t="s">
        <v>702</v>
      </c>
      <c r="D885" s="2" t="s">
        <v>360</v>
      </c>
      <c r="E885" s="2" t="s">
        <v>379</v>
      </c>
      <c r="F885" s="2"/>
      <c r="G885" s="2" t="s">
        <v>263</v>
      </c>
      <c r="H885" s="2" t="str">
        <f aca="false">IF(LEFT(B885,10)="Arsenal v ",MID(B885,11,100),LEFT(B885,FIND(" v ",B885)-1))</f>
        <v>Manchester City</v>
      </c>
      <c r="I885" s="2" t="str">
        <f aca="false">IF(F885&lt;&gt;"","N",IF(LEFT(B885,10)="Arsenal v ","H","A"))</f>
        <v>A</v>
      </c>
      <c r="J885" s="2"/>
    </row>
    <row r="886" customFormat="false" ht="15" hidden="false" customHeight="false" outlineLevel="0" collapsed="false">
      <c r="A886" s="3" t="n">
        <v>38290</v>
      </c>
      <c r="B886" s="2" t="s">
        <v>705</v>
      </c>
      <c r="C886" s="2" t="s">
        <v>706</v>
      </c>
      <c r="D886" s="2" t="s">
        <v>380</v>
      </c>
      <c r="E886" s="2" t="s">
        <v>356</v>
      </c>
      <c r="F886" s="2"/>
      <c r="G886" s="2" t="s">
        <v>263</v>
      </c>
      <c r="H886" s="2" t="str">
        <f aca="false">IF(LEFT(B886,10)="Arsenal v ",MID(B886,11,100),LEFT(B886,FIND(" v ",B886)-1))</f>
        <v>Southampton</v>
      </c>
      <c r="I886" s="2" t="str">
        <f aca="false">IF(F886&lt;&gt;"","N",IF(LEFT(B886,10)="Arsenal v ","H","A"))</f>
        <v>H</v>
      </c>
      <c r="J886" s="2"/>
    </row>
    <row r="887" customFormat="false" ht="15" hidden="false" customHeight="false" outlineLevel="0" collapsed="false">
      <c r="A887" s="3" t="n">
        <v>38293</v>
      </c>
      <c r="B887" s="2" t="s">
        <v>659</v>
      </c>
      <c r="C887" s="2" t="s">
        <v>706</v>
      </c>
      <c r="D887" s="2" t="s">
        <v>361</v>
      </c>
      <c r="E887" s="2" t="s">
        <v>352</v>
      </c>
      <c r="F887" s="2"/>
      <c r="G887" s="2" t="s">
        <v>263</v>
      </c>
      <c r="H887" s="2" t="str">
        <f aca="false">IF(LEFT(B887,10)="Arsenal v ",MID(B887,11,100),LEFT(B887,FIND(" v ",B887)-1))</f>
        <v>Panathinaikos</v>
      </c>
      <c r="I887" s="2" t="str">
        <f aca="false">IF(F887&lt;&gt;"","N",IF(LEFT(B887,10)="Arsenal v ","H","A"))</f>
        <v>H</v>
      </c>
      <c r="J887" s="2"/>
    </row>
    <row r="888" customFormat="false" ht="15" hidden="false" customHeight="false" outlineLevel="0" collapsed="false">
      <c r="A888" s="3" t="n">
        <v>38297</v>
      </c>
      <c r="B888" s="2" t="s">
        <v>433</v>
      </c>
      <c r="C888" s="2" t="s">
        <v>706</v>
      </c>
      <c r="D888" s="2" t="s">
        <v>361</v>
      </c>
      <c r="E888" s="2" t="s">
        <v>356</v>
      </c>
      <c r="F888" s="2"/>
      <c r="G888" s="2" t="s">
        <v>263</v>
      </c>
      <c r="H888" s="2" t="str">
        <f aca="false">IF(LEFT(B888,10)="Arsenal v ",MID(B888,11,100),LEFT(B888,FIND(" v ",B888)-1))</f>
        <v>Crystal Palace</v>
      </c>
      <c r="I888" s="2" t="str">
        <f aca="false">IF(F888&lt;&gt;"","N",IF(LEFT(B888,10)="Arsenal v ","H","A"))</f>
        <v>A</v>
      </c>
      <c r="J888" s="2"/>
    </row>
    <row r="889" customFormat="false" ht="15" hidden="false" customHeight="false" outlineLevel="0" collapsed="false">
      <c r="A889" s="3" t="n">
        <v>38300</v>
      </c>
      <c r="B889" s="2" t="s">
        <v>718</v>
      </c>
      <c r="C889" s="2" t="s">
        <v>702</v>
      </c>
      <c r="D889" s="2" t="s">
        <v>377</v>
      </c>
      <c r="E889" s="2" t="s">
        <v>379</v>
      </c>
      <c r="F889" s="2"/>
      <c r="G889" s="2" t="s">
        <v>263</v>
      </c>
      <c r="H889" s="2" t="str">
        <f aca="false">IF(LEFT(B889,10)="Arsenal v ",MID(B889,11,100),LEFT(B889,FIND(" v ",B889)-1))</f>
        <v>Everton</v>
      </c>
      <c r="I889" s="2" t="str">
        <f aca="false">IF(F889&lt;&gt;"","N",IF(LEFT(B889,10)="Arsenal v ","H","A"))</f>
        <v>H</v>
      </c>
      <c r="J889" s="2"/>
    </row>
    <row r="890" customFormat="false" ht="15" hidden="false" customHeight="false" outlineLevel="0" collapsed="false">
      <c r="A890" s="3" t="n">
        <v>38304</v>
      </c>
      <c r="B890" s="2" t="s">
        <v>561</v>
      </c>
      <c r="C890" s="2" t="s">
        <v>702</v>
      </c>
      <c r="D890" s="2" t="s">
        <v>562</v>
      </c>
      <c r="E890" s="2" t="s">
        <v>356</v>
      </c>
      <c r="F890" s="2"/>
      <c r="G890" s="2" t="s">
        <v>263</v>
      </c>
      <c r="H890" s="2" t="str">
        <f aca="false">IF(LEFT(B890,10)="Arsenal v ",MID(B890,11,100),LEFT(B890,FIND(" v ",B890)-1))</f>
        <v>Tottenham Hotspur</v>
      </c>
      <c r="I890" s="2" t="str">
        <f aca="false">IF(F890&lt;&gt;"","N",IF(LEFT(B890,10)="Arsenal v ","H","A"))</f>
        <v>A</v>
      </c>
      <c r="J890" s="2"/>
    </row>
    <row r="891" customFormat="false" ht="15" hidden="false" customHeight="false" outlineLevel="0" collapsed="false">
      <c r="A891" s="3" t="n">
        <v>38311</v>
      </c>
      <c r="B891" s="2" t="s">
        <v>788</v>
      </c>
      <c r="C891" s="2" t="s">
        <v>706</v>
      </c>
      <c r="D891" s="2" t="s">
        <v>361</v>
      </c>
      <c r="E891" s="2" t="s">
        <v>356</v>
      </c>
      <c r="F891" s="2"/>
      <c r="G891" s="2" t="s">
        <v>263</v>
      </c>
      <c r="H891" s="2" t="str">
        <f aca="false">IF(LEFT(B891,10)="Arsenal v ",MID(B891,11,100),LEFT(B891,FIND(" v ",B891)-1))</f>
        <v>West Bromwich Albion</v>
      </c>
      <c r="I891" s="2" t="str">
        <f aca="false">IF(F891&lt;&gt;"","N",IF(LEFT(B891,10)="Arsenal v ","H","A"))</f>
        <v>H</v>
      </c>
      <c r="J891" s="2"/>
    </row>
    <row r="892" customFormat="false" ht="15" hidden="false" customHeight="false" outlineLevel="0" collapsed="false">
      <c r="A892" s="3" t="n">
        <v>38315</v>
      </c>
      <c r="B892" s="2" t="s">
        <v>522</v>
      </c>
      <c r="C892" s="2" t="s">
        <v>706</v>
      </c>
      <c r="D892" s="2" t="s">
        <v>361</v>
      </c>
      <c r="E892" s="2" t="s">
        <v>352</v>
      </c>
      <c r="F892" s="2"/>
      <c r="G892" s="2" t="s">
        <v>263</v>
      </c>
      <c r="H892" s="2" t="str">
        <f aca="false">IF(LEFT(B892,10)="Arsenal v ",MID(B892,11,100),LEFT(B892,FIND(" v ",B892)-1))</f>
        <v>PSV Eindhoven</v>
      </c>
      <c r="I892" s="2" t="str">
        <f aca="false">IF(F892&lt;&gt;"","N",IF(LEFT(B892,10)="Arsenal v ","H","A"))</f>
        <v>A</v>
      </c>
      <c r="J892" s="2"/>
    </row>
    <row r="893" customFormat="false" ht="15" hidden="false" customHeight="false" outlineLevel="0" collapsed="false">
      <c r="A893" s="3" t="n">
        <v>38319</v>
      </c>
      <c r="B893" s="2" t="s">
        <v>477</v>
      </c>
      <c r="C893" s="2" t="s">
        <v>704</v>
      </c>
      <c r="D893" s="2" t="s">
        <v>359</v>
      </c>
      <c r="E893" s="2" t="s">
        <v>356</v>
      </c>
      <c r="F893" s="2"/>
      <c r="G893" s="2" t="s">
        <v>263</v>
      </c>
      <c r="H893" s="2" t="str">
        <f aca="false">IF(LEFT(B893,10)="Arsenal v ",MID(B893,11,100),LEFT(B893,FIND(" v ",B893)-1))</f>
        <v>Liverpool</v>
      </c>
      <c r="I893" s="2" t="str">
        <f aca="false">IF(F893&lt;&gt;"","N",IF(LEFT(B893,10)="Arsenal v ","H","A"))</f>
        <v>A</v>
      </c>
      <c r="J893" s="2"/>
    </row>
    <row r="894" customFormat="false" ht="15" hidden="false" customHeight="false" outlineLevel="0" collapsed="false">
      <c r="A894" s="3" t="n">
        <v>38322</v>
      </c>
      <c r="B894" s="2" t="s">
        <v>490</v>
      </c>
      <c r="C894" s="2" t="s">
        <v>704</v>
      </c>
      <c r="D894" s="2" t="s">
        <v>348</v>
      </c>
      <c r="E894" s="2" t="s">
        <v>379</v>
      </c>
      <c r="F894" s="2"/>
      <c r="G894" s="2" t="s">
        <v>263</v>
      </c>
      <c r="H894" s="2" t="str">
        <f aca="false">IF(LEFT(B894,10)="Arsenal v ",MID(B894,11,100),LEFT(B894,FIND(" v ",B894)-1))</f>
        <v>Manchester United</v>
      </c>
      <c r="I894" s="2" t="str">
        <f aca="false">IF(F894&lt;&gt;"","N",IF(LEFT(B894,10)="Arsenal v ","H","A"))</f>
        <v>A</v>
      </c>
      <c r="J894" s="2"/>
    </row>
    <row r="895" customFormat="false" ht="15" hidden="false" customHeight="false" outlineLevel="0" collapsed="false">
      <c r="A895" s="3" t="n">
        <v>38325</v>
      </c>
      <c r="B895" s="2" t="s">
        <v>760</v>
      </c>
      <c r="C895" s="2" t="s">
        <v>702</v>
      </c>
      <c r="D895" s="2" t="s">
        <v>434</v>
      </c>
      <c r="E895" s="2" t="s">
        <v>356</v>
      </c>
      <c r="F895" s="2"/>
      <c r="G895" s="2" t="s">
        <v>263</v>
      </c>
      <c r="H895" s="2" t="str">
        <f aca="false">IF(LEFT(B895,10)="Arsenal v ",MID(B895,11,100),LEFT(B895,FIND(" v ",B895)-1))</f>
        <v>Birmingham City</v>
      </c>
      <c r="I895" s="2" t="str">
        <f aca="false">IF(F895&lt;&gt;"","N",IF(LEFT(B895,10)="Arsenal v ","H","A"))</f>
        <v>H</v>
      </c>
      <c r="J895" s="2"/>
    </row>
    <row r="896" customFormat="false" ht="15" hidden="false" customHeight="false" outlineLevel="0" collapsed="false">
      <c r="A896" s="3" t="n">
        <v>38328</v>
      </c>
      <c r="B896" s="2" t="s">
        <v>801</v>
      </c>
      <c r="C896" s="2" t="s">
        <v>702</v>
      </c>
      <c r="D896" s="2" t="s">
        <v>401</v>
      </c>
      <c r="E896" s="2" t="s">
        <v>352</v>
      </c>
      <c r="F896" s="2"/>
      <c r="G896" s="2" t="s">
        <v>263</v>
      </c>
      <c r="H896" s="2" t="str">
        <f aca="false">IF(LEFT(B896,10)="Arsenal v ",MID(B896,11,100),LEFT(B896,FIND(" v ",B896)-1))</f>
        <v>Rosenborg BK</v>
      </c>
      <c r="I896" s="2" t="str">
        <f aca="false">IF(F896&lt;&gt;"","N",IF(LEFT(B896,10)="Arsenal v ","H","A"))</f>
        <v>H</v>
      </c>
      <c r="J896" s="2"/>
    </row>
    <row r="897" customFormat="false" ht="15" hidden="false" customHeight="false" outlineLevel="0" collapsed="false">
      <c r="A897" s="3" t="n">
        <v>38333</v>
      </c>
      <c r="B897" s="2" t="s">
        <v>725</v>
      </c>
      <c r="C897" s="2" t="s">
        <v>706</v>
      </c>
      <c r="D897" s="2" t="s">
        <v>380</v>
      </c>
      <c r="E897" s="2" t="s">
        <v>356</v>
      </c>
      <c r="F897" s="2"/>
      <c r="G897" s="2" t="s">
        <v>263</v>
      </c>
      <c r="H897" s="2" t="str">
        <f aca="false">IF(LEFT(B897,10)="Arsenal v ",MID(B897,11,100),LEFT(B897,FIND(" v ",B897)-1))</f>
        <v>Chelsea</v>
      </c>
      <c r="I897" s="2" t="str">
        <f aca="false">IF(F897&lt;&gt;"","N",IF(LEFT(B897,10)="Arsenal v ","H","A"))</f>
        <v>H</v>
      </c>
      <c r="J897" s="2"/>
    </row>
    <row r="898" customFormat="false" ht="15" hidden="false" customHeight="false" outlineLevel="0" collapsed="false">
      <c r="A898" s="3" t="n">
        <v>38340</v>
      </c>
      <c r="B898" s="2" t="s">
        <v>520</v>
      </c>
      <c r="C898" s="2" t="s">
        <v>702</v>
      </c>
      <c r="D898" s="2" t="s">
        <v>383</v>
      </c>
      <c r="E898" s="2" t="s">
        <v>356</v>
      </c>
      <c r="F898" s="2"/>
      <c r="G898" s="2" t="s">
        <v>263</v>
      </c>
      <c r="H898" s="2" t="str">
        <f aca="false">IF(LEFT(B898,10)="Arsenal v ",MID(B898,11,100),LEFT(B898,FIND(" v ",B898)-1))</f>
        <v>Portsmouth</v>
      </c>
      <c r="I898" s="2" t="str">
        <f aca="false">IF(F898&lt;&gt;"","N",IF(LEFT(B898,10)="Arsenal v ","H","A"))</f>
        <v>A</v>
      </c>
      <c r="J898" s="2"/>
    </row>
    <row r="899" customFormat="false" ht="15" hidden="false" customHeight="false" outlineLevel="0" collapsed="false">
      <c r="A899" s="3" t="n">
        <v>38347</v>
      </c>
      <c r="B899" s="2" t="s">
        <v>784</v>
      </c>
      <c r="C899" s="2" t="s">
        <v>702</v>
      </c>
      <c r="D899" s="2" t="s">
        <v>351</v>
      </c>
      <c r="E899" s="2" t="s">
        <v>356</v>
      </c>
      <c r="F899" s="2"/>
      <c r="G899" s="2" t="s">
        <v>263</v>
      </c>
      <c r="H899" s="2" t="str">
        <f aca="false">IF(LEFT(B899,10)="Arsenal v ",MID(B899,11,100),LEFT(B899,FIND(" v ",B899)-1))</f>
        <v>Fulham</v>
      </c>
      <c r="I899" s="2" t="str">
        <f aca="false">IF(F899&lt;&gt;"","N",IF(LEFT(B899,10)="Arsenal v ","H","A"))</f>
        <v>H</v>
      </c>
      <c r="J899" s="2"/>
    </row>
    <row r="900" customFormat="false" ht="15" hidden="false" customHeight="false" outlineLevel="0" collapsed="false">
      <c r="A900" s="3" t="n">
        <v>38350</v>
      </c>
      <c r="B900" s="2" t="s">
        <v>501</v>
      </c>
      <c r="C900" s="2" t="s">
        <v>702</v>
      </c>
      <c r="D900" s="2" t="s">
        <v>383</v>
      </c>
      <c r="E900" s="2" t="s">
        <v>356</v>
      </c>
      <c r="F900" s="2"/>
      <c r="G900" s="2" t="s">
        <v>263</v>
      </c>
      <c r="H900" s="2" t="str">
        <f aca="false">IF(LEFT(B900,10)="Arsenal v ",MID(B900,11,100),LEFT(B900,FIND(" v ",B900)-1))</f>
        <v>Newcastle United</v>
      </c>
      <c r="I900" s="2" t="str">
        <f aca="false">IF(F900&lt;&gt;"","N",IF(LEFT(B900,10)="Arsenal v ","H","A"))</f>
        <v>A</v>
      </c>
      <c r="J900" s="2"/>
    </row>
    <row r="901" customFormat="false" ht="15" hidden="false" customHeight="false" outlineLevel="0" collapsed="false">
      <c r="A901" s="3" t="n">
        <v>38353</v>
      </c>
      <c r="B901" s="2" t="s">
        <v>425</v>
      </c>
      <c r="C901" s="2" t="s">
        <v>702</v>
      </c>
      <c r="D901" s="2" t="s">
        <v>373</v>
      </c>
      <c r="E901" s="2" t="s">
        <v>356</v>
      </c>
      <c r="F901" s="2"/>
      <c r="G901" s="2" t="s">
        <v>263</v>
      </c>
      <c r="H901" s="2" t="str">
        <f aca="false">IF(LEFT(B901,10)="Arsenal v ",MID(B901,11,100),LEFT(B901,FIND(" v ",B901)-1))</f>
        <v>Charlton Athletic</v>
      </c>
      <c r="I901" s="2" t="str">
        <f aca="false">IF(F901&lt;&gt;"","N",IF(LEFT(B901,10)="Arsenal v ","H","A"))</f>
        <v>A</v>
      </c>
      <c r="J901" s="2"/>
    </row>
    <row r="902" customFormat="false" ht="15" hidden="false" customHeight="false" outlineLevel="0" collapsed="false">
      <c r="A902" s="3" t="n">
        <v>38356</v>
      </c>
      <c r="B902" s="2" t="s">
        <v>657</v>
      </c>
      <c r="C902" s="2" t="s">
        <v>706</v>
      </c>
      <c r="D902" s="2" t="s">
        <v>361</v>
      </c>
      <c r="E902" s="2" t="s">
        <v>356</v>
      </c>
      <c r="F902" s="2"/>
      <c r="G902" s="2" t="s">
        <v>263</v>
      </c>
      <c r="H902" s="2" t="str">
        <f aca="false">IF(LEFT(B902,10)="Arsenal v ",MID(B902,11,100),LEFT(B902,FIND(" v ",B902)-1))</f>
        <v>Manchester City</v>
      </c>
      <c r="I902" s="2" t="str">
        <f aca="false">IF(F902&lt;&gt;"","N",IF(LEFT(B902,10)="Arsenal v ","H","A"))</f>
        <v>H</v>
      </c>
      <c r="J902" s="2"/>
    </row>
    <row r="903" customFormat="false" ht="15" hidden="false" customHeight="false" outlineLevel="0" collapsed="false">
      <c r="A903" s="3" t="n">
        <v>38361</v>
      </c>
      <c r="B903" s="2" t="s">
        <v>757</v>
      </c>
      <c r="C903" s="2" t="s">
        <v>702</v>
      </c>
      <c r="D903" s="2" t="s">
        <v>359</v>
      </c>
      <c r="E903" s="2" t="s">
        <v>362</v>
      </c>
      <c r="F903" s="2"/>
      <c r="G903" s="2" t="s">
        <v>263</v>
      </c>
      <c r="H903" s="2" t="str">
        <f aca="false">IF(LEFT(B903,10)="Arsenal v ",MID(B903,11,100),LEFT(B903,FIND(" v ",B903)-1))</f>
        <v>Stoke City</v>
      </c>
      <c r="I903" s="2" t="str">
        <f aca="false">IF(F903&lt;&gt;"","N",IF(LEFT(B903,10)="Arsenal v ","H","A"))</f>
        <v>H</v>
      </c>
      <c r="J903" s="2"/>
    </row>
    <row r="904" customFormat="false" ht="15" hidden="false" customHeight="false" outlineLevel="0" collapsed="false">
      <c r="A904" s="3" t="n">
        <v>38367</v>
      </c>
      <c r="B904" s="2" t="s">
        <v>410</v>
      </c>
      <c r="C904" s="2" t="s">
        <v>704</v>
      </c>
      <c r="D904" s="2" t="s">
        <v>348</v>
      </c>
      <c r="E904" s="2" t="s">
        <v>356</v>
      </c>
      <c r="F904" s="2"/>
      <c r="G904" s="2" t="s">
        <v>263</v>
      </c>
      <c r="H904" s="2" t="str">
        <f aca="false">IF(LEFT(B904,10)="Arsenal v ",MID(B904,11,100),LEFT(B904,FIND(" v ",B904)-1))</f>
        <v>Bolton Wanderers</v>
      </c>
      <c r="I904" s="2" t="str">
        <f aca="false">IF(F904&lt;&gt;"","N",IF(LEFT(B904,10)="Arsenal v ","H","A"))</f>
        <v>A</v>
      </c>
      <c r="J904" s="2"/>
    </row>
    <row r="905" customFormat="false" ht="15" hidden="false" customHeight="false" outlineLevel="0" collapsed="false">
      <c r="A905" s="3" t="n">
        <v>38375</v>
      </c>
      <c r="B905" s="2" t="s">
        <v>719</v>
      </c>
      <c r="C905" s="2" t="s">
        <v>702</v>
      </c>
      <c r="D905" s="2" t="s">
        <v>348</v>
      </c>
      <c r="E905" s="2" t="s">
        <v>356</v>
      </c>
      <c r="F905" s="2"/>
      <c r="G905" s="2" t="s">
        <v>263</v>
      </c>
      <c r="H905" s="2" t="str">
        <f aca="false">IF(LEFT(B905,10)="Arsenal v ",MID(B905,11,100),LEFT(B905,FIND(" v ",B905)-1))</f>
        <v>Newcastle United</v>
      </c>
      <c r="I905" s="2" t="str">
        <f aca="false">IF(F905&lt;&gt;"","N",IF(LEFT(B905,10)="Arsenal v ","H","A"))</f>
        <v>H</v>
      </c>
      <c r="J905" s="2"/>
    </row>
    <row r="906" customFormat="false" ht="15" hidden="false" customHeight="false" outlineLevel="0" collapsed="false">
      <c r="A906" s="3" t="n">
        <v>38381</v>
      </c>
      <c r="B906" s="2" t="s">
        <v>762</v>
      </c>
      <c r="C906" s="2" t="s">
        <v>702</v>
      </c>
      <c r="D906" s="2" t="s">
        <v>351</v>
      </c>
      <c r="E906" s="2" t="s">
        <v>362</v>
      </c>
      <c r="F906" s="2"/>
      <c r="G906" s="2" t="s">
        <v>263</v>
      </c>
      <c r="H906" s="2" t="str">
        <f aca="false">IF(LEFT(B906,10)="Arsenal v ",MID(B906,11,100),LEFT(B906,FIND(" v ",B906)-1))</f>
        <v>Wolverhampton Wanderers</v>
      </c>
      <c r="I906" s="2" t="str">
        <f aca="false">IF(F906&lt;&gt;"","N",IF(LEFT(B906,10)="Arsenal v ","H","A"))</f>
        <v>H</v>
      </c>
      <c r="J906" s="2"/>
    </row>
    <row r="907" customFormat="false" ht="15" hidden="false" customHeight="false" outlineLevel="0" collapsed="false">
      <c r="A907" s="3" t="n">
        <v>38384</v>
      </c>
      <c r="B907" s="2" t="s">
        <v>656</v>
      </c>
      <c r="C907" s="2" t="s">
        <v>704</v>
      </c>
      <c r="D907" s="2" t="s">
        <v>384</v>
      </c>
      <c r="E907" s="2" t="s">
        <v>356</v>
      </c>
      <c r="F907" s="2"/>
      <c r="G907" s="2" t="s">
        <v>263</v>
      </c>
      <c r="H907" s="2" t="str">
        <f aca="false">IF(LEFT(B907,10)="Arsenal v ",MID(B907,11,100),LEFT(B907,FIND(" v ",B907)-1))</f>
        <v>Manchester United</v>
      </c>
      <c r="I907" s="2" t="str">
        <f aca="false">IF(F907&lt;&gt;"","N",IF(LEFT(B907,10)="Arsenal v ","H","A"))</f>
        <v>H</v>
      </c>
      <c r="J907" s="2"/>
    </row>
    <row r="908" customFormat="false" ht="15" hidden="false" customHeight="false" outlineLevel="0" collapsed="false">
      <c r="A908" s="3" t="n">
        <v>38388</v>
      </c>
      <c r="B908" s="2" t="s">
        <v>376</v>
      </c>
      <c r="C908" s="2" t="s">
        <v>702</v>
      </c>
      <c r="D908" s="2" t="s">
        <v>373</v>
      </c>
      <c r="E908" s="2" t="s">
        <v>356</v>
      </c>
      <c r="F908" s="2"/>
      <c r="G908" s="2" t="s">
        <v>263</v>
      </c>
      <c r="H908" s="2" t="str">
        <f aca="false">IF(LEFT(B908,10)="Arsenal v ",MID(B908,11,100),LEFT(B908,FIND(" v ",B908)-1))</f>
        <v>Aston Villa</v>
      </c>
      <c r="I908" s="2" t="str">
        <f aca="false">IF(F908&lt;&gt;"","N",IF(LEFT(B908,10)="Arsenal v ","H","A"))</f>
        <v>A</v>
      </c>
      <c r="J908" s="2"/>
    </row>
    <row r="909" customFormat="false" ht="15" hidden="false" customHeight="false" outlineLevel="0" collapsed="false">
      <c r="A909" s="3" t="n">
        <v>38397</v>
      </c>
      <c r="B909" s="2" t="s">
        <v>724</v>
      </c>
      <c r="C909" s="2" t="s">
        <v>702</v>
      </c>
      <c r="D909" s="2" t="s">
        <v>401</v>
      </c>
      <c r="E909" s="2" t="s">
        <v>356</v>
      </c>
      <c r="F909" s="2"/>
      <c r="G909" s="2" t="s">
        <v>263</v>
      </c>
      <c r="H909" s="2" t="str">
        <f aca="false">IF(LEFT(B909,10)="Arsenal v ",MID(B909,11,100),LEFT(B909,FIND(" v ",B909)-1))</f>
        <v>Crystal Palace</v>
      </c>
      <c r="I909" s="2" t="str">
        <f aca="false">IF(F909&lt;&gt;"","N",IF(LEFT(B909,10)="Arsenal v ","H","A"))</f>
        <v>H</v>
      </c>
      <c r="J909" s="2"/>
    </row>
    <row r="910" customFormat="false" ht="15" hidden="false" customHeight="false" outlineLevel="0" collapsed="false">
      <c r="A910" s="3" t="n">
        <v>38402</v>
      </c>
      <c r="B910" s="2" t="s">
        <v>728</v>
      </c>
      <c r="C910" s="2" t="s">
        <v>706</v>
      </c>
      <c r="D910" s="2" t="s">
        <v>361</v>
      </c>
      <c r="E910" s="2" t="s">
        <v>362</v>
      </c>
      <c r="F910" s="2"/>
      <c r="G910" s="2" t="s">
        <v>263</v>
      </c>
      <c r="H910" s="2" t="str">
        <f aca="false">IF(LEFT(B910,10)="Arsenal v ",MID(B910,11,100),LEFT(B910,FIND(" v ",B910)-1))</f>
        <v>Sheffield United</v>
      </c>
      <c r="I910" s="2" t="str">
        <f aca="false">IF(F910&lt;&gt;"","N",IF(LEFT(B910,10)="Arsenal v ","H","A"))</f>
        <v>H</v>
      </c>
      <c r="J910" s="2"/>
    </row>
    <row r="911" customFormat="false" ht="15" hidden="false" customHeight="false" outlineLevel="0" collapsed="false">
      <c r="A911" s="3" t="n">
        <v>38405</v>
      </c>
      <c r="B911" s="2" t="s">
        <v>400</v>
      </c>
      <c r="C911" s="2" t="s">
        <v>704</v>
      </c>
      <c r="D911" s="2" t="s">
        <v>377</v>
      </c>
      <c r="E911" s="2" t="s">
        <v>352</v>
      </c>
      <c r="F911" s="2"/>
      <c r="G911" s="2" t="s">
        <v>263</v>
      </c>
      <c r="H911" s="2" t="str">
        <f aca="false">IF(LEFT(B911,10)="Arsenal v ",MID(B911,11,100),LEFT(B911,FIND(" v ",B911)-1))</f>
        <v>Bayern Munchen</v>
      </c>
      <c r="I911" s="2" t="str">
        <f aca="false">IF(F911&lt;&gt;"","N",IF(LEFT(B911,10)="Arsenal v ","H","A"))</f>
        <v>A</v>
      </c>
      <c r="J911" s="2"/>
    </row>
    <row r="912" customFormat="false" ht="15" hidden="false" customHeight="false" outlineLevel="0" collapsed="false">
      <c r="A912" s="3" t="n">
        <v>38409</v>
      </c>
      <c r="B912" s="2" t="s">
        <v>546</v>
      </c>
      <c r="C912" s="2" t="s">
        <v>706</v>
      </c>
      <c r="D912" s="2" t="s">
        <v>361</v>
      </c>
      <c r="E912" s="2" t="s">
        <v>356</v>
      </c>
      <c r="F912" s="2"/>
      <c r="G912" s="2" t="s">
        <v>263</v>
      </c>
      <c r="H912" s="2" t="str">
        <f aca="false">IF(LEFT(B912,10)="Arsenal v ",MID(B912,11,100),LEFT(B912,FIND(" v ",B912)-1))</f>
        <v>Southampton</v>
      </c>
      <c r="I912" s="2" t="str">
        <f aca="false">IF(F912&lt;&gt;"","N",IF(LEFT(B912,10)="Arsenal v ","H","A"))</f>
        <v>A</v>
      </c>
      <c r="J912" s="2"/>
    </row>
    <row r="913" customFormat="false" ht="15" hidden="false" customHeight="false" outlineLevel="0" collapsed="false">
      <c r="A913" s="3" t="n">
        <v>38412</v>
      </c>
      <c r="B913" s="2" t="s">
        <v>541</v>
      </c>
      <c r="C913" s="2" t="s">
        <v>702</v>
      </c>
      <c r="D913" s="2" t="s">
        <v>542</v>
      </c>
      <c r="E913" s="2" t="s">
        <v>362</v>
      </c>
      <c r="F913" s="2"/>
      <c r="G913" s="2" t="s">
        <v>263</v>
      </c>
      <c r="H913" s="2" t="str">
        <f aca="false">IF(LEFT(B913,10)="Arsenal v ",MID(B913,11,100),LEFT(B913,FIND(" v ",B913)-1))</f>
        <v>Sheffield United</v>
      </c>
      <c r="I913" s="2" t="str">
        <f aca="false">IF(F913&lt;&gt;"","N",IF(LEFT(B913,10)="Arsenal v ","H","A"))</f>
        <v>A</v>
      </c>
      <c r="J913" s="2"/>
    </row>
    <row r="914" customFormat="false" ht="15" hidden="false" customHeight="false" outlineLevel="0" collapsed="false">
      <c r="A914" s="3" t="n">
        <v>38416</v>
      </c>
      <c r="B914" s="2" t="s">
        <v>795</v>
      </c>
      <c r="C914" s="2" t="s">
        <v>702</v>
      </c>
      <c r="D914" s="2" t="s">
        <v>434</v>
      </c>
      <c r="E914" s="2" t="s">
        <v>356</v>
      </c>
      <c r="F914" s="2"/>
      <c r="G914" s="2" t="s">
        <v>263</v>
      </c>
      <c r="H914" s="2" t="str">
        <f aca="false">IF(LEFT(B914,10)="Arsenal v ",MID(B914,11,100),LEFT(B914,FIND(" v ",B914)-1))</f>
        <v>Portsmouth</v>
      </c>
      <c r="I914" s="2" t="str">
        <f aca="false">IF(F914&lt;&gt;"","N",IF(LEFT(B914,10)="Arsenal v ","H","A"))</f>
        <v>H</v>
      </c>
      <c r="J914" s="2"/>
    </row>
    <row r="915" customFormat="false" ht="15" hidden="false" customHeight="false" outlineLevel="0" collapsed="false">
      <c r="A915" s="3" t="n">
        <v>38420</v>
      </c>
      <c r="B915" s="2" t="s">
        <v>802</v>
      </c>
      <c r="C915" s="2" t="s">
        <v>702</v>
      </c>
      <c r="D915" s="2" t="s">
        <v>348</v>
      </c>
      <c r="E915" s="2" t="s">
        <v>352</v>
      </c>
      <c r="F915" s="2"/>
      <c r="G915" s="2" t="s">
        <v>263</v>
      </c>
      <c r="H915" s="2" t="str">
        <f aca="false">IF(LEFT(B915,10)="Arsenal v ",MID(B915,11,100),LEFT(B915,FIND(" v ",B915)-1))</f>
        <v>Bayern Munchen</v>
      </c>
      <c r="I915" s="2" t="str">
        <f aca="false">IF(F915&lt;&gt;"","N",IF(LEFT(B915,10)="Arsenal v ","H","A"))</f>
        <v>H</v>
      </c>
      <c r="J915" s="2"/>
    </row>
    <row r="916" customFormat="false" ht="15" hidden="false" customHeight="false" outlineLevel="0" collapsed="false">
      <c r="A916" s="3" t="n">
        <v>38423</v>
      </c>
      <c r="B916" s="2" t="s">
        <v>410</v>
      </c>
      <c r="C916" s="2" t="s">
        <v>702</v>
      </c>
      <c r="D916" s="2" t="s">
        <v>383</v>
      </c>
      <c r="E916" s="2" t="s">
        <v>362</v>
      </c>
      <c r="F916" s="2"/>
      <c r="G916" s="2" t="s">
        <v>263</v>
      </c>
      <c r="H916" s="2" t="str">
        <f aca="false">IF(LEFT(B916,10)="Arsenal v ",MID(B916,11,100),LEFT(B916,FIND(" v ",B916)-1))</f>
        <v>Bolton Wanderers</v>
      </c>
      <c r="I916" s="2" t="str">
        <f aca="false">IF(F916&lt;&gt;"","N",IF(LEFT(B916,10)="Arsenal v ","H","A"))</f>
        <v>A</v>
      </c>
      <c r="J916" s="2"/>
    </row>
    <row r="917" customFormat="false" ht="15" hidden="false" customHeight="false" outlineLevel="0" collapsed="false">
      <c r="A917" s="3" t="n">
        <v>38430</v>
      </c>
      <c r="B917" s="2" t="s">
        <v>406</v>
      </c>
      <c r="C917" s="2" t="s">
        <v>702</v>
      </c>
      <c r="D917" s="2" t="s">
        <v>383</v>
      </c>
      <c r="E917" s="2" t="s">
        <v>356</v>
      </c>
      <c r="F917" s="2"/>
      <c r="G917" s="2" t="s">
        <v>263</v>
      </c>
      <c r="H917" s="2" t="str">
        <f aca="false">IF(LEFT(B917,10)="Arsenal v ",MID(B917,11,100),LEFT(B917,FIND(" v ",B917)-1))</f>
        <v>Blackburn Rovers</v>
      </c>
      <c r="I917" s="2" t="str">
        <f aca="false">IF(F917&lt;&gt;"","N",IF(LEFT(B917,10)="Arsenal v ","H","A"))</f>
        <v>A</v>
      </c>
      <c r="J917" s="2"/>
    </row>
    <row r="918" customFormat="false" ht="15" hidden="false" customHeight="false" outlineLevel="0" collapsed="false">
      <c r="A918" s="3" t="n">
        <v>38444</v>
      </c>
      <c r="B918" s="2" t="s">
        <v>720</v>
      </c>
      <c r="C918" s="2" t="s">
        <v>702</v>
      </c>
      <c r="D918" s="2" t="s">
        <v>397</v>
      </c>
      <c r="E918" s="2" t="s">
        <v>356</v>
      </c>
      <c r="F918" s="2"/>
      <c r="G918" s="2" t="s">
        <v>263</v>
      </c>
      <c r="H918" s="2" t="str">
        <f aca="false">IF(LEFT(B918,10)="Arsenal v ",MID(B918,11,100),LEFT(B918,FIND(" v ",B918)-1))</f>
        <v>Norwich City</v>
      </c>
      <c r="I918" s="2" t="str">
        <f aca="false">IF(F918&lt;&gt;"","N",IF(LEFT(B918,10)="Arsenal v ","H","A"))</f>
        <v>H</v>
      </c>
      <c r="J918" s="2"/>
    </row>
    <row r="919" customFormat="false" ht="15" hidden="false" customHeight="false" outlineLevel="0" collapsed="false">
      <c r="A919" s="3" t="n">
        <v>38451</v>
      </c>
      <c r="B919" s="2" t="s">
        <v>494</v>
      </c>
      <c r="C919" s="2" t="s">
        <v>702</v>
      </c>
      <c r="D919" s="2" t="s">
        <v>383</v>
      </c>
      <c r="E919" s="2" t="s">
        <v>356</v>
      </c>
      <c r="F919" s="2"/>
      <c r="G919" s="2" t="s">
        <v>263</v>
      </c>
      <c r="H919" s="2" t="str">
        <f aca="false">IF(LEFT(B919,10)="Arsenal v ",MID(B919,11,100),LEFT(B919,FIND(" v ",B919)-1))</f>
        <v>Middlesbrough</v>
      </c>
      <c r="I919" s="2" t="str">
        <f aca="false">IF(F919&lt;&gt;"","N",IF(LEFT(B919,10)="Arsenal v ","H","A"))</f>
        <v>A</v>
      </c>
      <c r="J919" s="2"/>
    </row>
    <row r="920" customFormat="false" ht="15" hidden="false" customHeight="false" outlineLevel="0" collapsed="false">
      <c r="A920" s="3" t="n">
        <v>38458</v>
      </c>
      <c r="B920" s="2" t="s">
        <v>737</v>
      </c>
      <c r="C920" s="2" t="s">
        <v>702</v>
      </c>
      <c r="D920" s="2" t="s">
        <v>434</v>
      </c>
      <c r="E920" s="2" t="s">
        <v>362</v>
      </c>
      <c r="F920" s="2" t="s">
        <v>689</v>
      </c>
      <c r="G920" s="2" t="s">
        <v>263</v>
      </c>
      <c r="H920" s="2" t="str">
        <f aca="false">IF(LEFT(B920,10)="Arsenal v ",MID(B920,11,100),LEFT(B920,FIND(" v ",B920)-1))</f>
        <v>Blackburn Rovers</v>
      </c>
      <c r="I920" s="2" t="str">
        <f aca="false">IF(F920&lt;&gt;"","N",IF(LEFT(B920,10)="Arsenal v ","H","A"))</f>
        <v>N</v>
      </c>
      <c r="J920" s="2"/>
    </row>
    <row r="921" customFormat="false" ht="15" hidden="false" customHeight="false" outlineLevel="0" collapsed="false">
      <c r="A921" s="3" t="n">
        <v>38462</v>
      </c>
      <c r="B921" s="2" t="s">
        <v>426</v>
      </c>
      <c r="C921" s="2" t="s">
        <v>706</v>
      </c>
      <c r="D921" s="2" t="s">
        <v>369</v>
      </c>
      <c r="E921" s="2" t="s">
        <v>356</v>
      </c>
      <c r="F921" s="2"/>
      <c r="G921" s="2" t="s">
        <v>263</v>
      </c>
      <c r="H921" s="2" t="str">
        <f aca="false">IF(LEFT(B921,10)="Arsenal v ",MID(B921,11,100),LEFT(B921,FIND(" v ",B921)-1))</f>
        <v>Chelsea</v>
      </c>
      <c r="I921" s="2" t="str">
        <f aca="false">IF(F921&lt;&gt;"","N",IF(LEFT(B921,10)="Arsenal v ","H","A"))</f>
        <v>A</v>
      </c>
      <c r="J921" s="2"/>
    </row>
    <row r="922" customFormat="false" ht="15" hidden="false" customHeight="false" outlineLevel="0" collapsed="false">
      <c r="A922" s="3" t="n">
        <v>38467</v>
      </c>
      <c r="B922" s="2" t="s">
        <v>655</v>
      </c>
      <c r="C922" s="2" t="s">
        <v>702</v>
      </c>
      <c r="D922" s="2" t="s">
        <v>348</v>
      </c>
      <c r="E922" s="2" t="s">
        <v>356</v>
      </c>
      <c r="F922" s="2"/>
      <c r="G922" s="2" t="s">
        <v>263</v>
      </c>
      <c r="H922" s="2" t="str">
        <f aca="false">IF(LEFT(B922,10)="Arsenal v ",MID(B922,11,100),LEFT(B922,FIND(" v ",B922)-1))</f>
        <v>Tottenham Hotspur</v>
      </c>
      <c r="I922" s="2" t="str">
        <f aca="false">IF(F922&lt;&gt;"","N",IF(LEFT(B922,10)="Arsenal v ","H","A"))</f>
        <v>H</v>
      </c>
      <c r="J922" s="2"/>
    </row>
    <row r="923" customFormat="false" ht="15" hidden="false" customHeight="false" outlineLevel="0" collapsed="false">
      <c r="A923" s="3" t="n">
        <v>38474</v>
      </c>
      <c r="B923" s="2" t="s">
        <v>571</v>
      </c>
      <c r="C923" s="2" t="s">
        <v>702</v>
      </c>
      <c r="D923" s="2" t="s">
        <v>353</v>
      </c>
      <c r="E923" s="2" t="s">
        <v>356</v>
      </c>
      <c r="F923" s="2"/>
      <c r="G923" s="2" t="s">
        <v>263</v>
      </c>
      <c r="H923" s="2" t="str">
        <f aca="false">IF(LEFT(B923,10)="Arsenal v ",MID(B923,11,100),LEFT(B923,FIND(" v ",B923)-1))</f>
        <v>West Bromwich Albion</v>
      </c>
      <c r="I923" s="2" t="str">
        <f aca="false">IF(F923&lt;&gt;"","N",IF(LEFT(B923,10)="Arsenal v ","H","A"))</f>
        <v>A</v>
      </c>
      <c r="J923" s="2"/>
    </row>
    <row r="924" customFormat="false" ht="15" hidden="false" customHeight="false" outlineLevel="0" collapsed="false">
      <c r="A924" s="3" t="n">
        <v>38480</v>
      </c>
      <c r="B924" s="2" t="s">
        <v>710</v>
      </c>
      <c r="C924" s="2" t="s">
        <v>702</v>
      </c>
      <c r="D924" s="2" t="s">
        <v>377</v>
      </c>
      <c r="E924" s="2" t="s">
        <v>356</v>
      </c>
      <c r="F924" s="2"/>
      <c r="G924" s="2" t="s">
        <v>263</v>
      </c>
      <c r="H924" s="2" t="str">
        <f aca="false">IF(LEFT(B924,10)="Arsenal v ",MID(B924,11,100),LEFT(B924,FIND(" v ",B924)-1))</f>
        <v>Liverpool</v>
      </c>
      <c r="I924" s="2" t="str">
        <f aca="false">IF(F924&lt;&gt;"","N",IF(LEFT(B924,10)="Arsenal v ","H","A"))</f>
        <v>H</v>
      </c>
      <c r="J924" s="2"/>
    </row>
    <row r="925" customFormat="false" ht="15" hidden="false" customHeight="false" outlineLevel="0" collapsed="false">
      <c r="A925" s="3" t="n">
        <v>38483</v>
      </c>
      <c r="B925" s="2" t="s">
        <v>718</v>
      </c>
      <c r="C925" s="2" t="s">
        <v>702</v>
      </c>
      <c r="D925" s="2" t="s">
        <v>803</v>
      </c>
      <c r="E925" s="2" t="s">
        <v>356</v>
      </c>
      <c r="F925" s="2"/>
      <c r="G925" s="2" t="s">
        <v>263</v>
      </c>
      <c r="H925" s="2" t="str">
        <f aca="false">IF(LEFT(B925,10)="Arsenal v ",MID(B925,11,100),LEFT(B925,FIND(" v ",B925)-1))</f>
        <v>Everton</v>
      </c>
      <c r="I925" s="2" t="str">
        <f aca="false">IF(F925&lt;&gt;"","N",IF(LEFT(B925,10)="Arsenal v ","H","A"))</f>
        <v>H</v>
      </c>
      <c r="J925" s="2"/>
    </row>
    <row r="926" customFormat="false" ht="15" hidden="false" customHeight="false" outlineLevel="0" collapsed="false">
      <c r="A926" s="3" t="n">
        <v>38487</v>
      </c>
      <c r="B926" s="2" t="s">
        <v>405</v>
      </c>
      <c r="C926" s="2" t="s">
        <v>704</v>
      </c>
      <c r="D926" s="2" t="s">
        <v>359</v>
      </c>
      <c r="E926" s="2" t="s">
        <v>356</v>
      </c>
      <c r="F926" s="2"/>
      <c r="G926" s="2" t="s">
        <v>263</v>
      </c>
      <c r="H926" s="2" t="str">
        <f aca="false">IF(LEFT(B926,10)="Arsenal v ",MID(B926,11,100),LEFT(B926,FIND(" v ",B926)-1))</f>
        <v>Birmingham City</v>
      </c>
      <c r="I926" s="2" t="str">
        <f aca="false">IF(F926&lt;&gt;"","N",IF(LEFT(B926,10)="Arsenal v ","H","A"))</f>
        <v>A</v>
      </c>
      <c r="J926" s="2"/>
    </row>
    <row r="927" customFormat="false" ht="15" hidden="false" customHeight="false" outlineLevel="0" collapsed="false">
      <c r="A927" s="3" t="n">
        <v>38493</v>
      </c>
      <c r="B927" s="2" t="s">
        <v>656</v>
      </c>
      <c r="C927" s="2" t="s">
        <v>702</v>
      </c>
      <c r="D927" s="2" t="s">
        <v>804</v>
      </c>
      <c r="E927" s="2" t="s">
        <v>362</v>
      </c>
      <c r="F927" s="2" t="s">
        <v>689</v>
      </c>
      <c r="G927" s="2" t="s">
        <v>263</v>
      </c>
      <c r="H927" s="2" t="str">
        <f aca="false">IF(LEFT(B927,10)="Arsenal v ",MID(B927,11,100),LEFT(B927,FIND(" v ",B927)-1))</f>
        <v>Manchester United</v>
      </c>
      <c r="I927" s="2" t="str">
        <f aca="false">IF(F927&lt;&gt;"","N",IF(LEFT(B927,10)="Arsenal v ","H","A"))</f>
        <v>N</v>
      </c>
      <c r="J927" s="2"/>
    </row>
    <row r="928" customFormat="false" ht="15" hidden="false" customHeight="false" outlineLevel="0" collapsed="false">
      <c r="A928" s="3" t="n">
        <v>38571</v>
      </c>
      <c r="B928" s="2" t="s">
        <v>725</v>
      </c>
      <c r="C928" s="2" t="s">
        <v>704</v>
      </c>
      <c r="D928" s="2" t="s">
        <v>360</v>
      </c>
      <c r="E928" s="2" t="s">
        <v>787</v>
      </c>
      <c r="F928" s="2" t="s">
        <v>689</v>
      </c>
      <c r="G928" s="2" t="s">
        <v>123</v>
      </c>
      <c r="H928" s="2" t="str">
        <f aca="false">IF(LEFT(B928,10)="Arsenal v ",MID(B928,11,100),LEFT(B928,FIND(" v ",B928)-1))</f>
        <v>Chelsea</v>
      </c>
      <c r="I928" s="2" t="str">
        <f aca="false">IF(F928&lt;&gt;"","N",IF(LEFT(B928,10)="Arsenal v ","H","A"))</f>
        <v>N</v>
      </c>
      <c r="J928" s="2"/>
    </row>
    <row r="929" customFormat="false" ht="15" hidden="false" customHeight="false" outlineLevel="0" collapsed="false">
      <c r="A929" s="3" t="n">
        <v>38578</v>
      </c>
      <c r="B929" s="2" t="s">
        <v>719</v>
      </c>
      <c r="C929" s="2" t="s">
        <v>702</v>
      </c>
      <c r="D929" s="2" t="s">
        <v>351</v>
      </c>
      <c r="E929" s="2" t="s">
        <v>356</v>
      </c>
      <c r="F929" s="2"/>
      <c r="G929" s="2" t="s">
        <v>123</v>
      </c>
      <c r="H929" s="2" t="str">
        <f aca="false">IF(LEFT(B929,10)="Arsenal v ",MID(B929,11,100),LEFT(B929,FIND(" v ",B929)-1))</f>
        <v>Newcastle United</v>
      </c>
      <c r="I929" s="2" t="str">
        <f aca="false">IF(F929&lt;&gt;"","N",IF(LEFT(B929,10)="Arsenal v ","H","A"))</f>
        <v>H</v>
      </c>
      <c r="J929" s="2"/>
    </row>
    <row r="930" customFormat="false" ht="15" hidden="false" customHeight="false" outlineLevel="0" collapsed="false">
      <c r="A930" s="3" t="n">
        <v>38585</v>
      </c>
      <c r="B930" s="2" t="s">
        <v>426</v>
      </c>
      <c r="C930" s="2" t="s">
        <v>704</v>
      </c>
      <c r="D930" s="2" t="s">
        <v>348</v>
      </c>
      <c r="E930" s="2" t="s">
        <v>356</v>
      </c>
      <c r="F930" s="2"/>
      <c r="G930" s="2" t="s">
        <v>123</v>
      </c>
      <c r="H930" s="2" t="str">
        <f aca="false">IF(LEFT(B930,10)="Arsenal v ",MID(B930,11,100),LEFT(B930,FIND(" v ",B930)-1))</f>
        <v>Chelsea</v>
      </c>
      <c r="I930" s="2" t="str">
        <f aca="false">IF(F930&lt;&gt;"","N",IF(LEFT(B930,10)="Arsenal v ","H","A"))</f>
        <v>A</v>
      </c>
      <c r="J930" s="2"/>
    </row>
    <row r="931" customFormat="false" ht="15" hidden="false" customHeight="false" outlineLevel="0" collapsed="false">
      <c r="A931" s="3" t="n">
        <v>38588</v>
      </c>
      <c r="B931" s="2" t="s">
        <v>784</v>
      </c>
      <c r="C931" s="2" t="s">
        <v>702</v>
      </c>
      <c r="D931" s="2" t="s">
        <v>397</v>
      </c>
      <c r="E931" s="2" t="s">
        <v>356</v>
      </c>
      <c r="F931" s="2"/>
      <c r="G931" s="2" t="s">
        <v>123</v>
      </c>
      <c r="H931" s="2" t="str">
        <f aca="false">IF(LEFT(B931,10)="Arsenal v ",MID(B931,11,100),LEFT(B931,FIND(" v ",B931)-1))</f>
        <v>Fulham</v>
      </c>
      <c r="I931" s="2" t="str">
        <f aca="false">IF(F931&lt;&gt;"","N",IF(LEFT(B931,10)="Arsenal v ","H","A"))</f>
        <v>H</v>
      </c>
      <c r="J931" s="2"/>
    </row>
    <row r="932" customFormat="false" ht="15" hidden="false" customHeight="false" outlineLevel="0" collapsed="false">
      <c r="A932" s="3" t="n">
        <v>38605</v>
      </c>
      <c r="B932" s="2" t="s">
        <v>494</v>
      </c>
      <c r="C932" s="2" t="s">
        <v>704</v>
      </c>
      <c r="D932" s="2" t="s">
        <v>359</v>
      </c>
      <c r="E932" s="2" t="s">
        <v>356</v>
      </c>
      <c r="F932" s="2"/>
      <c r="G932" s="2" t="s">
        <v>123</v>
      </c>
      <c r="H932" s="2" t="str">
        <f aca="false">IF(LEFT(B932,10)="Arsenal v ",MID(B932,11,100),LEFT(B932,FIND(" v ",B932)-1))</f>
        <v>Middlesbrough</v>
      </c>
      <c r="I932" s="2" t="str">
        <f aca="false">IF(F932&lt;&gt;"","N",IF(LEFT(B932,10)="Arsenal v ","H","A"))</f>
        <v>A</v>
      </c>
      <c r="J932" s="2"/>
    </row>
    <row r="933" customFormat="false" ht="15" hidden="false" customHeight="false" outlineLevel="0" collapsed="false">
      <c r="A933" s="3" t="n">
        <v>38609</v>
      </c>
      <c r="B933" s="2" t="s">
        <v>805</v>
      </c>
      <c r="C933" s="2" t="s">
        <v>702</v>
      </c>
      <c r="D933" s="2" t="s">
        <v>359</v>
      </c>
      <c r="E933" s="2" t="s">
        <v>352</v>
      </c>
      <c r="F933" s="2"/>
      <c r="G933" s="2" t="s">
        <v>123</v>
      </c>
      <c r="H933" s="2" t="str">
        <f aca="false">IF(LEFT(B933,10)="Arsenal v ",MID(B933,11,100),LEFT(B933,FIND(" v ",B933)-1))</f>
        <v>FC Thun</v>
      </c>
      <c r="I933" s="2" t="str">
        <f aca="false">IF(F933&lt;&gt;"","N",IF(LEFT(B933,10)="Arsenal v ","H","A"))</f>
        <v>H</v>
      </c>
      <c r="J933" s="2"/>
    </row>
    <row r="934" customFormat="false" ht="15" hidden="false" customHeight="false" outlineLevel="0" collapsed="false">
      <c r="A934" s="3" t="n">
        <v>38614</v>
      </c>
      <c r="B934" s="2" t="s">
        <v>718</v>
      </c>
      <c r="C934" s="2" t="s">
        <v>702</v>
      </c>
      <c r="D934" s="2" t="s">
        <v>351</v>
      </c>
      <c r="E934" s="2" t="s">
        <v>356</v>
      </c>
      <c r="F934" s="2"/>
      <c r="G934" s="2" t="s">
        <v>123</v>
      </c>
      <c r="H934" s="2" t="str">
        <f aca="false">IF(LEFT(B934,10)="Arsenal v ",MID(B934,11,100),LEFT(B934,FIND(" v ",B934)-1))</f>
        <v>Everton</v>
      </c>
      <c r="I934" s="2" t="str">
        <f aca="false">IF(F934&lt;&gt;"","N",IF(LEFT(B934,10)="Arsenal v ","H","A"))</f>
        <v>H</v>
      </c>
      <c r="J934" s="2"/>
    </row>
    <row r="935" customFormat="false" ht="15" hidden="false" customHeight="false" outlineLevel="0" collapsed="false">
      <c r="A935" s="3" t="n">
        <v>38619</v>
      </c>
      <c r="B935" s="2" t="s">
        <v>572</v>
      </c>
      <c r="C935" s="2" t="s">
        <v>706</v>
      </c>
      <c r="D935" s="2" t="s">
        <v>369</v>
      </c>
      <c r="E935" s="2" t="s">
        <v>356</v>
      </c>
      <c r="F935" s="2"/>
      <c r="G935" s="2" t="s">
        <v>123</v>
      </c>
      <c r="H935" s="2" t="str">
        <f aca="false">IF(LEFT(B935,10)="Arsenal v ",MID(B935,11,100),LEFT(B935,FIND(" v ",B935)-1))</f>
        <v>West Ham United</v>
      </c>
      <c r="I935" s="2" t="str">
        <f aca="false">IF(F935&lt;&gt;"","N",IF(LEFT(B935,10)="Arsenal v ","H","A"))</f>
        <v>A</v>
      </c>
      <c r="J935" s="2"/>
    </row>
    <row r="936" customFormat="false" ht="15" hidden="false" customHeight="false" outlineLevel="0" collapsed="false">
      <c r="A936" s="3" t="n">
        <v>38622</v>
      </c>
      <c r="B936" s="2" t="s">
        <v>368</v>
      </c>
      <c r="C936" s="2" t="s">
        <v>702</v>
      </c>
      <c r="D936" s="2" t="s">
        <v>360</v>
      </c>
      <c r="E936" s="2" t="s">
        <v>352</v>
      </c>
      <c r="F936" s="2"/>
      <c r="G936" s="2" t="s">
        <v>123</v>
      </c>
      <c r="H936" s="2" t="str">
        <f aca="false">IF(LEFT(B936,10)="Arsenal v ",MID(B936,11,100),LEFT(B936,FIND(" v ",B936)-1))</f>
        <v>Ajax</v>
      </c>
      <c r="I936" s="2" t="str">
        <f aca="false">IF(F936&lt;&gt;"","N",IF(LEFT(B936,10)="Arsenal v ","H","A"))</f>
        <v>A</v>
      </c>
      <c r="J936" s="2"/>
    </row>
    <row r="937" customFormat="false" ht="15" hidden="false" customHeight="false" outlineLevel="0" collapsed="false">
      <c r="A937" s="3" t="n">
        <v>38627</v>
      </c>
      <c r="B937" s="2" t="s">
        <v>760</v>
      </c>
      <c r="C937" s="2" t="s">
        <v>702</v>
      </c>
      <c r="D937" s="2" t="s">
        <v>348</v>
      </c>
      <c r="E937" s="2" t="s">
        <v>356</v>
      </c>
      <c r="F937" s="2"/>
      <c r="G937" s="2" t="s">
        <v>123</v>
      </c>
      <c r="H937" s="2" t="str">
        <f aca="false">IF(LEFT(B937,10)="Arsenal v ",MID(B937,11,100),LEFT(B937,FIND(" v ",B937)-1))</f>
        <v>Birmingham City</v>
      </c>
      <c r="I937" s="2" t="str">
        <f aca="false">IF(F937&lt;&gt;"","N",IF(LEFT(B937,10)="Arsenal v ","H","A"))</f>
        <v>H</v>
      </c>
      <c r="J937" s="2"/>
    </row>
    <row r="938" customFormat="false" ht="15" hidden="false" customHeight="false" outlineLevel="0" collapsed="false">
      <c r="A938" s="3" t="n">
        <v>38640</v>
      </c>
      <c r="B938" s="2" t="s">
        <v>571</v>
      </c>
      <c r="C938" s="2" t="s">
        <v>704</v>
      </c>
      <c r="D938" s="2" t="s">
        <v>359</v>
      </c>
      <c r="E938" s="2" t="s">
        <v>356</v>
      </c>
      <c r="F938" s="2"/>
      <c r="G938" s="2" t="s">
        <v>123</v>
      </c>
      <c r="H938" s="2" t="str">
        <f aca="false">IF(LEFT(B938,10)="Arsenal v ",MID(B938,11,100),LEFT(B938,FIND(" v ",B938)-1))</f>
        <v>West Bromwich Albion</v>
      </c>
      <c r="I938" s="2" t="str">
        <f aca="false">IF(F938&lt;&gt;"","N",IF(LEFT(B938,10)="Arsenal v ","H","A"))</f>
        <v>A</v>
      </c>
      <c r="J938" s="2"/>
    </row>
    <row r="939" customFormat="false" ht="15" hidden="false" customHeight="false" outlineLevel="0" collapsed="false">
      <c r="A939" s="3" t="n">
        <v>38643</v>
      </c>
      <c r="B939" s="2" t="s">
        <v>547</v>
      </c>
      <c r="C939" s="2" t="s">
        <v>702</v>
      </c>
      <c r="D939" s="2" t="s">
        <v>353</v>
      </c>
      <c r="E939" s="2" t="s">
        <v>352</v>
      </c>
      <c r="F939" s="2"/>
      <c r="G939" s="2" t="s">
        <v>123</v>
      </c>
      <c r="H939" s="2" t="str">
        <f aca="false">IF(LEFT(B939,10)="Arsenal v ",MID(B939,11,100),LEFT(B939,FIND(" v ",B939)-1))</f>
        <v>Sparta Praha</v>
      </c>
      <c r="I939" s="2" t="str">
        <f aca="false">IF(F939&lt;&gt;"","N",IF(LEFT(B939,10)="Arsenal v ","H","A"))</f>
        <v>A</v>
      </c>
      <c r="J939" s="2"/>
    </row>
    <row r="940" customFormat="false" ht="15" hidden="false" customHeight="false" outlineLevel="0" collapsed="false">
      <c r="A940" s="3" t="n">
        <v>38647</v>
      </c>
      <c r="B940" s="2" t="s">
        <v>657</v>
      </c>
      <c r="C940" s="2" t="s">
        <v>702</v>
      </c>
      <c r="D940" s="2" t="s">
        <v>348</v>
      </c>
      <c r="E940" s="2" t="s">
        <v>356</v>
      </c>
      <c r="F940" s="2"/>
      <c r="G940" s="2" t="s">
        <v>123</v>
      </c>
      <c r="H940" s="2" t="str">
        <f aca="false">IF(LEFT(B940,10)="Arsenal v ",MID(B940,11,100),LEFT(B940,FIND(" v ",B940)-1))</f>
        <v>Manchester City</v>
      </c>
      <c r="I940" s="2" t="str">
        <f aca="false">IF(F940&lt;&gt;"","N",IF(LEFT(B940,10)="Arsenal v ","H","A"))</f>
        <v>H</v>
      </c>
      <c r="J940" s="2"/>
    </row>
    <row r="941" customFormat="false" ht="15" hidden="false" customHeight="false" outlineLevel="0" collapsed="false">
      <c r="A941" s="3" t="n">
        <v>38650</v>
      </c>
      <c r="B941" s="2" t="s">
        <v>556</v>
      </c>
      <c r="C941" s="2" t="s">
        <v>702</v>
      </c>
      <c r="D941" s="2" t="s">
        <v>363</v>
      </c>
      <c r="E941" s="2" t="s">
        <v>379</v>
      </c>
      <c r="F941" s="2"/>
      <c r="G941" s="2" t="s">
        <v>123</v>
      </c>
      <c r="H941" s="2" t="str">
        <f aca="false">IF(LEFT(B941,10)="Arsenal v ",MID(B941,11,100),LEFT(B941,FIND(" v ",B941)-1))</f>
        <v>Sunderland</v>
      </c>
      <c r="I941" s="2" t="str">
        <f aca="false">IF(F941&lt;&gt;"","N",IF(LEFT(B941,10)="Arsenal v ","H","A"))</f>
        <v>A</v>
      </c>
      <c r="J941" s="2"/>
    </row>
    <row r="942" customFormat="false" ht="15" hidden="false" customHeight="false" outlineLevel="0" collapsed="false">
      <c r="A942" s="3" t="n">
        <v>38654</v>
      </c>
      <c r="B942" s="2" t="s">
        <v>561</v>
      </c>
      <c r="C942" s="2" t="s">
        <v>706</v>
      </c>
      <c r="D942" s="2" t="s">
        <v>361</v>
      </c>
      <c r="E942" s="2" t="s">
        <v>356</v>
      </c>
      <c r="F942" s="2"/>
      <c r="G942" s="2" t="s">
        <v>123</v>
      </c>
      <c r="H942" s="2" t="str">
        <f aca="false">IF(LEFT(B942,10)="Arsenal v ",MID(B942,11,100),LEFT(B942,FIND(" v ",B942)-1))</f>
        <v>Tottenham Hotspur</v>
      </c>
      <c r="I942" s="2" t="str">
        <f aca="false">IF(F942&lt;&gt;"","N",IF(LEFT(B942,10)="Arsenal v ","H","A"))</f>
        <v>A</v>
      </c>
      <c r="J942" s="2"/>
    </row>
    <row r="943" customFormat="false" ht="15" hidden="false" customHeight="false" outlineLevel="0" collapsed="false">
      <c r="A943" s="3" t="n">
        <v>38658</v>
      </c>
      <c r="B943" s="2" t="s">
        <v>774</v>
      </c>
      <c r="C943" s="2" t="s">
        <v>702</v>
      </c>
      <c r="D943" s="2" t="s">
        <v>434</v>
      </c>
      <c r="E943" s="2" t="s">
        <v>352</v>
      </c>
      <c r="F943" s="2"/>
      <c r="G943" s="2" t="s">
        <v>123</v>
      </c>
      <c r="H943" s="2" t="str">
        <f aca="false">IF(LEFT(B943,10)="Arsenal v ",MID(B943,11,100),LEFT(B943,FIND(" v ",B943)-1))</f>
        <v>Sparta Praha</v>
      </c>
      <c r="I943" s="2" t="str">
        <f aca="false">IF(F943&lt;&gt;"","N",IF(LEFT(B943,10)="Arsenal v ","H","A"))</f>
        <v>H</v>
      </c>
      <c r="J943" s="2"/>
    </row>
    <row r="944" customFormat="false" ht="15" hidden="false" customHeight="false" outlineLevel="0" collapsed="false">
      <c r="A944" s="3" t="n">
        <v>38661</v>
      </c>
      <c r="B944" s="2" t="s">
        <v>727</v>
      </c>
      <c r="C944" s="2" t="s">
        <v>702</v>
      </c>
      <c r="D944" s="2" t="s">
        <v>377</v>
      </c>
      <c r="E944" s="2" t="s">
        <v>356</v>
      </c>
      <c r="F944" s="2"/>
      <c r="G944" s="2" t="s">
        <v>123</v>
      </c>
      <c r="H944" s="2" t="str">
        <f aca="false">IF(LEFT(B944,10)="Arsenal v ",MID(B944,11,100),LEFT(B944,FIND(" v ",B944)-1))</f>
        <v>Sunderland</v>
      </c>
      <c r="I944" s="2" t="str">
        <f aca="false">IF(F944&lt;&gt;"","N",IF(LEFT(B944,10)="Arsenal v ","H","A"))</f>
        <v>H</v>
      </c>
      <c r="J944" s="2"/>
    </row>
    <row r="945" customFormat="false" ht="15" hidden="false" customHeight="false" outlineLevel="0" collapsed="false">
      <c r="A945" s="3" t="n">
        <v>38675</v>
      </c>
      <c r="B945" s="2" t="s">
        <v>573</v>
      </c>
      <c r="C945" s="2" t="s">
        <v>702</v>
      </c>
      <c r="D945" s="2" t="s">
        <v>366</v>
      </c>
      <c r="E945" s="2" t="s">
        <v>356</v>
      </c>
      <c r="F945" s="2"/>
      <c r="G945" s="2" t="s">
        <v>123</v>
      </c>
      <c r="H945" s="2" t="str">
        <f aca="false">IF(LEFT(B945,10)="Arsenal v ",MID(B945,11,100),LEFT(B945,FIND(" v ",B945)-1))</f>
        <v>Wigan Athletic</v>
      </c>
      <c r="I945" s="2" t="str">
        <f aca="false">IF(F945&lt;&gt;"","N",IF(LEFT(B945,10)="Arsenal v ","H","A"))</f>
        <v>A</v>
      </c>
      <c r="J945" s="2"/>
    </row>
    <row r="946" customFormat="false" ht="15" hidden="false" customHeight="false" outlineLevel="0" collapsed="false">
      <c r="A946" s="3" t="n">
        <v>38678</v>
      </c>
      <c r="B946" s="2" t="s">
        <v>455</v>
      </c>
      <c r="C946" s="2" t="s">
        <v>702</v>
      </c>
      <c r="D946" s="2" t="s">
        <v>383</v>
      </c>
      <c r="E946" s="2" t="s">
        <v>352</v>
      </c>
      <c r="F946" s="2"/>
      <c r="G946" s="2" t="s">
        <v>123</v>
      </c>
      <c r="H946" s="2" t="str">
        <f aca="false">IF(LEFT(B946,10)="Arsenal v ",MID(B946,11,100),LEFT(B946,FIND(" v ",B946)-1))</f>
        <v>FC Thun</v>
      </c>
      <c r="I946" s="2" t="str">
        <f aca="false">IF(F946&lt;&gt;"","N",IF(LEFT(B946,10)="Arsenal v ","H","A"))</f>
        <v>A</v>
      </c>
      <c r="J946" s="2"/>
    </row>
    <row r="947" customFormat="false" ht="15" hidden="false" customHeight="false" outlineLevel="0" collapsed="false">
      <c r="A947" s="3" t="n">
        <v>38682</v>
      </c>
      <c r="B947" s="2" t="s">
        <v>737</v>
      </c>
      <c r="C947" s="2" t="s">
        <v>702</v>
      </c>
      <c r="D947" s="2" t="s">
        <v>434</v>
      </c>
      <c r="E947" s="2" t="s">
        <v>356</v>
      </c>
      <c r="F947" s="2"/>
      <c r="G947" s="2" t="s">
        <v>123</v>
      </c>
      <c r="H947" s="2" t="str">
        <f aca="false">IF(LEFT(B947,10)="Arsenal v ",MID(B947,11,100),LEFT(B947,FIND(" v ",B947)-1))</f>
        <v>Blackburn Rovers</v>
      </c>
      <c r="I947" s="2" t="str">
        <f aca="false">IF(F947&lt;&gt;"","N",IF(LEFT(B947,10)="Arsenal v ","H","A"))</f>
        <v>H</v>
      </c>
      <c r="J947" s="2"/>
    </row>
    <row r="948" customFormat="false" ht="15" hidden="false" customHeight="false" outlineLevel="0" collapsed="false">
      <c r="A948" s="3" t="n">
        <v>38685</v>
      </c>
      <c r="B948" s="2" t="s">
        <v>806</v>
      </c>
      <c r="C948" s="2" t="s">
        <v>702</v>
      </c>
      <c r="D948" s="2" t="s">
        <v>434</v>
      </c>
      <c r="E948" s="2" t="s">
        <v>379</v>
      </c>
      <c r="F948" s="2"/>
      <c r="G948" s="2" t="s">
        <v>123</v>
      </c>
      <c r="H948" s="2" t="str">
        <f aca="false">IF(LEFT(B948,10)="Arsenal v ",MID(B948,11,100),LEFT(B948,FIND(" v ",B948)-1))</f>
        <v>Reading</v>
      </c>
      <c r="I948" s="2" t="str">
        <f aca="false">IF(F948&lt;&gt;"","N",IF(LEFT(B948,10)="Arsenal v ","H","A"))</f>
        <v>H</v>
      </c>
      <c r="J948" s="2"/>
    </row>
    <row r="949" customFormat="false" ht="15" hidden="false" customHeight="false" outlineLevel="0" collapsed="false">
      <c r="A949" s="3" t="n">
        <v>38689</v>
      </c>
      <c r="B949" s="2" t="s">
        <v>410</v>
      </c>
      <c r="C949" s="2" t="s">
        <v>704</v>
      </c>
      <c r="D949" s="2" t="s">
        <v>351</v>
      </c>
      <c r="E949" s="2" t="s">
        <v>356</v>
      </c>
      <c r="F949" s="2"/>
      <c r="G949" s="2" t="s">
        <v>123</v>
      </c>
      <c r="H949" s="2" t="str">
        <f aca="false">IF(LEFT(B949,10)="Arsenal v ",MID(B949,11,100),LEFT(B949,FIND(" v ",B949)-1))</f>
        <v>Bolton Wanderers</v>
      </c>
      <c r="I949" s="2" t="str">
        <f aca="false">IF(F949&lt;&gt;"","N",IF(LEFT(B949,10)="Arsenal v ","H","A"))</f>
        <v>A</v>
      </c>
      <c r="J949" s="2"/>
    </row>
    <row r="950" customFormat="false" ht="15" hidden="false" customHeight="false" outlineLevel="0" collapsed="false">
      <c r="A950" s="3" t="n">
        <v>38693</v>
      </c>
      <c r="B950" s="2" t="s">
        <v>792</v>
      </c>
      <c r="C950" s="2" t="s">
        <v>706</v>
      </c>
      <c r="D950" s="2" t="s">
        <v>369</v>
      </c>
      <c r="E950" s="2" t="s">
        <v>352</v>
      </c>
      <c r="F950" s="2"/>
      <c r="G950" s="2" t="s">
        <v>123</v>
      </c>
      <c r="H950" s="2" t="str">
        <f aca="false">IF(LEFT(B950,10)="Arsenal v ",MID(B950,11,100),LEFT(B950,FIND(" v ",B950)-1))</f>
        <v>Ajax</v>
      </c>
      <c r="I950" s="2" t="str">
        <f aca="false">IF(F950&lt;&gt;"","N",IF(LEFT(B950,10)="Arsenal v ","H","A"))</f>
        <v>H</v>
      </c>
      <c r="J950" s="2"/>
    </row>
    <row r="951" customFormat="false" ht="15" hidden="false" customHeight="false" outlineLevel="0" collapsed="false">
      <c r="A951" s="3" t="n">
        <v>38696</v>
      </c>
      <c r="B951" s="2" t="s">
        <v>501</v>
      </c>
      <c r="C951" s="2" t="s">
        <v>704</v>
      </c>
      <c r="D951" s="2" t="s">
        <v>348</v>
      </c>
      <c r="E951" s="2" t="s">
        <v>356</v>
      </c>
      <c r="F951" s="2"/>
      <c r="G951" s="2" t="s">
        <v>123</v>
      </c>
      <c r="H951" s="2" t="str">
        <f aca="false">IF(LEFT(B951,10)="Arsenal v ",MID(B951,11,100),LEFT(B951,FIND(" v ",B951)-1))</f>
        <v>Newcastle United</v>
      </c>
      <c r="I951" s="2" t="str">
        <f aca="false">IF(F951&lt;&gt;"","N",IF(LEFT(B951,10)="Arsenal v ","H","A"))</f>
        <v>A</v>
      </c>
      <c r="J951" s="2"/>
    </row>
    <row r="952" customFormat="false" ht="15" hidden="false" customHeight="false" outlineLevel="0" collapsed="false">
      <c r="A952" s="3" t="n">
        <v>38704</v>
      </c>
      <c r="B952" s="2" t="s">
        <v>725</v>
      </c>
      <c r="C952" s="2" t="s">
        <v>704</v>
      </c>
      <c r="D952" s="2" t="s">
        <v>353</v>
      </c>
      <c r="E952" s="2" t="s">
        <v>356</v>
      </c>
      <c r="F952" s="2"/>
      <c r="G952" s="2" t="s">
        <v>123</v>
      </c>
      <c r="H952" s="2" t="str">
        <f aca="false">IF(LEFT(B952,10)="Arsenal v ",MID(B952,11,100),LEFT(B952,FIND(" v ",B952)-1))</f>
        <v>Chelsea</v>
      </c>
      <c r="I952" s="2" t="str">
        <f aca="false">IF(F952&lt;&gt;"","N",IF(LEFT(B952,10)="Arsenal v ","H","A"))</f>
        <v>H</v>
      </c>
      <c r="J952" s="2"/>
    </row>
    <row r="953" customFormat="false" ht="15" hidden="false" customHeight="false" outlineLevel="0" collapsed="false">
      <c r="A953" s="3" t="n">
        <v>38707</v>
      </c>
      <c r="B953" s="2" t="s">
        <v>443</v>
      </c>
      <c r="C953" s="2" t="s">
        <v>702</v>
      </c>
      <c r="D953" s="2" t="s">
        <v>444</v>
      </c>
      <c r="E953" s="2" t="s">
        <v>379</v>
      </c>
      <c r="F953" s="2"/>
      <c r="G953" s="2" t="s">
        <v>123</v>
      </c>
      <c r="H953" s="2" t="str">
        <f aca="false">IF(LEFT(B953,10)="Arsenal v ",MID(B953,11,100),LEFT(B953,FIND(" v ",B953)-1))</f>
        <v>Doncaster Rovers</v>
      </c>
      <c r="I953" s="2" t="str">
        <f aca="false">IF(F953&lt;&gt;"","N",IF(LEFT(B953,10)="Arsenal v ","H","A"))</f>
        <v>A</v>
      </c>
      <c r="J953" s="2"/>
    </row>
    <row r="954" customFormat="false" ht="15" hidden="false" customHeight="false" outlineLevel="0" collapsed="false">
      <c r="A954" s="3" t="n">
        <v>38712</v>
      </c>
      <c r="B954" s="2" t="s">
        <v>425</v>
      </c>
      <c r="C954" s="2" t="s">
        <v>702</v>
      </c>
      <c r="D954" s="2" t="s">
        <v>383</v>
      </c>
      <c r="E954" s="2" t="s">
        <v>356</v>
      </c>
      <c r="F954" s="2"/>
      <c r="G954" s="2" t="s">
        <v>123</v>
      </c>
      <c r="H954" s="2" t="str">
        <f aca="false">IF(LEFT(B954,10)="Arsenal v ",MID(B954,11,100),LEFT(B954,FIND(" v ",B954)-1))</f>
        <v>Charlton Athletic</v>
      </c>
      <c r="I954" s="2" t="str">
        <f aca="false">IF(F954&lt;&gt;"","N",IF(LEFT(B954,10)="Arsenal v ","H","A"))</f>
        <v>A</v>
      </c>
      <c r="J954" s="2"/>
    </row>
    <row r="955" customFormat="false" ht="15" hidden="false" customHeight="false" outlineLevel="0" collapsed="false">
      <c r="A955" s="3" t="n">
        <v>38714</v>
      </c>
      <c r="B955" s="2" t="s">
        <v>795</v>
      </c>
      <c r="C955" s="2" t="s">
        <v>702</v>
      </c>
      <c r="D955" s="2" t="s">
        <v>354</v>
      </c>
      <c r="E955" s="2" t="s">
        <v>356</v>
      </c>
      <c r="F955" s="2"/>
      <c r="G955" s="2" t="s">
        <v>123</v>
      </c>
      <c r="H955" s="2" t="str">
        <f aca="false">IF(LEFT(B955,10)="Arsenal v ",MID(B955,11,100),LEFT(B955,FIND(" v ",B955)-1))</f>
        <v>Portsmouth</v>
      </c>
      <c r="I955" s="2" t="str">
        <f aca="false">IF(F955&lt;&gt;"","N",IF(LEFT(B955,10)="Arsenal v ","H","A"))</f>
        <v>H</v>
      </c>
      <c r="J955" s="2"/>
    </row>
    <row r="956" customFormat="false" ht="15" hidden="false" customHeight="false" outlineLevel="0" collapsed="false">
      <c r="A956" s="3" t="n">
        <v>38717</v>
      </c>
      <c r="B956" s="2" t="s">
        <v>376</v>
      </c>
      <c r="C956" s="2" t="s">
        <v>706</v>
      </c>
      <c r="D956" s="2" t="s">
        <v>369</v>
      </c>
      <c r="E956" s="2" t="s">
        <v>356</v>
      </c>
      <c r="F956" s="2"/>
      <c r="G956" s="2" t="s">
        <v>123</v>
      </c>
      <c r="H956" s="2" t="str">
        <f aca="false">IF(LEFT(B956,10)="Arsenal v ",MID(B956,11,100),LEFT(B956,FIND(" v ",B956)-1))</f>
        <v>Aston Villa</v>
      </c>
      <c r="I956" s="2" t="str">
        <f aca="false">IF(F956&lt;&gt;"","N",IF(LEFT(B956,10)="Arsenal v ","H","A"))</f>
        <v>A</v>
      </c>
      <c r="J956" s="2"/>
    </row>
    <row r="957" customFormat="false" ht="15" hidden="false" customHeight="false" outlineLevel="0" collapsed="false">
      <c r="A957" s="3" t="n">
        <v>38720</v>
      </c>
      <c r="B957" s="2" t="s">
        <v>656</v>
      </c>
      <c r="C957" s="2" t="s">
        <v>706</v>
      </c>
      <c r="D957" s="2" t="s">
        <v>369</v>
      </c>
      <c r="E957" s="2" t="s">
        <v>356</v>
      </c>
      <c r="F957" s="2"/>
      <c r="G957" s="2" t="s">
        <v>123</v>
      </c>
      <c r="H957" s="2" t="str">
        <f aca="false">IF(LEFT(B957,10)="Arsenal v ",MID(B957,11,100),LEFT(B957,FIND(" v ",B957)-1))</f>
        <v>Manchester United</v>
      </c>
      <c r="I957" s="2" t="str">
        <f aca="false">IF(F957&lt;&gt;"","N",IF(LEFT(B957,10)="Arsenal v ","H","A"))</f>
        <v>H</v>
      </c>
      <c r="J957" s="2"/>
    </row>
    <row r="958" customFormat="false" ht="15" hidden="false" customHeight="false" outlineLevel="0" collapsed="false">
      <c r="A958" s="3" t="n">
        <v>38724</v>
      </c>
      <c r="B958" s="2" t="s">
        <v>807</v>
      </c>
      <c r="C958" s="2" t="s">
        <v>702</v>
      </c>
      <c r="D958" s="2" t="s">
        <v>359</v>
      </c>
      <c r="E958" s="2" t="s">
        <v>362</v>
      </c>
      <c r="F958" s="2"/>
      <c r="G958" s="2" t="s">
        <v>123</v>
      </c>
      <c r="H958" s="2" t="str">
        <f aca="false">IF(LEFT(B958,10)="Arsenal v ",MID(B958,11,100),LEFT(B958,FIND(" v ",B958)-1))</f>
        <v>Cardiff City</v>
      </c>
      <c r="I958" s="2" t="str">
        <f aca="false">IF(F958&lt;&gt;"","N",IF(LEFT(B958,10)="Arsenal v ","H","A"))</f>
        <v>H</v>
      </c>
      <c r="J958" s="2"/>
    </row>
    <row r="959" customFormat="false" ht="15" hidden="false" customHeight="false" outlineLevel="0" collapsed="false">
      <c r="A959" s="3" t="n">
        <v>38727</v>
      </c>
      <c r="B959" s="2" t="s">
        <v>573</v>
      </c>
      <c r="C959" s="2" t="s">
        <v>704</v>
      </c>
      <c r="D959" s="2" t="s">
        <v>348</v>
      </c>
      <c r="E959" s="2" t="s">
        <v>379</v>
      </c>
      <c r="F959" s="2"/>
      <c r="G959" s="2" t="s">
        <v>123</v>
      </c>
      <c r="H959" s="2" t="str">
        <f aca="false">IF(LEFT(B959,10)="Arsenal v ",MID(B959,11,100),LEFT(B959,FIND(" v ",B959)-1))</f>
        <v>Wigan Athletic</v>
      </c>
      <c r="I959" s="2" t="str">
        <f aca="false">IF(F959&lt;&gt;"","N",IF(LEFT(B959,10)="Arsenal v ","H","A"))</f>
        <v>A</v>
      </c>
      <c r="J959" s="2"/>
    </row>
    <row r="960" customFormat="false" ht="15" hidden="false" customHeight="false" outlineLevel="0" collapsed="false">
      <c r="A960" s="3" t="n">
        <v>38731</v>
      </c>
      <c r="B960" s="2" t="s">
        <v>711</v>
      </c>
      <c r="C960" s="2" t="s">
        <v>702</v>
      </c>
      <c r="D960" s="2" t="s">
        <v>803</v>
      </c>
      <c r="E960" s="2" t="s">
        <v>356</v>
      </c>
      <c r="F960" s="2"/>
      <c r="G960" s="2" t="s">
        <v>123</v>
      </c>
      <c r="H960" s="2" t="str">
        <f aca="false">IF(LEFT(B960,10)="Arsenal v ",MID(B960,11,100),LEFT(B960,FIND(" v ",B960)-1))</f>
        <v>Middlesbrough</v>
      </c>
      <c r="I960" s="2" t="str">
        <f aca="false">IF(F960&lt;&gt;"","N",IF(LEFT(B960,10)="Arsenal v ","H","A"))</f>
        <v>H</v>
      </c>
      <c r="J960" s="2"/>
    </row>
    <row r="961" customFormat="false" ht="15" hidden="false" customHeight="false" outlineLevel="0" collapsed="false">
      <c r="A961" s="3" t="n">
        <v>38738</v>
      </c>
      <c r="B961" s="2" t="s">
        <v>448</v>
      </c>
      <c r="C961" s="2" t="s">
        <v>704</v>
      </c>
      <c r="D961" s="2" t="s">
        <v>348</v>
      </c>
      <c r="E961" s="2" t="s">
        <v>356</v>
      </c>
      <c r="F961" s="2"/>
      <c r="G961" s="2" t="s">
        <v>123</v>
      </c>
      <c r="H961" s="2" t="str">
        <f aca="false">IF(LEFT(B961,10)="Arsenal v ",MID(B961,11,100),LEFT(B961,FIND(" v ",B961)-1))</f>
        <v>Everton</v>
      </c>
      <c r="I961" s="2" t="str">
        <f aca="false">IF(F961&lt;&gt;"","N",IF(LEFT(B961,10)="Arsenal v ","H","A"))</f>
        <v>A</v>
      </c>
      <c r="J961" s="2"/>
    </row>
    <row r="962" customFormat="false" ht="15" hidden="false" customHeight="false" outlineLevel="0" collapsed="false">
      <c r="A962" s="3" t="n">
        <v>38741</v>
      </c>
      <c r="B962" s="2" t="s">
        <v>808</v>
      </c>
      <c r="C962" s="2" t="s">
        <v>702</v>
      </c>
      <c r="D962" s="2" t="s">
        <v>359</v>
      </c>
      <c r="E962" s="2" t="s">
        <v>379</v>
      </c>
      <c r="F962" s="2"/>
      <c r="G962" s="2" t="s">
        <v>123</v>
      </c>
      <c r="H962" s="2" t="str">
        <f aca="false">IF(LEFT(B962,10)="Arsenal v ",MID(B962,11,100),LEFT(B962,FIND(" v ",B962)-1))</f>
        <v>Wigan Athletic</v>
      </c>
      <c r="I962" s="2" t="str">
        <f aca="false">IF(F962&lt;&gt;"","N",IF(LEFT(B962,10)="Arsenal v ","H","A"))</f>
        <v>H</v>
      </c>
      <c r="J962" s="2"/>
    </row>
    <row r="963" customFormat="false" ht="15" hidden="false" customHeight="false" outlineLevel="0" collapsed="false">
      <c r="A963" s="3" t="n">
        <v>38745</v>
      </c>
      <c r="B963" s="2" t="s">
        <v>410</v>
      </c>
      <c r="C963" s="2" t="s">
        <v>704</v>
      </c>
      <c r="D963" s="2" t="s">
        <v>348</v>
      </c>
      <c r="E963" s="2" t="s">
        <v>362</v>
      </c>
      <c r="F963" s="2"/>
      <c r="G963" s="2" t="s">
        <v>123</v>
      </c>
      <c r="H963" s="2" t="str">
        <f aca="false">IF(LEFT(B963,10)="Arsenal v ",MID(B963,11,100),LEFT(B963,FIND(" v ",B963)-1))</f>
        <v>Bolton Wanderers</v>
      </c>
      <c r="I963" s="2" t="str">
        <f aca="false">IF(F963&lt;&gt;"","N",IF(LEFT(B963,10)="Arsenal v ","H","A"))</f>
        <v>A</v>
      </c>
      <c r="J963" s="2"/>
    </row>
    <row r="964" customFormat="false" ht="15" hidden="false" customHeight="false" outlineLevel="0" collapsed="false">
      <c r="A964" s="3" t="n">
        <v>38749</v>
      </c>
      <c r="B964" s="2" t="s">
        <v>712</v>
      </c>
      <c r="C964" s="2" t="s">
        <v>704</v>
      </c>
      <c r="D964" s="2" t="s">
        <v>366</v>
      </c>
      <c r="E964" s="2" t="s">
        <v>356</v>
      </c>
      <c r="F964" s="2"/>
      <c r="G964" s="2" t="s">
        <v>123</v>
      </c>
      <c r="H964" s="2" t="str">
        <f aca="false">IF(LEFT(B964,10)="Arsenal v ",MID(B964,11,100),LEFT(B964,FIND(" v ",B964)-1))</f>
        <v>West Ham United</v>
      </c>
      <c r="I964" s="2" t="str">
        <f aca="false">IF(F964&lt;&gt;"","N",IF(LEFT(B964,10)="Arsenal v ","H","A"))</f>
        <v>H</v>
      </c>
      <c r="J964" s="2"/>
    </row>
    <row r="965" customFormat="false" ht="15" hidden="false" customHeight="false" outlineLevel="0" collapsed="false">
      <c r="A965" s="3" t="n">
        <v>38752</v>
      </c>
      <c r="B965" s="2" t="s">
        <v>405</v>
      </c>
      <c r="C965" s="2" t="s">
        <v>702</v>
      </c>
      <c r="D965" s="2" t="s">
        <v>353</v>
      </c>
      <c r="E965" s="2" t="s">
        <v>356</v>
      </c>
      <c r="F965" s="2"/>
      <c r="G965" s="2" t="s">
        <v>123</v>
      </c>
      <c r="H965" s="2" t="str">
        <f aca="false">IF(LEFT(B965,10)="Arsenal v ",MID(B965,11,100),LEFT(B965,FIND(" v ",B965)-1))</f>
        <v>Birmingham City</v>
      </c>
      <c r="I965" s="2" t="str">
        <f aca="false">IF(F965&lt;&gt;"","N",IF(LEFT(B965,10)="Arsenal v ","H","A"))</f>
        <v>A</v>
      </c>
      <c r="J965" s="2"/>
    </row>
    <row r="966" customFormat="false" ht="15" hidden="false" customHeight="false" outlineLevel="0" collapsed="false">
      <c r="A966" s="3" t="n">
        <v>38759</v>
      </c>
      <c r="B966" s="2" t="s">
        <v>743</v>
      </c>
      <c r="C966" s="2" t="s">
        <v>706</v>
      </c>
      <c r="D966" s="2" t="s">
        <v>361</v>
      </c>
      <c r="E966" s="2" t="s">
        <v>356</v>
      </c>
      <c r="F966" s="2"/>
      <c r="G966" s="2" t="s">
        <v>123</v>
      </c>
      <c r="H966" s="2" t="str">
        <f aca="false">IF(LEFT(B966,10)="Arsenal v ",MID(B966,11,100),LEFT(B966,FIND(" v ",B966)-1))</f>
        <v>Bolton Wanderers</v>
      </c>
      <c r="I966" s="2" t="str">
        <f aca="false">IF(F966&lt;&gt;"","N",IF(LEFT(B966,10)="Arsenal v ","H","A"))</f>
        <v>H</v>
      </c>
      <c r="J966" s="2"/>
    </row>
    <row r="967" customFormat="false" ht="15" hidden="false" customHeight="false" outlineLevel="0" collapsed="false">
      <c r="A967" s="3" t="n">
        <v>38762</v>
      </c>
      <c r="B967" s="2" t="s">
        <v>477</v>
      </c>
      <c r="C967" s="2" t="s">
        <v>704</v>
      </c>
      <c r="D967" s="2" t="s">
        <v>348</v>
      </c>
      <c r="E967" s="2" t="s">
        <v>356</v>
      </c>
      <c r="F967" s="2"/>
      <c r="G967" s="2" t="s">
        <v>123</v>
      </c>
      <c r="H967" s="2" t="str">
        <f aca="false">IF(LEFT(B967,10)="Arsenal v ",MID(B967,11,100),LEFT(B967,FIND(" v ",B967)-1))</f>
        <v>Liverpool</v>
      </c>
      <c r="I967" s="2" t="str">
        <f aca="false">IF(F967&lt;&gt;"","N",IF(LEFT(B967,10)="Arsenal v ","H","A"))</f>
        <v>A</v>
      </c>
      <c r="J967" s="2"/>
    </row>
    <row r="968" customFormat="false" ht="15" hidden="false" customHeight="false" outlineLevel="0" collapsed="false">
      <c r="A968" s="3" t="n">
        <v>38769</v>
      </c>
      <c r="B968" s="2" t="s">
        <v>532</v>
      </c>
      <c r="C968" s="2" t="s">
        <v>702</v>
      </c>
      <c r="D968" s="2" t="s">
        <v>383</v>
      </c>
      <c r="E968" s="2" t="s">
        <v>352</v>
      </c>
      <c r="F968" s="2"/>
      <c r="G968" s="2" t="s">
        <v>123</v>
      </c>
      <c r="H968" s="2" t="str">
        <f aca="false">IF(LEFT(B968,10)="Arsenal v ",MID(B968,11,100),LEFT(B968,FIND(" v ",B968)-1))</f>
        <v>Real Madrid</v>
      </c>
      <c r="I968" s="2" t="str">
        <f aca="false">IF(F968&lt;&gt;"","N",IF(LEFT(B968,10)="Arsenal v ","H","A"))</f>
        <v>A</v>
      </c>
      <c r="J968" s="2"/>
    </row>
    <row r="969" customFormat="false" ht="15" hidden="false" customHeight="false" outlineLevel="0" collapsed="false">
      <c r="A969" s="3" t="n">
        <v>38773</v>
      </c>
      <c r="B969" s="2" t="s">
        <v>406</v>
      </c>
      <c r="C969" s="2" t="s">
        <v>704</v>
      </c>
      <c r="D969" s="2" t="s">
        <v>348</v>
      </c>
      <c r="E969" s="2" t="s">
        <v>356</v>
      </c>
      <c r="F969" s="2"/>
      <c r="G969" s="2" t="s">
        <v>123</v>
      </c>
      <c r="H969" s="2" t="str">
        <f aca="false">IF(LEFT(B969,10)="Arsenal v ",MID(B969,11,100),LEFT(B969,FIND(" v ",B969)-1))</f>
        <v>Blackburn Rovers</v>
      </c>
      <c r="I969" s="2" t="str">
        <f aca="false">IF(F969&lt;&gt;"","N",IF(LEFT(B969,10)="Arsenal v ","H","A"))</f>
        <v>A</v>
      </c>
      <c r="J969" s="2"/>
    </row>
    <row r="970" customFormat="false" ht="15" hidden="false" customHeight="false" outlineLevel="0" collapsed="false">
      <c r="A970" s="3" t="n">
        <v>38780</v>
      </c>
      <c r="B970" s="2" t="s">
        <v>461</v>
      </c>
      <c r="C970" s="2" t="s">
        <v>702</v>
      </c>
      <c r="D970" s="2" t="s">
        <v>365</v>
      </c>
      <c r="E970" s="2" t="s">
        <v>356</v>
      </c>
      <c r="F970" s="2"/>
      <c r="G970" s="2" t="s">
        <v>123</v>
      </c>
      <c r="H970" s="2" t="str">
        <f aca="false">IF(LEFT(B970,10)="Arsenal v ",MID(B970,11,100),LEFT(B970,FIND(" v ",B970)-1))</f>
        <v>Fulham</v>
      </c>
      <c r="I970" s="2" t="str">
        <f aca="false">IF(F970&lt;&gt;"","N",IF(LEFT(B970,10)="Arsenal v ","H","A"))</f>
        <v>A</v>
      </c>
      <c r="J970" s="2"/>
    </row>
    <row r="971" customFormat="false" ht="15" hidden="false" customHeight="false" outlineLevel="0" collapsed="false">
      <c r="A971" s="3" t="n">
        <v>38783</v>
      </c>
      <c r="B971" s="2" t="s">
        <v>809</v>
      </c>
      <c r="C971" s="2" t="s">
        <v>706</v>
      </c>
      <c r="D971" s="2" t="s">
        <v>369</v>
      </c>
      <c r="E971" s="2" t="s">
        <v>352</v>
      </c>
      <c r="F971" s="2"/>
      <c r="G971" s="2" t="s">
        <v>123</v>
      </c>
      <c r="H971" s="2" t="str">
        <f aca="false">IF(LEFT(B971,10)="Arsenal v ",MID(B971,11,100),LEFT(B971,FIND(" v ",B971)-1))</f>
        <v>Real Madrid</v>
      </c>
      <c r="I971" s="2" t="str">
        <f aca="false">IF(F971&lt;&gt;"","N",IF(LEFT(B971,10)="Arsenal v ","H","A"))</f>
        <v>H</v>
      </c>
      <c r="J971" s="2"/>
    </row>
    <row r="972" customFormat="false" ht="15" hidden="false" customHeight="false" outlineLevel="0" collapsed="false">
      <c r="A972" s="3" t="n">
        <v>38788</v>
      </c>
      <c r="B972" s="2" t="s">
        <v>710</v>
      </c>
      <c r="C972" s="2" t="s">
        <v>702</v>
      </c>
      <c r="D972" s="2" t="s">
        <v>359</v>
      </c>
      <c r="E972" s="2" t="s">
        <v>356</v>
      </c>
      <c r="F972" s="2"/>
      <c r="G972" s="2" t="s">
        <v>123</v>
      </c>
      <c r="H972" s="2" t="str">
        <f aca="false">IF(LEFT(B972,10)="Arsenal v ",MID(B972,11,100),LEFT(B972,FIND(" v ",B972)-1))</f>
        <v>Liverpool</v>
      </c>
      <c r="I972" s="2" t="str">
        <f aca="false">IF(F972&lt;&gt;"","N",IF(LEFT(B972,10)="Arsenal v ","H","A"))</f>
        <v>H</v>
      </c>
      <c r="J972" s="2"/>
    </row>
    <row r="973" customFormat="false" ht="15" hidden="false" customHeight="false" outlineLevel="0" collapsed="false">
      <c r="A973" s="3" t="n">
        <v>38794</v>
      </c>
      <c r="B973" s="2" t="s">
        <v>717</v>
      </c>
      <c r="C973" s="2" t="s">
        <v>702</v>
      </c>
      <c r="D973" s="2" t="s">
        <v>434</v>
      </c>
      <c r="E973" s="2" t="s">
        <v>356</v>
      </c>
      <c r="F973" s="2"/>
      <c r="G973" s="2" t="s">
        <v>123</v>
      </c>
      <c r="H973" s="2" t="str">
        <f aca="false">IF(LEFT(B973,10)="Arsenal v ",MID(B973,11,100),LEFT(B973,FIND(" v ",B973)-1))</f>
        <v>Charlton Athletic</v>
      </c>
      <c r="I973" s="2" t="str">
        <f aca="false">IF(F973&lt;&gt;"","N",IF(LEFT(B973,10)="Arsenal v ","H","A"))</f>
        <v>H</v>
      </c>
      <c r="J973" s="2"/>
    </row>
    <row r="974" customFormat="false" ht="15" hidden="false" customHeight="false" outlineLevel="0" collapsed="false">
      <c r="A974" s="3" t="n">
        <v>38804</v>
      </c>
      <c r="B974" s="2" t="s">
        <v>782</v>
      </c>
      <c r="C974" s="2" t="s">
        <v>702</v>
      </c>
      <c r="D974" s="2" t="s">
        <v>351</v>
      </c>
      <c r="E974" s="2" t="s">
        <v>352</v>
      </c>
      <c r="F974" s="2"/>
      <c r="G974" s="2" t="s">
        <v>123</v>
      </c>
      <c r="H974" s="2" t="str">
        <f aca="false">IF(LEFT(B974,10)="Arsenal v ",MID(B974,11,100),LEFT(B974,FIND(" v ",B974)-1))</f>
        <v>Juventus</v>
      </c>
      <c r="I974" s="2" t="str">
        <f aca="false">IF(F974&lt;&gt;"","N",IF(LEFT(B974,10)="Arsenal v ","H","A"))</f>
        <v>H</v>
      </c>
      <c r="J974" s="2"/>
    </row>
    <row r="975" customFormat="false" ht="15" hidden="false" customHeight="false" outlineLevel="0" collapsed="false">
      <c r="A975" s="3" t="n">
        <v>38808</v>
      </c>
      <c r="B975" s="2" t="s">
        <v>703</v>
      </c>
      <c r="C975" s="2" t="s">
        <v>702</v>
      </c>
      <c r="D975" s="2" t="s">
        <v>489</v>
      </c>
      <c r="E975" s="2" t="s">
        <v>356</v>
      </c>
      <c r="F975" s="2"/>
      <c r="G975" s="2" t="s">
        <v>123</v>
      </c>
      <c r="H975" s="2" t="str">
        <f aca="false">IF(LEFT(B975,10)="Arsenal v ",MID(B975,11,100),LEFT(B975,FIND(" v ",B975)-1))</f>
        <v>Aston Villa</v>
      </c>
      <c r="I975" s="2" t="str">
        <f aca="false">IF(F975&lt;&gt;"","N",IF(LEFT(B975,10)="Arsenal v ","H","A"))</f>
        <v>H</v>
      </c>
      <c r="J975" s="2"/>
    </row>
    <row r="976" customFormat="false" ht="15" hidden="false" customHeight="false" outlineLevel="0" collapsed="false">
      <c r="A976" s="3" t="n">
        <v>38812</v>
      </c>
      <c r="B976" s="2" t="s">
        <v>471</v>
      </c>
      <c r="C976" s="2" t="s">
        <v>706</v>
      </c>
      <c r="D976" s="2" t="s">
        <v>369</v>
      </c>
      <c r="E976" s="2" t="s">
        <v>352</v>
      </c>
      <c r="F976" s="2"/>
      <c r="G976" s="2" t="s">
        <v>123</v>
      </c>
      <c r="H976" s="2" t="str">
        <f aca="false">IF(LEFT(B976,10)="Arsenal v ",MID(B976,11,100),LEFT(B976,FIND(" v ",B976)-1))</f>
        <v>Juventus</v>
      </c>
      <c r="I976" s="2" t="str">
        <f aca="false">IF(F976&lt;&gt;"","N",IF(LEFT(B976,10)="Arsenal v ","H","A"))</f>
        <v>A</v>
      </c>
      <c r="J976" s="2"/>
    </row>
    <row r="977" customFormat="false" ht="15" hidden="false" customHeight="false" outlineLevel="0" collapsed="false">
      <c r="A977" s="3" t="n">
        <v>38816</v>
      </c>
      <c r="B977" s="2" t="s">
        <v>490</v>
      </c>
      <c r="C977" s="2" t="s">
        <v>704</v>
      </c>
      <c r="D977" s="2" t="s">
        <v>351</v>
      </c>
      <c r="E977" s="2" t="s">
        <v>356</v>
      </c>
      <c r="F977" s="2"/>
      <c r="G977" s="2" t="s">
        <v>123</v>
      </c>
      <c r="H977" s="2" t="str">
        <f aca="false">IF(LEFT(B977,10)="Arsenal v ",MID(B977,11,100),LEFT(B977,FIND(" v ",B977)-1))</f>
        <v>Manchester United</v>
      </c>
      <c r="I977" s="2" t="str">
        <f aca="false">IF(F977&lt;&gt;"","N",IF(LEFT(B977,10)="Arsenal v ","H","A"))</f>
        <v>A</v>
      </c>
      <c r="J977" s="2"/>
    </row>
    <row r="978" customFormat="false" ht="15" hidden="false" customHeight="false" outlineLevel="0" collapsed="false">
      <c r="A978" s="3" t="n">
        <v>38819</v>
      </c>
      <c r="B978" s="2" t="s">
        <v>520</v>
      </c>
      <c r="C978" s="2" t="s">
        <v>706</v>
      </c>
      <c r="D978" s="2" t="s">
        <v>361</v>
      </c>
      <c r="E978" s="2" t="s">
        <v>356</v>
      </c>
      <c r="F978" s="2"/>
      <c r="G978" s="2" t="s">
        <v>123</v>
      </c>
      <c r="H978" s="2" t="str">
        <f aca="false">IF(LEFT(B978,10)="Arsenal v ",MID(B978,11,100),LEFT(B978,FIND(" v ",B978)-1))</f>
        <v>Portsmouth</v>
      </c>
      <c r="I978" s="2" t="str">
        <f aca="false">IF(F978&lt;&gt;"","N",IF(LEFT(B978,10)="Arsenal v ","H","A"))</f>
        <v>A</v>
      </c>
      <c r="J978" s="2"/>
    </row>
    <row r="979" customFormat="false" ht="15" hidden="false" customHeight="false" outlineLevel="0" collapsed="false">
      <c r="A979" s="3" t="n">
        <v>38822</v>
      </c>
      <c r="B979" s="2" t="s">
        <v>788</v>
      </c>
      <c r="C979" s="2" t="s">
        <v>702</v>
      </c>
      <c r="D979" s="2" t="s">
        <v>377</v>
      </c>
      <c r="E979" s="2" t="s">
        <v>356</v>
      </c>
      <c r="F979" s="2"/>
      <c r="G979" s="2" t="s">
        <v>123</v>
      </c>
      <c r="H979" s="2" t="str">
        <f aca="false">IF(LEFT(B979,10)="Arsenal v ",MID(B979,11,100),LEFT(B979,FIND(" v ",B979)-1))</f>
        <v>West Bromwich Albion</v>
      </c>
      <c r="I979" s="2" t="str">
        <f aca="false">IF(F979&lt;&gt;"","N",IF(LEFT(B979,10)="Arsenal v ","H","A"))</f>
        <v>H</v>
      </c>
      <c r="J979" s="2"/>
    </row>
    <row r="980" customFormat="false" ht="15" hidden="false" customHeight="false" outlineLevel="0" collapsed="false">
      <c r="A980" s="3" t="n">
        <v>38826</v>
      </c>
      <c r="B980" s="2" t="s">
        <v>810</v>
      </c>
      <c r="C980" s="2" t="s">
        <v>702</v>
      </c>
      <c r="D980" s="2" t="s">
        <v>348</v>
      </c>
      <c r="E980" s="2" t="s">
        <v>352</v>
      </c>
      <c r="F980" s="2"/>
      <c r="G980" s="2" t="s">
        <v>123</v>
      </c>
      <c r="H980" s="2" t="str">
        <f aca="false">IF(LEFT(B980,10)="Arsenal v ",MID(B980,11,100),LEFT(B980,FIND(" v ",B980)-1))</f>
        <v>Villarreal</v>
      </c>
      <c r="I980" s="2" t="str">
        <f aca="false">IF(F980&lt;&gt;"","N",IF(LEFT(B980,10)="Arsenal v ","H","A"))</f>
        <v>H</v>
      </c>
      <c r="J980" s="2"/>
    </row>
    <row r="981" customFormat="false" ht="15" hidden="false" customHeight="false" outlineLevel="0" collapsed="false">
      <c r="A981" s="3" t="n">
        <v>38829</v>
      </c>
      <c r="B981" s="2" t="s">
        <v>655</v>
      </c>
      <c r="C981" s="2" t="s">
        <v>706</v>
      </c>
      <c r="D981" s="2" t="s">
        <v>361</v>
      </c>
      <c r="E981" s="2" t="s">
        <v>356</v>
      </c>
      <c r="F981" s="2"/>
      <c r="G981" s="2" t="s">
        <v>123</v>
      </c>
      <c r="H981" s="2" t="str">
        <f aca="false">IF(LEFT(B981,10)="Arsenal v ",MID(B981,11,100),LEFT(B981,FIND(" v ",B981)-1))</f>
        <v>Tottenham Hotspur</v>
      </c>
      <c r="I981" s="2" t="str">
        <f aca="false">IF(F981&lt;&gt;"","N",IF(LEFT(B981,10)="Arsenal v ","H","A"))</f>
        <v>H</v>
      </c>
      <c r="J981" s="2"/>
    </row>
    <row r="982" customFormat="false" ht="15" hidden="false" customHeight="false" outlineLevel="0" collapsed="false">
      <c r="A982" s="3" t="n">
        <v>38832</v>
      </c>
      <c r="B982" s="2" t="s">
        <v>566</v>
      </c>
      <c r="C982" s="2" t="s">
        <v>706</v>
      </c>
      <c r="D982" s="2" t="s">
        <v>369</v>
      </c>
      <c r="E982" s="2" t="s">
        <v>352</v>
      </c>
      <c r="F982" s="2"/>
      <c r="G982" s="2" t="s">
        <v>123</v>
      </c>
      <c r="H982" s="2" t="str">
        <f aca="false">IF(LEFT(B982,10)="Arsenal v ",MID(B982,11,100),LEFT(B982,FIND(" v ",B982)-1))</f>
        <v>Villarreal</v>
      </c>
      <c r="I982" s="2" t="str">
        <f aca="false">IF(F982&lt;&gt;"","N",IF(LEFT(B982,10)="Arsenal v ","H","A"))</f>
        <v>A</v>
      </c>
      <c r="J982" s="2"/>
    </row>
    <row r="983" customFormat="false" ht="15" hidden="false" customHeight="false" outlineLevel="0" collapsed="false">
      <c r="A983" s="3" t="n">
        <v>38838</v>
      </c>
      <c r="B983" s="2" t="s">
        <v>556</v>
      </c>
      <c r="C983" s="2" t="s">
        <v>702</v>
      </c>
      <c r="D983" s="2" t="s">
        <v>363</v>
      </c>
      <c r="E983" s="2" t="s">
        <v>356</v>
      </c>
      <c r="F983" s="2"/>
      <c r="G983" s="2" t="s">
        <v>123</v>
      </c>
      <c r="H983" s="2" t="str">
        <f aca="false">IF(LEFT(B983,10)="Arsenal v ",MID(B983,11,100),LEFT(B983,FIND(" v ",B983)-1))</f>
        <v>Sunderland</v>
      </c>
      <c r="I983" s="2" t="str">
        <f aca="false">IF(F983&lt;&gt;"","N",IF(LEFT(B983,10)="Arsenal v ","H","A"))</f>
        <v>A</v>
      </c>
      <c r="J983" s="2"/>
    </row>
    <row r="984" customFormat="false" ht="15" hidden="false" customHeight="false" outlineLevel="0" collapsed="false">
      <c r="A984" s="3" t="n">
        <v>38841</v>
      </c>
      <c r="B984" s="2" t="s">
        <v>487</v>
      </c>
      <c r="C984" s="2" t="s">
        <v>702</v>
      </c>
      <c r="D984" s="2" t="s">
        <v>373</v>
      </c>
      <c r="E984" s="2" t="s">
        <v>356</v>
      </c>
      <c r="F984" s="2"/>
      <c r="G984" s="2" t="s">
        <v>123</v>
      </c>
      <c r="H984" s="2" t="str">
        <f aca="false">IF(LEFT(B984,10)="Arsenal v ",MID(B984,11,100),LEFT(B984,FIND(" v ",B984)-1))</f>
        <v>Manchester City</v>
      </c>
      <c r="I984" s="2" t="str">
        <f aca="false">IF(F984&lt;&gt;"","N",IF(LEFT(B984,10)="Arsenal v ","H","A"))</f>
        <v>A</v>
      </c>
      <c r="J984" s="2"/>
    </row>
    <row r="985" customFormat="false" ht="15" hidden="false" customHeight="false" outlineLevel="0" collapsed="false">
      <c r="A985" s="3" t="n">
        <v>38844</v>
      </c>
      <c r="B985" s="2" t="s">
        <v>808</v>
      </c>
      <c r="C985" s="2" t="s">
        <v>702</v>
      </c>
      <c r="D985" s="2" t="s">
        <v>479</v>
      </c>
      <c r="E985" s="2" t="s">
        <v>356</v>
      </c>
      <c r="F985" s="2"/>
      <c r="G985" s="2" t="s">
        <v>123</v>
      </c>
      <c r="H985" s="2" t="str">
        <f aca="false">IF(LEFT(B985,10)="Arsenal v ",MID(B985,11,100),LEFT(B985,FIND(" v ",B985)-1))</f>
        <v>Wigan Athletic</v>
      </c>
      <c r="I985" s="2" t="str">
        <f aca="false">IF(F985&lt;&gt;"","N",IF(LEFT(B985,10)="Arsenal v ","H","A"))</f>
        <v>H</v>
      </c>
      <c r="J985" s="2"/>
    </row>
    <row r="986" customFormat="false" ht="15" hidden="false" customHeight="false" outlineLevel="0" collapsed="false">
      <c r="A986" s="3" t="n">
        <v>38854</v>
      </c>
      <c r="B986" s="2" t="s">
        <v>664</v>
      </c>
      <c r="C986" s="2" t="s">
        <v>704</v>
      </c>
      <c r="D986" s="2" t="s">
        <v>360</v>
      </c>
      <c r="E986" s="2" t="s">
        <v>352</v>
      </c>
      <c r="F986" s="2" t="s">
        <v>811</v>
      </c>
      <c r="G986" s="2" t="s">
        <v>123</v>
      </c>
      <c r="H986" s="2" t="str">
        <f aca="false">IF(LEFT(B986,10)="Arsenal v ",MID(B986,11,100),LEFT(B986,FIND(" v ",B986)-1))</f>
        <v>Barcelona</v>
      </c>
      <c r="I986" s="2" t="str">
        <f aca="false">IF(F986&lt;&gt;"","N",IF(LEFT(B986,10)="Arsenal v ","H","A"))</f>
        <v>N</v>
      </c>
      <c r="J986" s="2"/>
    </row>
    <row r="987" customFormat="false" ht="15" hidden="false" customHeight="false" outlineLevel="0" collapsed="false">
      <c r="A987" s="3" t="n">
        <v>38937</v>
      </c>
      <c r="B987" s="2" t="s">
        <v>442</v>
      </c>
      <c r="C987" s="2" t="s">
        <v>702</v>
      </c>
      <c r="D987" s="2" t="s">
        <v>363</v>
      </c>
      <c r="E987" s="2" t="s">
        <v>352</v>
      </c>
      <c r="F987" s="2"/>
      <c r="G987" s="2" t="s">
        <v>110</v>
      </c>
      <c r="H987" s="2" t="str">
        <f aca="false">IF(LEFT(B987,10)="Arsenal v ",MID(B987,11,100),LEFT(B987,FIND(" v ",B987)-1))</f>
        <v>Dinamo Zagreb</v>
      </c>
      <c r="I987" s="2" t="str">
        <f aca="false">IF(F987&lt;&gt;"","N",IF(LEFT(B987,10)="Arsenal v ","H","A"))</f>
        <v>A</v>
      </c>
      <c r="J987" s="2"/>
    </row>
    <row r="988" customFormat="false" ht="15" hidden="false" customHeight="false" outlineLevel="0" collapsed="false">
      <c r="A988" s="3" t="n">
        <v>38948</v>
      </c>
      <c r="B988" s="2" t="s">
        <v>703</v>
      </c>
      <c r="C988" s="2" t="s">
        <v>706</v>
      </c>
      <c r="D988" s="2" t="s">
        <v>361</v>
      </c>
      <c r="E988" s="2" t="s">
        <v>356</v>
      </c>
      <c r="F988" s="2"/>
      <c r="G988" s="2" t="s">
        <v>110</v>
      </c>
      <c r="H988" s="2" t="str">
        <f aca="false">IF(LEFT(B988,10)="Arsenal v ",MID(B988,11,100),LEFT(B988,FIND(" v ",B988)-1))</f>
        <v>Aston Villa</v>
      </c>
      <c r="I988" s="2" t="str">
        <f aca="false">IF(F988&lt;&gt;"","N",IF(LEFT(B988,10)="Arsenal v ","H","A"))</f>
        <v>H</v>
      </c>
      <c r="J988" s="2"/>
    </row>
    <row r="989" customFormat="false" ht="15" hidden="false" customHeight="false" outlineLevel="0" collapsed="false">
      <c r="A989" s="3" t="n">
        <v>38952</v>
      </c>
      <c r="B989" s="2" t="s">
        <v>812</v>
      </c>
      <c r="C989" s="2" t="s">
        <v>702</v>
      </c>
      <c r="D989" s="2" t="s">
        <v>359</v>
      </c>
      <c r="E989" s="2" t="s">
        <v>352</v>
      </c>
      <c r="F989" s="2"/>
      <c r="G989" s="2" t="s">
        <v>110</v>
      </c>
      <c r="H989" s="2" t="str">
        <f aca="false">IF(LEFT(B989,10)="Arsenal v ",MID(B989,11,100),LEFT(B989,FIND(" v ",B989)-1))</f>
        <v>Dinamo Zagreb</v>
      </c>
      <c r="I989" s="2" t="str">
        <f aca="false">IF(F989&lt;&gt;"","N",IF(LEFT(B989,10)="Arsenal v ","H","A"))</f>
        <v>H</v>
      </c>
      <c r="J989" s="2"/>
    </row>
    <row r="990" customFormat="false" ht="15" hidden="false" customHeight="false" outlineLevel="0" collapsed="false">
      <c r="A990" s="3" t="n">
        <v>38955</v>
      </c>
      <c r="B990" s="2" t="s">
        <v>487</v>
      </c>
      <c r="C990" s="2" t="s">
        <v>704</v>
      </c>
      <c r="D990" s="2" t="s">
        <v>348</v>
      </c>
      <c r="E990" s="2" t="s">
        <v>356</v>
      </c>
      <c r="F990" s="2"/>
      <c r="G990" s="2" t="s">
        <v>110</v>
      </c>
      <c r="H990" s="2" t="str">
        <f aca="false">IF(LEFT(B990,10)="Arsenal v ",MID(B990,11,100),LEFT(B990,FIND(" v ",B990)-1))</f>
        <v>Manchester City</v>
      </c>
      <c r="I990" s="2" t="str">
        <f aca="false">IF(F990&lt;&gt;"","N",IF(LEFT(B990,10)="Arsenal v ","H","A"))</f>
        <v>A</v>
      </c>
      <c r="J990" s="2"/>
    </row>
    <row r="991" customFormat="false" ht="15" hidden="false" customHeight="false" outlineLevel="0" collapsed="false">
      <c r="A991" s="3" t="n">
        <v>38969</v>
      </c>
      <c r="B991" s="2" t="s">
        <v>711</v>
      </c>
      <c r="C991" s="2" t="s">
        <v>706</v>
      </c>
      <c r="D991" s="2" t="s">
        <v>361</v>
      </c>
      <c r="E991" s="2" t="s">
        <v>356</v>
      </c>
      <c r="F991" s="2"/>
      <c r="G991" s="2" t="s">
        <v>110</v>
      </c>
      <c r="H991" s="2" t="str">
        <f aca="false">IF(LEFT(B991,10)="Arsenal v ",MID(B991,11,100),LEFT(B991,FIND(" v ",B991)-1))</f>
        <v>Middlesbrough</v>
      </c>
      <c r="I991" s="2" t="str">
        <f aca="false">IF(F991&lt;&gt;"","N",IF(LEFT(B991,10)="Arsenal v ","H","A"))</f>
        <v>H</v>
      </c>
      <c r="J991" s="2"/>
    </row>
    <row r="992" customFormat="false" ht="15" hidden="false" customHeight="false" outlineLevel="0" collapsed="false">
      <c r="A992" s="3" t="n">
        <v>38973</v>
      </c>
      <c r="B992" s="2" t="s">
        <v>464</v>
      </c>
      <c r="C992" s="2" t="s">
        <v>702</v>
      </c>
      <c r="D992" s="2" t="s">
        <v>360</v>
      </c>
      <c r="E992" s="2" t="s">
        <v>352</v>
      </c>
      <c r="F992" s="2"/>
      <c r="G992" s="2" t="s">
        <v>110</v>
      </c>
      <c r="H992" s="2" t="str">
        <f aca="false">IF(LEFT(B992,10)="Arsenal v ",MID(B992,11,100),LEFT(B992,FIND(" v ",B992)-1))</f>
        <v>Hamburger SV</v>
      </c>
      <c r="I992" s="2" t="str">
        <f aca="false">IF(F992&lt;&gt;"","N",IF(LEFT(B992,10)="Arsenal v ","H","A"))</f>
        <v>A</v>
      </c>
      <c r="J992" s="2"/>
    </row>
    <row r="993" customFormat="false" ht="15" hidden="false" customHeight="false" outlineLevel="0" collapsed="false">
      <c r="A993" s="3" t="n">
        <v>38977</v>
      </c>
      <c r="B993" s="2" t="s">
        <v>490</v>
      </c>
      <c r="C993" s="2" t="s">
        <v>702</v>
      </c>
      <c r="D993" s="2" t="s">
        <v>383</v>
      </c>
      <c r="E993" s="2" t="s">
        <v>356</v>
      </c>
      <c r="F993" s="2"/>
      <c r="G993" s="2" t="s">
        <v>110</v>
      </c>
      <c r="H993" s="2" t="str">
        <f aca="false">IF(LEFT(B993,10)="Arsenal v ",MID(B993,11,100),LEFT(B993,FIND(" v ",B993)-1))</f>
        <v>Manchester United</v>
      </c>
      <c r="I993" s="2" t="str">
        <f aca="false">IF(F993&lt;&gt;"","N",IF(LEFT(B993,10)="Arsenal v ","H","A"))</f>
        <v>A</v>
      </c>
      <c r="J993" s="2"/>
    </row>
    <row r="994" customFormat="false" ht="15" hidden="false" customHeight="false" outlineLevel="0" collapsed="false">
      <c r="A994" s="3" t="n">
        <v>38983</v>
      </c>
      <c r="B994" s="2" t="s">
        <v>728</v>
      </c>
      <c r="C994" s="2" t="s">
        <v>702</v>
      </c>
      <c r="D994" s="2" t="s">
        <v>434</v>
      </c>
      <c r="E994" s="2" t="s">
        <v>356</v>
      </c>
      <c r="F994" s="2"/>
      <c r="G994" s="2" t="s">
        <v>110</v>
      </c>
      <c r="H994" s="2" t="str">
        <f aca="false">IF(LEFT(B994,10)="Arsenal v ",MID(B994,11,100),LEFT(B994,FIND(" v ",B994)-1))</f>
        <v>Sheffield United</v>
      </c>
      <c r="I994" s="2" t="str">
        <f aca="false">IF(F994&lt;&gt;"","N",IF(LEFT(B994,10)="Arsenal v ","H","A"))</f>
        <v>H</v>
      </c>
      <c r="J994" s="2"/>
    </row>
    <row r="995" customFormat="false" ht="15" hidden="false" customHeight="false" outlineLevel="0" collapsed="false">
      <c r="A995" s="3" t="n">
        <v>38986</v>
      </c>
      <c r="B995" s="2" t="s">
        <v>813</v>
      </c>
      <c r="C995" s="2" t="s">
        <v>702</v>
      </c>
      <c r="D995" s="2" t="s">
        <v>351</v>
      </c>
      <c r="E995" s="2" t="s">
        <v>352</v>
      </c>
      <c r="F995" s="2"/>
      <c r="G995" s="2" t="s">
        <v>110</v>
      </c>
      <c r="H995" s="2" t="str">
        <f aca="false">IF(LEFT(B995,10)="Arsenal v ",MID(B995,11,100),LEFT(B995,FIND(" v ",B995)-1))</f>
        <v>FC Porto</v>
      </c>
      <c r="I995" s="2" t="str">
        <f aca="false">IF(F995&lt;&gt;"","N",IF(LEFT(B995,10)="Arsenal v ","H","A"))</f>
        <v>H</v>
      </c>
      <c r="J995" s="2"/>
    </row>
    <row r="996" customFormat="false" ht="15" hidden="false" customHeight="false" outlineLevel="0" collapsed="false">
      <c r="A996" s="3" t="n">
        <v>38990</v>
      </c>
      <c r="B996" s="2" t="s">
        <v>425</v>
      </c>
      <c r="C996" s="2" t="s">
        <v>702</v>
      </c>
      <c r="D996" s="2" t="s">
        <v>360</v>
      </c>
      <c r="E996" s="2" t="s">
        <v>356</v>
      </c>
      <c r="F996" s="2"/>
      <c r="G996" s="2" t="s">
        <v>110</v>
      </c>
      <c r="H996" s="2" t="str">
        <f aca="false">IF(LEFT(B996,10)="Arsenal v ",MID(B996,11,100),LEFT(B996,FIND(" v ",B996)-1))</f>
        <v>Charlton Athletic</v>
      </c>
      <c r="I996" s="2" t="str">
        <f aca="false">IF(F996&lt;&gt;"","N",IF(LEFT(B996,10)="Arsenal v ","H","A"))</f>
        <v>A</v>
      </c>
      <c r="J996" s="2"/>
    </row>
    <row r="997" customFormat="false" ht="15" hidden="false" customHeight="false" outlineLevel="0" collapsed="false">
      <c r="A997" s="3" t="n">
        <v>39004</v>
      </c>
      <c r="B997" s="2" t="s">
        <v>764</v>
      </c>
      <c r="C997" s="2" t="s">
        <v>702</v>
      </c>
      <c r="D997" s="2" t="s">
        <v>434</v>
      </c>
      <c r="E997" s="2" t="s">
        <v>356</v>
      </c>
      <c r="F997" s="2"/>
      <c r="G997" s="2" t="s">
        <v>110</v>
      </c>
      <c r="H997" s="2" t="str">
        <f aca="false">IF(LEFT(B997,10)="Arsenal v ",MID(B997,11,100),LEFT(B997,FIND(" v ",B997)-1))</f>
        <v>Watford</v>
      </c>
      <c r="I997" s="2" t="str">
        <f aca="false">IF(F997&lt;&gt;"","N",IF(LEFT(B997,10)="Arsenal v ","H","A"))</f>
        <v>H</v>
      </c>
      <c r="J997" s="2"/>
    </row>
    <row r="998" customFormat="false" ht="15" hidden="false" customHeight="false" outlineLevel="0" collapsed="false">
      <c r="A998" s="3" t="n">
        <v>39007</v>
      </c>
      <c r="B998" s="2" t="s">
        <v>437</v>
      </c>
      <c r="C998" s="2" t="s">
        <v>704</v>
      </c>
      <c r="D998" s="2" t="s">
        <v>348</v>
      </c>
      <c r="E998" s="2" t="s">
        <v>352</v>
      </c>
      <c r="F998" s="2"/>
      <c r="G998" s="2" t="s">
        <v>110</v>
      </c>
      <c r="H998" s="2" t="str">
        <f aca="false">IF(LEFT(B998,10)="Arsenal v ",MID(B998,11,100),LEFT(B998,FIND(" v ",B998)-1))</f>
        <v>CSKA Moskva</v>
      </c>
      <c r="I998" s="2" t="str">
        <f aca="false">IF(F998&lt;&gt;"","N",IF(LEFT(B998,10)="Arsenal v ","H","A"))</f>
        <v>A</v>
      </c>
      <c r="J998" s="2"/>
    </row>
    <row r="999" customFormat="false" ht="15" hidden="false" customHeight="false" outlineLevel="0" collapsed="false">
      <c r="A999" s="3" t="n">
        <v>39012</v>
      </c>
      <c r="B999" s="2" t="s">
        <v>530</v>
      </c>
      <c r="C999" s="2" t="s">
        <v>702</v>
      </c>
      <c r="D999" s="2" t="s">
        <v>365</v>
      </c>
      <c r="E999" s="2" t="s">
        <v>356</v>
      </c>
      <c r="F999" s="2"/>
      <c r="G999" s="2" t="s">
        <v>110</v>
      </c>
      <c r="H999" s="2" t="str">
        <f aca="false">IF(LEFT(B999,10)="Arsenal v ",MID(B999,11,100),LEFT(B999,FIND(" v ",B999)-1))</f>
        <v>Reading</v>
      </c>
      <c r="I999" s="2" t="str">
        <f aca="false">IF(F999&lt;&gt;"","N",IF(LEFT(B999,10)="Arsenal v ","H","A"))</f>
        <v>A</v>
      </c>
      <c r="J999" s="2"/>
    </row>
    <row r="1000" customFormat="false" ht="15" hidden="false" customHeight="false" outlineLevel="0" collapsed="false">
      <c r="A1000" s="3" t="n">
        <v>39014</v>
      </c>
      <c r="B1000" s="2" t="s">
        <v>571</v>
      </c>
      <c r="C1000" s="2" t="s">
        <v>702</v>
      </c>
      <c r="D1000" s="2" t="s">
        <v>353</v>
      </c>
      <c r="E1000" s="2" t="s">
        <v>379</v>
      </c>
      <c r="F1000" s="2"/>
      <c r="G1000" s="2" t="s">
        <v>110</v>
      </c>
      <c r="H1000" s="2" t="str">
        <f aca="false">IF(LEFT(B1000,10)="Arsenal v ",MID(B1000,11,100),LEFT(B1000,FIND(" v ",B1000)-1))</f>
        <v>West Bromwich Albion</v>
      </c>
      <c r="I1000" s="2" t="str">
        <f aca="false">IF(F1000&lt;&gt;"","N",IF(LEFT(B1000,10)="Arsenal v ","H","A"))</f>
        <v>A</v>
      </c>
      <c r="J1000" s="2"/>
    </row>
    <row r="1001" customFormat="false" ht="15" hidden="false" customHeight="false" outlineLevel="0" collapsed="false">
      <c r="A1001" s="3" t="n">
        <v>39018</v>
      </c>
      <c r="B1001" s="2" t="s">
        <v>718</v>
      </c>
      <c r="C1001" s="2" t="s">
        <v>706</v>
      </c>
      <c r="D1001" s="2" t="s">
        <v>361</v>
      </c>
      <c r="E1001" s="2" t="s">
        <v>356</v>
      </c>
      <c r="F1001" s="2"/>
      <c r="G1001" s="2" t="s">
        <v>110</v>
      </c>
      <c r="H1001" s="2" t="str">
        <f aca="false">IF(LEFT(B1001,10)="Arsenal v ",MID(B1001,11,100),LEFT(B1001,FIND(" v ",B1001)-1))</f>
        <v>Everton</v>
      </c>
      <c r="I1001" s="2" t="str">
        <f aca="false">IF(F1001&lt;&gt;"","N",IF(LEFT(B1001,10)="Arsenal v ","H","A"))</f>
        <v>H</v>
      </c>
      <c r="J1001" s="2"/>
    </row>
    <row r="1002" customFormat="false" ht="15" hidden="false" customHeight="false" outlineLevel="0" collapsed="false">
      <c r="A1002" s="3" t="n">
        <v>39022</v>
      </c>
      <c r="B1002" s="2" t="s">
        <v>814</v>
      </c>
      <c r="C1002" s="2" t="s">
        <v>706</v>
      </c>
      <c r="D1002" s="2" t="s">
        <v>369</v>
      </c>
      <c r="E1002" s="2" t="s">
        <v>352</v>
      </c>
      <c r="F1002" s="2"/>
      <c r="G1002" s="2" t="s">
        <v>110</v>
      </c>
      <c r="H1002" s="2" t="str">
        <f aca="false">IF(LEFT(B1002,10)="Arsenal v ",MID(B1002,11,100),LEFT(B1002,FIND(" v ",B1002)-1))</f>
        <v>CSKA Moskva</v>
      </c>
      <c r="I1002" s="2" t="str">
        <f aca="false">IF(F1002&lt;&gt;"","N",IF(LEFT(B1002,10)="Arsenal v ","H","A"))</f>
        <v>H</v>
      </c>
      <c r="J1002" s="2"/>
    </row>
    <row r="1003" customFormat="false" ht="15" hidden="false" customHeight="false" outlineLevel="0" collapsed="false">
      <c r="A1003" s="3" t="n">
        <v>39026</v>
      </c>
      <c r="B1003" s="2" t="s">
        <v>572</v>
      </c>
      <c r="C1003" s="2" t="s">
        <v>704</v>
      </c>
      <c r="D1003" s="2" t="s">
        <v>348</v>
      </c>
      <c r="E1003" s="2" t="s">
        <v>356</v>
      </c>
      <c r="F1003" s="2"/>
      <c r="G1003" s="2" t="s">
        <v>110</v>
      </c>
      <c r="H1003" s="2" t="str">
        <f aca="false">IF(LEFT(B1003,10)="Arsenal v ",MID(B1003,11,100),LEFT(B1003,FIND(" v ",B1003)-1))</f>
        <v>West Ham United</v>
      </c>
      <c r="I1003" s="2" t="str">
        <f aca="false">IF(F1003&lt;&gt;"","N",IF(LEFT(B1003,10)="Arsenal v ","H","A"))</f>
        <v>A</v>
      </c>
      <c r="J1003" s="2"/>
    </row>
    <row r="1004" customFormat="false" ht="15" hidden="false" customHeight="false" outlineLevel="0" collapsed="false">
      <c r="A1004" s="3" t="n">
        <v>39029</v>
      </c>
      <c r="B1004" s="2" t="s">
        <v>448</v>
      </c>
      <c r="C1004" s="2" t="s">
        <v>702</v>
      </c>
      <c r="D1004" s="2" t="s">
        <v>383</v>
      </c>
      <c r="E1004" s="2" t="s">
        <v>379</v>
      </c>
      <c r="F1004" s="2"/>
      <c r="G1004" s="2" t="s">
        <v>110</v>
      </c>
      <c r="H1004" s="2" t="str">
        <f aca="false">IF(LEFT(B1004,10)="Arsenal v ",MID(B1004,11,100),LEFT(B1004,FIND(" v ",B1004)-1))</f>
        <v>Everton</v>
      </c>
      <c r="I1004" s="2" t="str">
        <f aca="false">IF(F1004&lt;&gt;"","N",IF(LEFT(B1004,10)="Arsenal v ","H","A"))</f>
        <v>A</v>
      </c>
      <c r="J1004" s="2"/>
    </row>
    <row r="1005" customFormat="false" ht="15" hidden="false" customHeight="false" outlineLevel="0" collapsed="false">
      <c r="A1005" s="3" t="n">
        <v>39033</v>
      </c>
      <c r="B1005" s="2" t="s">
        <v>710</v>
      </c>
      <c r="C1005" s="2" t="s">
        <v>702</v>
      </c>
      <c r="D1005" s="2" t="s">
        <v>434</v>
      </c>
      <c r="E1005" s="2" t="s">
        <v>356</v>
      </c>
      <c r="F1005" s="2"/>
      <c r="G1005" s="2" t="s">
        <v>110</v>
      </c>
      <c r="H1005" s="2" t="str">
        <f aca="false">IF(LEFT(B1005,10)="Arsenal v ",MID(B1005,11,100),LEFT(B1005,FIND(" v ",B1005)-1))</f>
        <v>Liverpool</v>
      </c>
      <c r="I1005" s="2" t="str">
        <f aca="false">IF(F1005&lt;&gt;"","N",IF(LEFT(B1005,10)="Arsenal v ","H","A"))</f>
        <v>H</v>
      </c>
      <c r="J1005" s="2"/>
    </row>
    <row r="1006" customFormat="false" ht="15" hidden="false" customHeight="false" outlineLevel="0" collapsed="false">
      <c r="A1006" s="3" t="n">
        <v>39039</v>
      </c>
      <c r="B1006" s="2" t="s">
        <v>719</v>
      </c>
      <c r="C1006" s="2" t="s">
        <v>706</v>
      </c>
      <c r="D1006" s="2" t="s">
        <v>361</v>
      </c>
      <c r="E1006" s="2" t="s">
        <v>356</v>
      </c>
      <c r="F1006" s="2"/>
      <c r="G1006" s="2" t="s">
        <v>110</v>
      </c>
      <c r="H1006" s="2" t="str">
        <f aca="false">IF(LEFT(B1006,10)="Arsenal v ",MID(B1006,11,100),LEFT(B1006,FIND(" v ",B1006)-1))</f>
        <v>Newcastle United</v>
      </c>
      <c r="I1006" s="2" t="str">
        <f aca="false">IF(F1006&lt;&gt;"","N",IF(LEFT(B1006,10)="Arsenal v ","H","A"))</f>
        <v>H</v>
      </c>
      <c r="J1006" s="2"/>
    </row>
    <row r="1007" customFormat="false" ht="15" hidden="false" customHeight="false" outlineLevel="0" collapsed="false">
      <c r="A1007" s="3" t="n">
        <v>39042</v>
      </c>
      <c r="B1007" s="2" t="s">
        <v>815</v>
      </c>
      <c r="C1007" s="2" t="s">
        <v>702</v>
      </c>
      <c r="D1007" s="2" t="s">
        <v>377</v>
      </c>
      <c r="E1007" s="2" t="s">
        <v>352</v>
      </c>
      <c r="F1007" s="2"/>
      <c r="G1007" s="2" t="s">
        <v>110</v>
      </c>
      <c r="H1007" s="2" t="str">
        <f aca="false">IF(LEFT(B1007,10)="Arsenal v ",MID(B1007,11,100),LEFT(B1007,FIND(" v ",B1007)-1))</f>
        <v>Hamburger SV</v>
      </c>
      <c r="I1007" s="2" t="str">
        <f aca="false">IF(F1007&lt;&gt;"","N",IF(LEFT(B1007,10)="Arsenal v ","H","A"))</f>
        <v>H</v>
      </c>
      <c r="J1007" s="2"/>
    </row>
    <row r="1008" customFormat="false" ht="15" hidden="false" customHeight="false" outlineLevel="0" collapsed="false">
      <c r="A1008" s="3" t="n">
        <v>39046</v>
      </c>
      <c r="B1008" s="2" t="s">
        <v>410</v>
      </c>
      <c r="C1008" s="2" t="s">
        <v>704</v>
      </c>
      <c r="D1008" s="2" t="s">
        <v>377</v>
      </c>
      <c r="E1008" s="2" t="s">
        <v>356</v>
      </c>
      <c r="F1008" s="2"/>
      <c r="G1008" s="2" t="s">
        <v>110</v>
      </c>
      <c r="H1008" s="2" t="str">
        <f aca="false">IF(LEFT(B1008,10)="Arsenal v ",MID(B1008,11,100),LEFT(B1008,FIND(" v ",B1008)-1))</f>
        <v>Bolton Wanderers</v>
      </c>
      <c r="I1008" s="2" t="str">
        <f aca="false">IF(F1008&lt;&gt;"","N",IF(LEFT(B1008,10)="Arsenal v ","H","A"))</f>
        <v>A</v>
      </c>
      <c r="J1008" s="2"/>
    </row>
    <row r="1009" customFormat="false" ht="15" hidden="false" customHeight="false" outlineLevel="0" collapsed="false">
      <c r="A1009" s="3" t="n">
        <v>39050</v>
      </c>
      <c r="B1009" s="2" t="s">
        <v>461</v>
      </c>
      <c r="C1009" s="2" t="s">
        <v>704</v>
      </c>
      <c r="D1009" s="2" t="s">
        <v>359</v>
      </c>
      <c r="E1009" s="2" t="s">
        <v>356</v>
      </c>
      <c r="F1009" s="2"/>
      <c r="G1009" s="2" t="s">
        <v>110</v>
      </c>
      <c r="H1009" s="2" t="str">
        <f aca="false">IF(LEFT(B1009,10)="Arsenal v ",MID(B1009,11,100),LEFT(B1009,FIND(" v ",B1009)-1))</f>
        <v>Fulham</v>
      </c>
      <c r="I1009" s="2" t="str">
        <f aca="false">IF(F1009&lt;&gt;"","N",IF(LEFT(B1009,10)="Arsenal v ","H","A"))</f>
        <v>A</v>
      </c>
      <c r="J1009" s="2"/>
    </row>
    <row r="1010" customFormat="false" ht="15" hidden="false" customHeight="false" outlineLevel="0" collapsed="false">
      <c r="A1010" s="3" t="n">
        <v>39053</v>
      </c>
      <c r="B1010" s="2" t="s">
        <v>655</v>
      </c>
      <c r="C1010" s="2" t="s">
        <v>702</v>
      </c>
      <c r="D1010" s="2" t="s">
        <v>434</v>
      </c>
      <c r="E1010" s="2" t="s">
        <v>356</v>
      </c>
      <c r="F1010" s="2"/>
      <c r="G1010" s="2" t="s">
        <v>110</v>
      </c>
      <c r="H1010" s="2" t="str">
        <f aca="false">IF(LEFT(B1010,10)="Arsenal v ",MID(B1010,11,100),LEFT(B1010,FIND(" v ",B1010)-1))</f>
        <v>Tottenham Hotspur</v>
      </c>
      <c r="I1010" s="2" t="str">
        <f aca="false">IF(F1010&lt;&gt;"","N",IF(LEFT(B1010,10)="Arsenal v ","H","A"))</f>
        <v>H</v>
      </c>
      <c r="J1010" s="2"/>
    </row>
    <row r="1011" customFormat="false" ht="15" hidden="false" customHeight="false" outlineLevel="0" collapsed="false">
      <c r="A1011" s="3" t="n">
        <v>39057</v>
      </c>
      <c r="B1011" s="2" t="s">
        <v>454</v>
      </c>
      <c r="C1011" s="2" t="s">
        <v>706</v>
      </c>
      <c r="D1011" s="2" t="s">
        <v>369</v>
      </c>
      <c r="E1011" s="2" t="s">
        <v>352</v>
      </c>
      <c r="F1011" s="2"/>
      <c r="G1011" s="2" t="s">
        <v>110</v>
      </c>
      <c r="H1011" s="2" t="str">
        <f aca="false">IF(LEFT(B1011,10)="Arsenal v ",MID(B1011,11,100),LEFT(B1011,FIND(" v ",B1011)-1))</f>
        <v>FC Porto</v>
      </c>
      <c r="I1011" s="2" t="str">
        <f aca="false">IF(F1011&lt;&gt;"","N",IF(LEFT(B1011,10)="Arsenal v ","H","A"))</f>
        <v>A</v>
      </c>
      <c r="J1011" s="2"/>
    </row>
    <row r="1012" customFormat="false" ht="15" hidden="false" customHeight="false" outlineLevel="0" collapsed="false">
      <c r="A1012" s="3" t="n">
        <v>39061</v>
      </c>
      <c r="B1012" s="2" t="s">
        <v>426</v>
      </c>
      <c r="C1012" s="2" t="s">
        <v>706</v>
      </c>
      <c r="D1012" s="2" t="s">
        <v>361</v>
      </c>
      <c r="E1012" s="2" t="s">
        <v>356</v>
      </c>
      <c r="F1012" s="2"/>
      <c r="G1012" s="2" t="s">
        <v>110</v>
      </c>
      <c r="H1012" s="2" t="str">
        <f aca="false">IF(LEFT(B1012,10)="Arsenal v ",MID(B1012,11,100),LEFT(B1012,FIND(" v ",B1012)-1))</f>
        <v>Chelsea</v>
      </c>
      <c r="I1012" s="2" t="str">
        <f aca="false">IF(F1012&lt;&gt;"","N",IF(LEFT(B1012,10)="Arsenal v ","H","A"))</f>
        <v>A</v>
      </c>
      <c r="J1012" s="2"/>
    </row>
    <row r="1013" customFormat="false" ht="15" hidden="false" customHeight="false" outlineLevel="0" collapsed="false">
      <c r="A1013" s="3" t="n">
        <v>39064</v>
      </c>
      <c r="B1013" s="2" t="s">
        <v>573</v>
      </c>
      <c r="C1013" s="2" t="s">
        <v>702</v>
      </c>
      <c r="D1013" s="2" t="s">
        <v>383</v>
      </c>
      <c r="E1013" s="2" t="s">
        <v>356</v>
      </c>
      <c r="F1013" s="2"/>
      <c r="G1013" s="2" t="s">
        <v>110</v>
      </c>
      <c r="H1013" s="2" t="str">
        <f aca="false">IF(LEFT(B1013,10)="Arsenal v ",MID(B1013,11,100),LEFT(B1013,FIND(" v ",B1013)-1))</f>
        <v>Wigan Athletic</v>
      </c>
      <c r="I1013" s="2" t="str">
        <f aca="false">IF(F1013&lt;&gt;"","N",IF(LEFT(B1013,10)="Arsenal v ","H","A"))</f>
        <v>A</v>
      </c>
      <c r="J1013" s="2"/>
    </row>
    <row r="1014" customFormat="false" ht="15" hidden="false" customHeight="false" outlineLevel="0" collapsed="false">
      <c r="A1014" s="3" t="n">
        <v>39067</v>
      </c>
      <c r="B1014" s="2" t="s">
        <v>795</v>
      </c>
      <c r="C1014" s="2" t="s">
        <v>706</v>
      </c>
      <c r="D1014" s="2" t="s">
        <v>380</v>
      </c>
      <c r="E1014" s="2" t="s">
        <v>356</v>
      </c>
      <c r="F1014" s="2"/>
      <c r="G1014" s="2" t="s">
        <v>110</v>
      </c>
      <c r="H1014" s="2" t="str">
        <f aca="false">IF(LEFT(B1014,10)="Arsenal v ",MID(B1014,11,100),LEFT(B1014,FIND(" v ",B1014)-1))</f>
        <v>Portsmouth</v>
      </c>
      <c r="I1014" s="2" t="str">
        <f aca="false">IF(F1014&lt;&gt;"","N",IF(LEFT(B1014,10)="Arsenal v ","H","A"))</f>
        <v>H</v>
      </c>
      <c r="J1014" s="2"/>
    </row>
    <row r="1015" customFormat="false" ht="15" hidden="false" customHeight="false" outlineLevel="0" collapsed="false">
      <c r="A1015" s="3" t="n">
        <v>39074</v>
      </c>
      <c r="B1015" s="2" t="s">
        <v>737</v>
      </c>
      <c r="C1015" s="2" t="s">
        <v>702</v>
      </c>
      <c r="D1015" s="2" t="s">
        <v>816</v>
      </c>
      <c r="E1015" s="2" t="s">
        <v>356</v>
      </c>
      <c r="F1015" s="2"/>
      <c r="G1015" s="2" t="s">
        <v>110</v>
      </c>
      <c r="H1015" s="2" t="str">
        <f aca="false">IF(LEFT(B1015,10)="Arsenal v ",MID(B1015,11,100),LEFT(B1015,FIND(" v ",B1015)-1))</f>
        <v>Blackburn Rovers</v>
      </c>
      <c r="I1015" s="2" t="str">
        <f aca="false">IF(F1015&lt;&gt;"","N",IF(LEFT(B1015,10)="Arsenal v ","H","A"))</f>
        <v>H</v>
      </c>
      <c r="J1015" s="2"/>
    </row>
    <row r="1016" customFormat="false" ht="15" hidden="false" customHeight="false" outlineLevel="0" collapsed="false">
      <c r="A1016" s="3" t="n">
        <v>39077</v>
      </c>
      <c r="B1016" s="2" t="s">
        <v>569</v>
      </c>
      <c r="C1016" s="2" t="s">
        <v>702</v>
      </c>
      <c r="D1016" s="2" t="s">
        <v>360</v>
      </c>
      <c r="E1016" s="2" t="s">
        <v>356</v>
      </c>
      <c r="F1016" s="2"/>
      <c r="G1016" s="2" t="s">
        <v>110</v>
      </c>
      <c r="H1016" s="2" t="str">
        <f aca="false">IF(LEFT(B1016,10)="Arsenal v ",MID(B1016,11,100),LEFT(B1016,FIND(" v ",B1016)-1))</f>
        <v>Watford</v>
      </c>
      <c r="I1016" s="2" t="str">
        <f aca="false">IF(F1016&lt;&gt;"","N",IF(LEFT(B1016,10)="Arsenal v ","H","A"))</f>
        <v>A</v>
      </c>
      <c r="J1016" s="2"/>
    </row>
    <row r="1017" customFormat="false" ht="15" hidden="false" customHeight="false" outlineLevel="0" collapsed="false">
      <c r="A1017" s="3" t="n">
        <v>39081</v>
      </c>
      <c r="B1017" s="2" t="s">
        <v>541</v>
      </c>
      <c r="C1017" s="2" t="s">
        <v>704</v>
      </c>
      <c r="D1017" s="2" t="s">
        <v>348</v>
      </c>
      <c r="E1017" s="2" t="s">
        <v>356</v>
      </c>
      <c r="F1017" s="2"/>
      <c r="G1017" s="2" t="s">
        <v>110</v>
      </c>
      <c r="H1017" s="2" t="str">
        <f aca="false">IF(LEFT(B1017,10)="Arsenal v ",MID(B1017,11,100),LEFT(B1017,FIND(" v ",B1017)-1))</f>
        <v>Sheffield United</v>
      </c>
      <c r="I1017" s="2" t="str">
        <f aca="false">IF(F1017&lt;&gt;"","N",IF(LEFT(B1017,10)="Arsenal v ","H","A"))</f>
        <v>A</v>
      </c>
      <c r="J1017" s="2"/>
    </row>
    <row r="1018" customFormat="false" ht="15" hidden="false" customHeight="false" outlineLevel="0" collapsed="false">
      <c r="A1018" s="3" t="n">
        <v>39084</v>
      </c>
      <c r="B1018" s="2" t="s">
        <v>717</v>
      </c>
      <c r="C1018" s="2" t="s">
        <v>702</v>
      </c>
      <c r="D1018" s="2" t="s">
        <v>354</v>
      </c>
      <c r="E1018" s="2" t="s">
        <v>356</v>
      </c>
      <c r="F1018" s="2"/>
      <c r="G1018" s="2" t="s">
        <v>110</v>
      </c>
      <c r="H1018" s="2" t="str">
        <f aca="false">IF(LEFT(B1018,10)="Arsenal v ",MID(B1018,11,100),LEFT(B1018,FIND(" v ",B1018)-1))</f>
        <v>Charlton Athletic</v>
      </c>
      <c r="I1018" s="2" t="str">
        <f aca="false">IF(F1018&lt;&gt;"","N",IF(LEFT(B1018,10)="Arsenal v ","H","A"))</f>
        <v>H</v>
      </c>
      <c r="J1018" s="2"/>
    </row>
    <row r="1019" customFormat="false" ht="15" hidden="false" customHeight="false" outlineLevel="0" collapsed="false">
      <c r="A1019" s="3" t="n">
        <v>39088</v>
      </c>
      <c r="B1019" s="2" t="s">
        <v>477</v>
      </c>
      <c r="C1019" s="2" t="s">
        <v>702</v>
      </c>
      <c r="D1019" s="2" t="s">
        <v>373</v>
      </c>
      <c r="E1019" s="2" t="s">
        <v>362</v>
      </c>
      <c r="F1019" s="2"/>
      <c r="G1019" s="2" t="s">
        <v>110</v>
      </c>
      <c r="H1019" s="2" t="str">
        <f aca="false">IF(LEFT(B1019,10)="Arsenal v ",MID(B1019,11,100),LEFT(B1019,FIND(" v ",B1019)-1))</f>
        <v>Liverpool</v>
      </c>
      <c r="I1019" s="2" t="str">
        <f aca="false">IF(F1019&lt;&gt;"","N",IF(LEFT(B1019,10)="Arsenal v ","H","A"))</f>
        <v>A</v>
      </c>
      <c r="J1019" s="2"/>
    </row>
    <row r="1020" customFormat="false" ht="15" hidden="false" customHeight="false" outlineLevel="0" collapsed="false">
      <c r="A1020" s="3" t="n">
        <v>39091</v>
      </c>
      <c r="B1020" s="2" t="s">
        <v>477</v>
      </c>
      <c r="C1020" s="2" t="s">
        <v>702</v>
      </c>
      <c r="D1020" s="2" t="s">
        <v>480</v>
      </c>
      <c r="E1020" s="2" t="s">
        <v>379</v>
      </c>
      <c r="F1020" s="2"/>
      <c r="G1020" s="2" t="s">
        <v>110</v>
      </c>
      <c r="H1020" s="2" t="str">
        <f aca="false">IF(LEFT(B1020,10)="Arsenal v ",MID(B1020,11,100),LEFT(B1020,FIND(" v ",B1020)-1))</f>
        <v>Liverpool</v>
      </c>
      <c r="I1020" s="2" t="str">
        <f aca="false">IF(F1020&lt;&gt;"","N",IF(LEFT(B1020,10)="Arsenal v ","H","A"))</f>
        <v>A</v>
      </c>
      <c r="J1020" s="2"/>
    </row>
    <row r="1021" customFormat="false" ht="15" hidden="false" customHeight="false" outlineLevel="0" collapsed="false">
      <c r="A1021" s="3" t="n">
        <v>39095</v>
      </c>
      <c r="B1021" s="2" t="s">
        <v>406</v>
      </c>
      <c r="C1021" s="2" t="s">
        <v>702</v>
      </c>
      <c r="D1021" s="2" t="s">
        <v>353</v>
      </c>
      <c r="E1021" s="2" t="s">
        <v>356</v>
      </c>
      <c r="F1021" s="2"/>
      <c r="G1021" s="2" t="s">
        <v>110</v>
      </c>
      <c r="H1021" s="2" t="str">
        <f aca="false">IF(LEFT(B1021,10)="Arsenal v ",MID(B1021,11,100),LEFT(B1021,FIND(" v ",B1021)-1))</f>
        <v>Blackburn Rovers</v>
      </c>
      <c r="I1021" s="2" t="str">
        <f aca="false">IF(F1021&lt;&gt;"","N",IF(LEFT(B1021,10)="Arsenal v ","H","A"))</f>
        <v>A</v>
      </c>
      <c r="J1021" s="2"/>
    </row>
    <row r="1022" customFormat="false" ht="15" hidden="false" customHeight="false" outlineLevel="0" collapsed="false">
      <c r="A1022" s="3" t="n">
        <v>39103</v>
      </c>
      <c r="B1022" s="2" t="s">
        <v>656</v>
      </c>
      <c r="C1022" s="2" t="s">
        <v>702</v>
      </c>
      <c r="D1022" s="2" t="s">
        <v>359</v>
      </c>
      <c r="E1022" s="2" t="s">
        <v>356</v>
      </c>
      <c r="F1022" s="2"/>
      <c r="G1022" s="2" t="s">
        <v>110</v>
      </c>
      <c r="H1022" s="2" t="str">
        <f aca="false">IF(LEFT(B1022,10)="Arsenal v ",MID(B1022,11,100),LEFT(B1022,FIND(" v ",B1022)-1))</f>
        <v>Manchester United</v>
      </c>
      <c r="I1022" s="2" t="str">
        <f aca="false">IF(F1022&lt;&gt;"","N",IF(LEFT(B1022,10)="Arsenal v ","H","A"))</f>
        <v>H</v>
      </c>
      <c r="J1022" s="2"/>
    </row>
    <row r="1023" customFormat="false" ht="15" hidden="false" customHeight="false" outlineLevel="0" collapsed="false">
      <c r="A1023" s="3" t="n">
        <v>39106</v>
      </c>
      <c r="B1023" s="2" t="s">
        <v>561</v>
      </c>
      <c r="C1023" s="2" t="s">
        <v>706</v>
      </c>
      <c r="D1023" s="2" t="s">
        <v>380</v>
      </c>
      <c r="E1023" s="2" t="s">
        <v>379</v>
      </c>
      <c r="F1023" s="2"/>
      <c r="G1023" s="2" t="s">
        <v>110</v>
      </c>
      <c r="H1023" s="2" t="str">
        <f aca="false">IF(LEFT(B1023,10)="Arsenal v ",MID(B1023,11,100),LEFT(B1023,FIND(" v ",B1023)-1))</f>
        <v>Tottenham Hotspur</v>
      </c>
      <c r="I1023" s="2" t="str">
        <f aca="false">IF(F1023&lt;&gt;"","N",IF(LEFT(B1023,10)="Arsenal v ","H","A"))</f>
        <v>A</v>
      </c>
      <c r="J1023" s="2"/>
    </row>
    <row r="1024" customFormat="false" ht="15" hidden="false" customHeight="false" outlineLevel="0" collapsed="false">
      <c r="A1024" s="3" t="n">
        <v>39110</v>
      </c>
      <c r="B1024" s="2" t="s">
        <v>743</v>
      </c>
      <c r="C1024" s="2" t="s">
        <v>706</v>
      </c>
      <c r="D1024" s="2" t="s">
        <v>361</v>
      </c>
      <c r="E1024" s="2" t="s">
        <v>362</v>
      </c>
      <c r="F1024" s="2"/>
      <c r="G1024" s="2" t="s">
        <v>110</v>
      </c>
      <c r="H1024" s="2" t="str">
        <f aca="false">IF(LEFT(B1024,10)="Arsenal v ",MID(B1024,11,100),LEFT(B1024,FIND(" v ",B1024)-1))</f>
        <v>Bolton Wanderers</v>
      </c>
      <c r="I1024" s="2" t="str">
        <f aca="false">IF(F1024&lt;&gt;"","N",IF(LEFT(B1024,10)="Arsenal v ","H","A"))</f>
        <v>H</v>
      </c>
      <c r="J1024" s="2"/>
    </row>
    <row r="1025" customFormat="false" ht="15" hidden="false" customHeight="false" outlineLevel="0" collapsed="false">
      <c r="A1025" s="3" t="n">
        <v>39113</v>
      </c>
      <c r="B1025" s="2" t="s">
        <v>655</v>
      </c>
      <c r="C1025" s="2" t="s">
        <v>702</v>
      </c>
      <c r="D1025" s="2" t="s">
        <v>377</v>
      </c>
      <c r="E1025" s="2" t="s">
        <v>379</v>
      </c>
      <c r="F1025" s="2"/>
      <c r="G1025" s="2" t="s">
        <v>110</v>
      </c>
      <c r="H1025" s="2" t="str">
        <f aca="false">IF(LEFT(B1025,10)="Arsenal v ",MID(B1025,11,100),LEFT(B1025,FIND(" v ",B1025)-1))</f>
        <v>Tottenham Hotspur</v>
      </c>
      <c r="I1025" s="2" t="str">
        <f aca="false">IF(F1025&lt;&gt;"","N",IF(LEFT(B1025,10)="Arsenal v ","H","A"))</f>
        <v>H</v>
      </c>
      <c r="J1025" s="2"/>
    </row>
    <row r="1026" customFormat="false" ht="15" hidden="false" customHeight="false" outlineLevel="0" collapsed="false">
      <c r="A1026" s="3" t="n">
        <v>39116</v>
      </c>
      <c r="B1026" s="2" t="s">
        <v>494</v>
      </c>
      <c r="C1026" s="2" t="s">
        <v>706</v>
      </c>
      <c r="D1026" s="2" t="s">
        <v>361</v>
      </c>
      <c r="E1026" s="2" t="s">
        <v>356</v>
      </c>
      <c r="F1026" s="2"/>
      <c r="G1026" s="2" t="s">
        <v>110</v>
      </c>
      <c r="H1026" s="2" t="str">
        <f aca="false">IF(LEFT(B1026,10)="Arsenal v ",MID(B1026,11,100),LEFT(B1026,FIND(" v ",B1026)-1))</f>
        <v>Middlesbrough</v>
      </c>
      <c r="I1026" s="2" t="str">
        <f aca="false">IF(F1026&lt;&gt;"","N",IF(LEFT(B1026,10)="Arsenal v ","H","A"))</f>
        <v>A</v>
      </c>
      <c r="J1026" s="2"/>
    </row>
    <row r="1027" customFormat="false" ht="15" hidden="false" customHeight="false" outlineLevel="0" collapsed="false">
      <c r="A1027" s="3" t="n">
        <v>39124</v>
      </c>
      <c r="B1027" s="2" t="s">
        <v>808</v>
      </c>
      <c r="C1027" s="2" t="s">
        <v>702</v>
      </c>
      <c r="D1027" s="2" t="s">
        <v>359</v>
      </c>
      <c r="E1027" s="2" t="s">
        <v>356</v>
      </c>
      <c r="F1027" s="2"/>
      <c r="G1027" s="2" t="s">
        <v>110</v>
      </c>
      <c r="H1027" s="2" t="str">
        <f aca="false">IF(LEFT(B1027,10)="Arsenal v ",MID(B1027,11,100),LEFT(B1027,FIND(" v ",B1027)-1))</f>
        <v>Wigan Athletic</v>
      </c>
      <c r="I1027" s="2" t="str">
        <f aca="false">IF(F1027&lt;&gt;"","N",IF(LEFT(B1027,10)="Arsenal v ","H","A"))</f>
        <v>H</v>
      </c>
      <c r="J1027" s="2"/>
    </row>
    <row r="1028" customFormat="false" ht="15" hidden="false" customHeight="false" outlineLevel="0" collapsed="false">
      <c r="A1028" s="3" t="n">
        <v>39127</v>
      </c>
      <c r="B1028" s="2" t="s">
        <v>410</v>
      </c>
      <c r="C1028" s="2" t="s">
        <v>702</v>
      </c>
      <c r="D1028" s="2" t="s">
        <v>373</v>
      </c>
      <c r="E1028" s="2" t="s">
        <v>362</v>
      </c>
      <c r="F1028" s="2"/>
      <c r="G1028" s="2" t="s">
        <v>110</v>
      </c>
      <c r="H1028" s="2" t="str">
        <f aca="false">IF(LEFT(B1028,10)="Arsenal v ",MID(B1028,11,100),LEFT(B1028,FIND(" v ",B1028)-1))</f>
        <v>Bolton Wanderers</v>
      </c>
      <c r="I1028" s="2" t="str">
        <f aca="false">IF(F1028&lt;&gt;"","N",IF(LEFT(B1028,10)="Arsenal v ","H","A"))</f>
        <v>A</v>
      </c>
      <c r="J1028" s="2"/>
    </row>
    <row r="1029" customFormat="false" ht="15" hidden="false" customHeight="false" outlineLevel="0" collapsed="false">
      <c r="A1029" s="3" t="n">
        <v>39130</v>
      </c>
      <c r="B1029" s="2" t="s">
        <v>737</v>
      </c>
      <c r="C1029" s="2" t="s">
        <v>706</v>
      </c>
      <c r="D1029" s="2" t="s">
        <v>369</v>
      </c>
      <c r="E1029" s="2" t="s">
        <v>362</v>
      </c>
      <c r="F1029" s="2"/>
      <c r="G1029" s="2" t="s">
        <v>110</v>
      </c>
      <c r="H1029" s="2" t="str">
        <f aca="false">IF(LEFT(B1029,10)="Arsenal v ",MID(B1029,11,100),LEFT(B1029,FIND(" v ",B1029)-1))</f>
        <v>Blackburn Rovers</v>
      </c>
      <c r="I1029" s="2" t="str">
        <f aca="false">IF(F1029&lt;&gt;"","N",IF(LEFT(B1029,10)="Arsenal v ","H","A"))</f>
        <v>H</v>
      </c>
      <c r="J1029" s="2"/>
    </row>
    <row r="1030" customFormat="false" ht="15" hidden="false" customHeight="false" outlineLevel="0" collapsed="false">
      <c r="A1030" s="3" t="n">
        <v>39133</v>
      </c>
      <c r="B1030" s="2" t="s">
        <v>522</v>
      </c>
      <c r="C1030" s="2" t="s">
        <v>704</v>
      </c>
      <c r="D1030" s="2" t="s">
        <v>348</v>
      </c>
      <c r="E1030" s="2" t="s">
        <v>352</v>
      </c>
      <c r="F1030" s="2"/>
      <c r="G1030" s="2" t="s">
        <v>110</v>
      </c>
      <c r="H1030" s="2" t="str">
        <f aca="false">IF(LEFT(B1030,10)="Arsenal v ",MID(B1030,11,100),LEFT(B1030,FIND(" v ",B1030)-1))</f>
        <v>PSV Eindhoven</v>
      </c>
      <c r="I1030" s="2" t="str">
        <f aca="false">IF(F1030&lt;&gt;"","N",IF(LEFT(B1030,10)="Arsenal v ","H","A"))</f>
        <v>A</v>
      </c>
      <c r="J1030" s="2"/>
    </row>
    <row r="1031" customFormat="false" ht="15" hidden="false" customHeight="false" outlineLevel="0" collapsed="false">
      <c r="A1031" s="3" t="n">
        <v>39138</v>
      </c>
      <c r="B1031" s="2" t="s">
        <v>725</v>
      </c>
      <c r="C1031" s="2" t="s">
        <v>704</v>
      </c>
      <c r="D1031" s="2" t="s">
        <v>360</v>
      </c>
      <c r="E1031" s="2" t="s">
        <v>379</v>
      </c>
      <c r="F1031" s="2" t="s">
        <v>689</v>
      </c>
      <c r="G1031" s="2" t="s">
        <v>110</v>
      </c>
      <c r="H1031" s="2" t="str">
        <f aca="false">IF(LEFT(B1031,10)="Arsenal v ",MID(B1031,11,100),LEFT(B1031,FIND(" v ",B1031)-1))</f>
        <v>Chelsea</v>
      </c>
      <c r="I1031" s="2" t="str">
        <f aca="false">IF(F1031&lt;&gt;"","N",IF(LEFT(B1031,10)="Arsenal v ","H","A"))</f>
        <v>N</v>
      </c>
      <c r="J1031" s="2"/>
    </row>
    <row r="1032" customFormat="false" ht="15" hidden="false" customHeight="false" outlineLevel="0" collapsed="false">
      <c r="A1032" s="3" t="n">
        <v>39141</v>
      </c>
      <c r="B1032" s="2" t="s">
        <v>406</v>
      </c>
      <c r="C1032" s="2" t="s">
        <v>704</v>
      </c>
      <c r="D1032" s="2" t="s">
        <v>348</v>
      </c>
      <c r="E1032" s="2" t="s">
        <v>362</v>
      </c>
      <c r="F1032" s="2"/>
      <c r="G1032" s="2" t="s">
        <v>110</v>
      </c>
      <c r="H1032" s="2" t="str">
        <f aca="false">IF(LEFT(B1032,10)="Arsenal v ",MID(B1032,11,100),LEFT(B1032,FIND(" v ",B1032)-1))</f>
        <v>Blackburn Rovers</v>
      </c>
      <c r="I1032" s="2" t="str">
        <f aca="false">IF(F1032&lt;&gt;"","N",IF(LEFT(B1032,10)="Arsenal v ","H","A"))</f>
        <v>A</v>
      </c>
      <c r="J1032" s="2"/>
    </row>
    <row r="1033" customFormat="false" ht="15" hidden="false" customHeight="false" outlineLevel="0" collapsed="false">
      <c r="A1033" s="3" t="n">
        <v>39144</v>
      </c>
      <c r="B1033" s="2" t="s">
        <v>806</v>
      </c>
      <c r="C1033" s="2" t="s">
        <v>702</v>
      </c>
      <c r="D1033" s="2" t="s">
        <v>359</v>
      </c>
      <c r="E1033" s="2" t="s">
        <v>356</v>
      </c>
      <c r="F1033" s="2"/>
      <c r="G1033" s="2" t="s">
        <v>110</v>
      </c>
      <c r="H1033" s="2" t="str">
        <f aca="false">IF(LEFT(B1033,10)="Arsenal v ",MID(B1033,11,100),LEFT(B1033,FIND(" v ",B1033)-1))</f>
        <v>Reading</v>
      </c>
      <c r="I1033" s="2" t="str">
        <f aca="false">IF(F1033&lt;&gt;"","N",IF(LEFT(B1033,10)="Arsenal v ","H","A"))</f>
        <v>H</v>
      </c>
      <c r="J1033" s="2"/>
    </row>
    <row r="1034" customFormat="false" ht="15" hidden="false" customHeight="false" outlineLevel="0" collapsed="false">
      <c r="A1034" s="3" t="n">
        <v>39148</v>
      </c>
      <c r="B1034" s="2" t="s">
        <v>790</v>
      </c>
      <c r="C1034" s="2" t="s">
        <v>706</v>
      </c>
      <c r="D1034" s="2" t="s">
        <v>361</v>
      </c>
      <c r="E1034" s="2" t="s">
        <v>352</v>
      </c>
      <c r="F1034" s="2"/>
      <c r="G1034" s="2" t="s">
        <v>110</v>
      </c>
      <c r="H1034" s="2" t="str">
        <f aca="false">IF(LEFT(B1034,10)="Arsenal v ",MID(B1034,11,100),LEFT(B1034,FIND(" v ",B1034)-1))</f>
        <v>PSV Eindhoven</v>
      </c>
      <c r="I1034" s="2" t="str">
        <f aca="false">IF(F1034&lt;&gt;"","N",IF(LEFT(B1034,10)="Arsenal v ","H","A"))</f>
        <v>H</v>
      </c>
      <c r="J1034" s="2"/>
    </row>
    <row r="1035" customFormat="false" ht="15" hidden="false" customHeight="false" outlineLevel="0" collapsed="false">
      <c r="A1035" s="3" t="n">
        <v>39155</v>
      </c>
      <c r="B1035" s="2" t="s">
        <v>376</v>
      </c>
      <c r="C1035" s="2" t="s">
        <v>702</v>
      </c>
      <c r="D1035" s="2" t="s">
        <v>383</v>
      </c>
      <c r="E1035" s="2" t="s">
        <v>356</v>
      </c>
      <c r="F1035" s="2"/>
      <c r="G1035" s="2" t="s">
        <v>110</v>
      </c>
      <c r="H1035" s="2" t="str">
        <f aca="false">IF(LEFT(B1035,10)="Arsenal v ",MID(B1035,11,100),LEFT(B1035,FIND(" v ",B1035)-1))</f>
        <v>Aston Villa</v>
      </c>
      <c r="I1035" s="2" t="str">
        <f aca="false">IF(F1035&lt;&gt;"","N",IF(LEFT(B1035,10)="Arsenal v ","H","A"))</f>
        <v>A</v>
      </c>
      <c r="J1035" s="2"/>
    </row>
    <row r="1036" customFormat="false" ht="15" hidden="false" customHeight="false" outlineLevel="0" collapsed="false">
      <c r="A1036" s="3" t="n">
        <v>39159</v>
      </c>
      <c r="B1036" s="2" t="s">
        <v>448</v>
      </c>
      <c r="C1036" s="2" t="s">
        <v>704</v>
      </c>
      <c r="D1036" s="2" t="s">
        <v>348</v>
      </c>
      <c r="E1036" s="2" t="s">
        <v>356</v>
      </c>
      <c r="F1036" s="2"/>
      <c r="G1036" s="2" t="s">
        <v>110</v>
      </c>
      <c r="H1036" s="2" t="str">
        <f aca="false">IF(LEFT(B1036,10)="Arsenal v ",MID(B1036,11,100),LEFT(B1036,FIND(" v ",B1036)-1))</f>
        <v>Everton</v>
      </c>
      <c r="I1036" s="2" t="str">
        <f aca="false">IF(F1036&lt;&gt;"","N",IF(LEFT(B1036,10)="Arsenal v ","H","A"))</f>
        <v>A</v>
      </c>
      <c r="J1036" s="2"/>
    </row>
    <row r="1037" customFormat="false" ht="15" hidden="false" customHeight="false" outlineLevel="0" collapsed="false">
      <c r="A1037" s="3" t="n">
        <v>39172</v>
      </c>
      <c r="B1037" s="2" t="s">
        <v>477</v>
      </c>
      <c r="C1037" s="2" t="s">
        <v>704</v>
      </c>
      <c r="D1037" s="2" t="s">
        <v>397</v>
      </c>
      <c r="E1037" s="2" t="s">
        <v>356</v>
      </c>
      <c r="F1037" s="2"/>
      <c r="G1037" s="2" t="s">
        <v>110</v>
      </c>
      <c r="H1037" s="2" t="str">
        <f aca="false">IF(LEFT(B1037,10)="Arsenal v ",MID(B1037,11,100),LEFT(B1037,FIND(" v ",B1037)-1))</f>
        <v>Liverpool</v>
      </c>
      <c r="I1037" s="2" t="str">
        <f aca="false">IF(F1037&lt;&gt;"","N",IF(LEFT(B1037,10)="Arsenal v ","H","A"))</f>
        <v>A</v>
      </c>
      <c r="J1037" s="2"/>
    </row>
    <row r="1038" customFormat="false" ht="15" hidden="false" customHeight="false" outlineLevel="0" collapsed="false">
      <c r="A1038" s="3" t="n">
        <v>39179</v>
      </c>
      <c r="B1038" s="2" t="s">
        <v>712</v>
      </c>
      <c r="C1038" s="2" t="s">
        <v>704</v>
      </c>
      <c r="D1038" s="2" t="s">
        <v>383</v>
      </c>
      <c r="E1038" s="2" t="s">
        <v>356</v>
      </c>
      <c r="F1038" s="2"/>
      <c r="G1038" s="2" t="s">
        <v>110</v>
      </c>
      <c r="H1038" s="2" t="str">
        <f aca="false">IF(LEFT(B1038,10)="Arsenal v ",MID(B1038,11,100),LEFT(B1038,FIND(" v ",B1038)-1))</f>
        <v>West Ham United</v>
      </c>
      <c r="I1038" s="2" t="str">
        <f aca="false">IF(F1038&lt;&gt;"","N",IF(LEFT(B1038,10)="Arsenal v ","H","A"))</f>
        <v>H</v>
      </c>
      <c r="J1038" s="2"/>
    </row>
    <row r="1039" customFormat="false" ht="15" hidden="false" customHeight="false" outlineLevel="0" collapsed="false">
      <c r="A1039" s="3" t="n">
        <v>39181</v>
      </c>
      <c r="B1039" s="2" t="s">
        <v>501</v>
      </c>
      <c r="C1039" s="2" t="s">
        <v>706</v>
      </c>
      <c r="D1039" s="2" t="s">
        <v>369</v>
      </c>
      <c r="E1039" s="2" t="s">
        <v>356</v>
      </c>
      <c r="F1039" s="2"/>
      <c r="G1039" s="2" t="s">
        <v>110</v>
      </c>
      <c r="H1039" s="2" t="str">
        <f aca="false">IF(LEFT(B1039,10)="Arsenal v ",MID(B1039,11,100),LEFT(B1039,FIND(" v ",B1039)-1))</f>
        <v>Newcastle United</v>
      </c>
      <c r="I1039" s="2" t="str">
        <f aca="false">IF(F1039&lt;&gt;"","N",IF(LEFT(B1039,10)="Arsenal v ","H","A"))</f>
        <v>A</v>
      </c>
      <c r="J1039" s="2"/>
    </row>
    <row r="1040" customFormat="false" ht="15" hidden="false" customHeight="false" outlineLevel="0" collapsed="false">
      <c r="A1040" s="3" t="n">
        <v>39186</v>
      </c>
      <c r="B1040" s="2" t="s">
        <v>743</v>
      </c>
      <c r="C1040" s="2" t="s">
        <v>702</v>
      </c>
      <c r="D1040" s="2" t="s">
        <v>359</v>
      </c>
      <c r="E1040" s="2" t="s">
        <v>356</v>
      </c>
      <c r="F1040" s="2"/>
      <c r="G1040" s="2" t="s">
        <v>110</v>
      </c>
      <c r="H1040" s="2" t="str">
        <f aca="false">IF(LEFT(B1040,10)="Arsenal v ",MID(B1040,11,100),LEFT(B1040,FIND(" v ",B1040)-1))</f>
        <v>Bolton Wanderers</v>
      </c>
      <c r="I1040" s="2" t="str">
        <f aca="false">IF(F1040&lt;&gt;"","N",IF(LEFT(B1040,10)="Arsenal v ","H","A"))</f>
        <v>H</v>
      </c>
      <c r="J1040" s="2"/>
    </row>
    <row r="1041" customFormat="false" ht="15" hidden="false" customHeight="false" outlineLevel="0" collapsed="false">
      <c r="A1041" s="3" t="n">
        <v>39189</v>
      </c>
      <c r="B1041" s="2" t="s">
        <v>657</v>
      </c>
      <c r="C1041" s="2" t="s">
        <v>702</v>
      </c>
      <c r="D1041" s="2" t="s">
        <v>377</v>
      </c>
      <c r="E1041" s="2" t="s">
        <v>356</v>
      </c>
      <c r="F1041" s="2"/>
      <c r="G1041" s="2" t="s">
        <v>110</v>
      </c>
      <c r="H1041" s="2" t="str">
        <f aca="false">IF(LEFT(B1041,10)="Arsenal v ",MID(B1041,11,100),LEFT(B1041,FIND(" v ",B1041)-1))</f>
        <v>Manchester City</v>
      </c>
      <c r="I1041" s="2" t="str">
        <f aca="false">IF(F1041&lt;&gt;"","N",IF(LEFT(B1041,10)="Arsenal v ","H","A"))</f>
        <v>H</v>
      </c>
      <c r="J1041" s="2"/>
    </row>
    <row r="1042" customFormat="false" ht="15" hidden="false" customHeight="false" outlineLevel="0" collapsed="false">
      <c r="A1042" s="3" t="n">
        <v>39193</v>
      </c>
      <c r="B1042" s="2" t="s">
        <v>561</v>
      </c>
      <c r="C1042" s="2" t="s">
        <v>706</v>
      </c>
      <c r="D1042" s="2" t="s">
        <v>380</v>
      </c>
      <c r="E1042" s="2" t="s">
        <v>356</v>
      </c>
      <c r="F1042" s="2"/>
      <c r="G1042" s="2" t="s">
        <v>110</v>
      </c>
      <c r="H1042" s="2" t="str">
        <f aca="false">IF(LEFT(B1042,10)="Arsenal v ",MID(B1042,11,100),LEFT(B1042,FIND(" v ",B1042)-1))</f>
        <v>Tottenham Hotspur</v>
      </c>
      <c r="I1042" s="2" t="str">
        <f aca="false">IF(F1042&lt;&gt;"","N",IF(LEFT(B1042,10)="Arsenal v ","H","A"))</f>
        <v>A</v>
      </c>
      <c r="J1042" s="2"/>
    </row>
    <row r="1043" customFormat="false" ht="15" hidden="false" customHeight="false" outlineLevel="0" collapsed="false">
      <c r="A1043" s="3" t="n">
        <v>39201</v>
      </c>
      <c r="B1043" s="2" t="s">
        <v>784</v>
      </c>
      <c r="C1043" s="2" t="s">
        <v>702</v>
      </c>
      <c r="D1043" s="2" t="s">
        <v>377</v>
      </c>
      <c r="E1043" s="2" t="s">
        <v>356</v>
      </c>
      <c r="F1043" s="2"/>
      <c r="G1043" s="2" t="s">
        <v>110</v>
      </c>
      <c r="H1043" s="2" t="str">
        <f aca="false">IF(LEFT(B1043,10)="Arsenal v ",MID(B1043,11,100),LEFT(B1043,FIND(" v ",B1043)-1))</f>
        <v>Fulham</v>
      </c>
      <c r="I1043" s="2" t="str">
        <f aca="false">IF(F1043&lt;&gt;"","N",IF(LEFT(B1043,10)="Arsenal v ","H","A"))</f>
        <v>H</v>
      </c>
      <c r="J1043" s="2"/>
    </row>
    <row r="1044" customFormat="false" ht="15" hidden="false" customHeight="false" outlineLevel="0" collapsed="false">
      <c r="A1044" s="3" t="n">
        <v>39208</v>
      </c>
      <c r="B1044" s="2" t="s">
        <v>725</v>
      </c>
      <c r="C1044" s="2" t="s">
        <v>706</v>
      </c>
      <c r="D1044" s="2" t="s">
        <v>361</v>
      </c>
      <c r="E1044" s="2" t="s">
        <v>356</v>
      </c>
      <c r="F1044" s="2"/>
      <c r="G1044" s="2" t="s">
        <v>110</v>
      </c>
      <c r="H1044" s="2" t="str">
        <f aca="false">IF(LEFT(B1044,10)="Arsenal v ",MID(B1044,11,100),LEFT(B1044,FIND(" v ",B1044)-1))</f>
        <v>Chelsea</v>
      </c>
      <c r="I1044" s="2" t="str">
        <f aca="false">IF(F1044&lt;&gt;"","N",IF(LEFT(B1044,10)="Arsenal v ","H","A"))</f>
        <v>H</v>
      </c>
      <c r="J1044" s="2"/>
    </row>
    <row r="1045" customFormat="false" ht="15" hidden="false" customHeight="false" outlineLevel="0" collapsed="false">
      <c r="A1045" s="3" t="n">
        <v>39215</v>
      </c>
      <c r="B1045" s="2" t="s">
        <v>520</v>
      </c>
      <c r="C1045" s="2" t="s">
        <v>706</v>
      </c>
      <c r="D1045" s="2" t="s">
        <v>369</v>
      </c>
      <c r="E1045" s="2" t="s">
        <v>356</v>
      </c>
      <c r="F1045" s="2"/>
      <c r="G1045" s="2" t="s">
        <v>110</v>
      </c>
      <c r="H1045" s="2" t="str">
        <f aca="false">IF(LEFT(B1045,10)="Arsenal v ",MID(B1045,11,100),LEFT(B1045,FIND(" v ",B1045)-1))</f>
        <v>Portsmouth</v>
      </c>
      <c r="I1045" s="2" t="str">
        <f aca="false">IF(F1045&lt;&gt;"","N",IF(LEFT(B1045,10)="Arsenal v ","H","A"))</f>
        <v>A</v>
      </c>
      <c r="J1045" s="2"/>
    </row>
    <row r="1046" customFormat="false" ht="15" hidden="false" customHeight="false" outlineLevel="0" collapsed="false">
      <c r="A1046" s="3" t="n">
        <v>39306</v>
      </c>
      <c r="B1046" s="2" t="s">
        <v>784</v>
      </c>
      <c r="C1046" s="2" t="s">
        <v>702</v>
      </c>
      <c r="D1046" s="2" t="s">
        <v>359</v>
      </c>
      <c r="E1046" s="2" t="s">
        <v>356</v>
      </c>
      <c r="F1046" s="2"/>
      <c r="G1046" s="2" t="s">
        <v>297</v>
      </c>
      <c r="H1046" s="2" t="str">
        <f aca="false">IF(LEFT(B1046,10)="Arsenal v ",MID(B1046,11,100),LEFT(B1046,FIND(" v ",B1046)-1))</f>
        <v>Fulham</v>
      </c>
      <c r="I1046" s="2" t="str">
        <f aca="false">IF(F1046&lt;&gt;"","N",IF(LEFT(B1046,10)="Arsenal v ","H","A"))</f>
        <v>H</v>
      </c>
      <c r="J1046" s="2"/>
    </row>
    <row r="1047" customFormat="false" ht="15" hidden="false" customHeight="false" outlineLevel="0" collapsed="false">
      <c r="A1047" s="3" t="n">
        <v>39309</v>
      </c>
      <c r="B1047" s="2" t="s">
        <v>547</v>
      </c>
      <c r="C1047" s="2" t="s">
        <v>702</v>
      </c>
      <c r="D1047" s="2" t="s">
        <v>353</v>
      </c>
      <c r="E1047" s="2" t="s">
        <v>352</v>
      </c>
      <c r="F1047" s="2"/>
      <c r="G1047" s="2" t="s">
        <v>297</v>
      </c>
      <c r="H1047" s="2" t="str">
        <f aca="false">IF(LEFT(B1047,10)="Arsenal v ",MID(B1047,11,100),LEFT(B1047,FIND(" v ",B1047)-1))</f>
        <v>Sparta Praha</v>
      </c>
      <c r="I1047" s="2" t="str">
        <f aca="false">IF(F1047&lt;&gt;"","N",IF(LEFT(B1047,10)="Arsenal v ","H","A"))</f>
        <v>A</v>
      </c>
      <c r="J1047" s="2"/>
    </row>
    <row r="1048" customFormat="false" ht="15" hidden="false" customHeight="false" outlineLevel="0" collapsed="false">
      <c r="A1048" s="3" t="n">
        <v>39313</v>
      </c>
      <c r="B1048" s="2" t="s">
        <v>406</v>
      </c>
      <c r="C1048" s="2" t="s">
        <v>706</v>
      </c>
      <c r="D1048" s="2" t="s">
        <v>361</v>
      </c>
      <c r="E1048" s="2" t="s">
        <v>356</v>
      </c>
      <c r="F1048" s="2"/>
      <c r="G1048" s="2" t="s">
        <v>297</v>
      </c>
      <c r="H1048" s="2" t="str">
        <f aca="false">IF(LEFT(B1048,10)="Arsenal v ",MID(B1048,11,100),LEFT(B1048,FIND(" v ",B1048)-1))</f>
        <v>Blackburn Rovers</v>
      </c>
      <c r="I1048" s="2" t="str">
        <f aca="false">IF(F1048&lt;&gt;"","N",IF(LEFT(B1048,10)="Arsenal v ","H","A"))</f>
        <v>A</v>
      </c>
      <c r="J1048" s="2"/>
    </row>
    <row r="1049" customFormat="false" ht="15" hidden="false" customHeight="false" outlineLevel="0" collapsed="false">
      <c r="A1049" s="3" t="n">
        <v>39319</v>
      </c>
      <c r="B1049" s="2" t="s">
        <v>657</v>
      </c>
      <c r="C1049" s="2" t="s">
        <v>702</v>
      </c>
      <c r="D1049" s="2" t="s">
        <v>348</v>
      </c>
      <c r="E1049" s="2" t="s">
        <v>356</v>
      </c>
      <c r="F1049" s="2"/>
      <c r="G1049" s="2" t="s">
        <v>297</v>
      </c>
      <c r="H1049" s="2" t="str">
        <f aca="false">IF(LEFT(B1049,10)="Arsenal v ",MID(B1049,11,100),LEFT(B1049,FIND(" v ",B1049)-1))</f>
        <v>Manchester City</v>
      </c>
      <c r="I1049" s="2" t="str">
        <f aca="false">IF(F1049&lt;&gt;"","N",IF(LEFT(B1049,10)="Arsenal v ","H","A"))</f>
        <v>H</v>
      </c>
      <c r="J1049" s="2"/>
    </row>
    <row r="1050" customFormat="false" ht="15" hidden="false" customHeight="false" outlineLevel="0" collapsed="false">
      <c r="A1050" s="3" t="n">
        <v>39323</v>
      </c>
      <c r="B1050" s="2" t="s">
        <v>774</v>
      </c>
      <c r="C1050" s="2" t="s">
        <v>702</v>
      </c>
      <c r="D1050" s="2" t="s">
        <v>434</v>
      </c>
      <c r="E1050" s="2" t="s">
        <v>352</v>
      </c>
      <c r="F1050" s="2"/>
      <c r="G1050" s="2" t="s">
        <v>297</v>
      </c>
      <c r="H1050" s="2" t="str">
        <f aca="false">IF(LEFT(B1050,10)="Arsenal v ",MID(B1050,11,100),LEFT(B1050,FIND(" v ",B1050)-1))</f>
        <v>Sparta Praha</v>
      </c>
      <c r="I1050" s="2" t="str">
        <f aca="false">IF(F1050&lt;&gt;"","N",IF(LEFT(B1050,10)="Arsenal v ","H","A"))</f>
        <v>H</v>
      </c>
      <c r="J1050" s="2"/>
    </row>
    <row r="1051" customFormat="false" ht="15" hidden="false" customHeight="false" outlineLevel="0" collapsed="false">
      <c r="A1051" s="3" t="n">
        <v>39327</v>
      </c>
      <c r="B1051" s="2" t="s">
        <v>795</v>
      </c>
      <c r="C1051" s="2" t="s">
        <v>702</v>
      </c>
      <c r="D1051" s="2" t="s">
        <v>377</v>
      </c>
      <c r="E1051" s="2" t="s">
        <v>356</v>
      </c>
      <c r="F1051" s="2"/>
      <c r="G1051" s="2" t="s">
        <v>297</v>
      </c>
      <c r="H1051" s="2" t="str">
        <f aca="false">IF(LEFT(B1051,10)="Arsenal v ",MID(B1051,11,100),LEFT(B1051,FIND(" v ",B1051)-1))</f>
        <v>Portsmouth</v>
      </c>
      <c r="I1051" s="2" t="str">
        <f aca="false">IF(F1051&lt;&gt;"","N",IF(LEFT(B1051,10)="Arsenal v ","H","A"))</f>
        <v>H</v>
      </c>
      <c r="J1051" s="2"/>
    </row>
    <row r="1052" customFormat="false" ht="15" hidden="false" customHeight="false" outlineLevel="0" collapsed="false">
      <c r="A1052" s="3" t="n">
        <v>39340</v>
      </c>
      <c r="B1052" s="2" t="s">
        <v>561</v>
      </c>
      <c r="C1052" s="2" t="s">
        <v>702</v>
      </c>
      <c r="D1052" s="2" t="s">
        <v>373</v>
      </c>
      <c r="E1052" s="2" t="s">
        <v>356</v>
      </c>
      <c r="F1052" s="2"/>
      <c r="G1052" s="2" t="s">
        <v>297</v>
      </c>
      <c r="H1052" s="2" t="str">
        <f aca="false">IF(LEFT(B1052,10)="Arsenal v ",MID(B1052,11,100),LEFT(B1052,FIND(" v ",B1052)-1))</f>
        <v>Tottenham Hotspur</v>
      </c>
      <c r="I1052" s="2" t="str">
        <f aca="false">IF(F1052&lt;&gt;"","N",IF(LEFT(B1052,10)="Arsenal v ","H","A"))</f>
        <v>A</v>
      </c>
      <c r="J1052" s="2"/>
    </row>
    <row r="1053" customFormat="false" ht="15" hidden="false" customHeight="false" outlineLevel="0" collapsed="false">
      <c r="A1053" s="3" t="n">
        <v>39344</v>
      </c>
      <c r="B1053" s="2" t="s">
        <v>817</v>
      </c>
      <c r="C1053" s="2" t="s">
        <v>702</v>
      </c>
      <c r="D1053" s="2" t="s">
        <v>434</v>
      </c>
      <c r="E1053" s="2" t="s">
        <v>352</v>
      </c>
      <c r="F1053" s="2"/>
      <c r="G1053" s="2" t="s">
        <v>297</v>
      </c>
      <c r="H1053" s="2" t="str">
        <f aca="false">IF(LEFT(B1053,10)="Arsenal v ",MID(B1053,11,100),LEFT(B1053,FIND(" v ",B1053)-1))</f>
        <v>Sevilla</v>
      </c>
      <c r="I1053" s="2" t="str">
        <f aca="false">IF(F1053&lt;&gt;"","N",IF(LEFT(B1053,10)="Arsenal v ","H","A"))</f>
        <v>H</v>
      </c>
      <c r="J1053" s="2"/>
    </row>
    <row r="1054" customFormat="false" ht="15" hidden="false" customHeight="false" outlineLevel="0" collapsed="false">
      <c r="A1054" s="3" t="n">
        <v>39347</v>
      </c>
      <c r="B1054" s="2" t="s">
        <v>721</v>
      </c>
      <c r="C1054" s="2" t="s">
        <v>702</v>
      </c>
      <c r="D1054" s="2" t="s">
        <v>489</v>
      </c>
      <c r="E1054" s="2" t="s">
        <v>356</v>
      </c>
      <c r="F1054" s="2"/>
      <c r="G1054" s="2" t="s">
        <v>297</v>
      </c>
      <c r="H1054" s="2" t="str">
        <f aca="false">IF(LEFT(B1054,10)="Arsenal v ",MID(B1054,11,100),LEFT(B1054,FIND(" v ",B1054)-1))</f>
        <v>Derby County</v>
      </c>
      <c r="I1054" s="2" t="str">
        <f aca="false">IF(F1054&lt;&gt;"","N",IF(LEFT(B1054,10)="Arsenal v ","H","A"))</f>
        <v>H</v>
      </c>
      <c r="J1054" s="2"/>
    </row>
    <row r="1055" customFormat="false" ht="15" hidden="false" customHeight="false" outlineLevel="0" collapsed="false">
      <c r="A1055" s="3" t="n">
        <v>39350</v>
      </c>
      <c r="B1055" s="2" t="s">
        <v>719</v>
      </c>
      <c r="C1055" s="2" t="s">
        <v>702</v>
      </c>
      <c r="D1055" s="2" t="s">
        <v>351</v>
      </c>
      <c r="E1055" s="2" t="s">
        <v>379</v>
      </c>
      <c r="F1055" s="2"/>
      <c r="G1055" s="2" t="s">
        <v>297</v>
      </c>
      <c r="H1055" s="2" t="str">
        <f aca="false">IF(LEFT(B1055,10)="Arsenal v ",MID(B1055,11,100),LEFT(B1055,FIND(" v ",B1055)-1))</f>
        <v>Newcastle United</v>
      </c>
      <c r="I1055" s="2" t="str">
        <f aca="false">IF(F1055&lt;&gt;"","N",IF(LEFT(B1055,10)="Arsenal v ","H","A"))</f>
        <v>H</v>
      </c>
      <c r="J1055" s="2"/>
    </row>
    <row r="1056" customFormat="false" ht="15" hidden="false" customHeight="false" outlineLevel="0" collapsed="false">
      <c r="A1056" s="3" t="n">
        <v>39354</v>
      </c>
      <c r="B1056" s="2" t="s">
        <v>572</v>
      </c>
      <c r="C1056" s="2" t="s">
        <v>702</v>
      </c>
      <c r="D1056" s="2" t="s">
        <v>383</v>
      </c>
      <c r="E1056" s="2" t="s">
        <v>356</v>
      </c>
      <c r="F1056" s="2"/>
      <c r="G1056" s="2" t="s">
        <v>297</v>
      </c>
      <c r="H1056" s="2" t="str">
        <f aca="false">IF(LEFT(B1056,10)="Arsenal v ",MID(B1056,11,100),LEFT(B1056,FIND(" v ",B1056)-1))</f>
        <v>West Ham United</v>
      </c>
      <c r="I1056" s="2" t="str">
        <f aca="false">IF(F1056&lt;&gt;"","N",IF(LEFT(B1056,10)="Arsenal v ","H","A"))</f>
        <v>A</v>
      </c>
      <c r="J1056" s="2"/>
    </row>
    <row r="1057" customFormat="false" ht="15" hidden="false" customHeight="false" outlineLevel="0" collapsed="false">
      <c r="A1057" s="3" t="n">
        <v>39357</v>
      </c>
      <c r="B1057" s="2" t="s">
        <v>554</v>
      </c>
      <c r="C1057" s="2" t="s">
        <v>702</v>
      </c>
      <c r="D1057" s="2" t="s">
        <v>383</v>
      </c>
      <c r="E1057" s="2" t="s">
        <v>352</v>
      </c>
      <c r="F1057" s="2"/>
      <c r="G1057" s="2" t="s">
        <v>297</v>
      </c>
      <c r="H1057" s="2" t="str">
        <f aca="false">IF(LEFT(B1057,10)="Arsenal v ",MID(B1057,11,100),LEFT(B1057,FIND(" v ",B1057)-1))</f>
        <v>Steaua Bucuresti</v>
      </c>
      <c r="I1057" s="2" t="str">
        <f aca="false">IF(F1057&lt;&gt;"","N",IF(LEFT(B1057,10)="Arsenal v ","H","A"))</f>
        <v>A</v>
      </c>
      <c r="J1057" s="2"/>
    </row>
    <row r="1058" customFormat="false" ht="15" hidden="false" customHeight="false" outlineLevel="0" collapsed="false">
      <c r="A1058" s="3" t="n">
        <v>39362</v>
      </c>
      <c r="B1058" s="2" t="s">
        <v>727</v>
      </c>
      <c r="C1058" s="2" t="s">
        <v>702</v>
      </c>
      <c r="D1058" s="2" t="s">
        <v>382</v>
      </c>
      <c r="E1058" s="2" t="s">
        <v>356</v>
      </c>
      <c r="F1058" s="2"/>
      <c r="G1058" s="2" t="s">
        <v>297</v>
      </c>
      <c r="H1058" s="2" t="str">
        <f aca="false">IF(LEFT(B1058,10)="Arsenal v ",MID(B1058,11,100),LEFT(B1058,FIND(" v ",B1058)-1))</f>
        <v>Sunderland</v>
      </c>
      <c r="I1058" s="2" t="str">
        <f aca="false">IF(F1058&lt;&gt;"","N",IF(LEFT(B1058,10)="Arsenal v ","H","A"))</f>
        <v>H</v>
      </c>
      <c r="J1058" s="2"/>
    </row>
    <row r="1059" customFormat="false" ht="15" hidden="false" customHeight="false" outlineLevel="0" collapsed="false">
      <c r="A1059" s="3" t="n">
        <v>39375</v>
      </c>
      <c r="B1059" s="2" t="s">
        <v>743</v>
      </c>
      <c r="C1059" s="2" t="s">
        <v>702</v>
      </c>
      <c r="D1059" s="2" t="s">
        <v>351</v>
      </c>
      <c r="E1059" s="2" t="s">
        <v>356</v>
      </c>
      <c r="F1059" s="2"/>
      <c r="G1059" s="2" t="s">
        <v>297</v>
      </c>
      <c r="H1059" s="2" t="str">
        <f aca="false">IF(LEFT(B1059,10)="Arsenal v ",MID(B1059,11,100),LEFT(B1059,FIND(" v ",B1059)-1))</f>
        <v>Bolton Wanderers</v>
      </c>
      <c r="I1059" s="2" t="str">
        <f aca="false">IF(F1059&lt;&gt;"","N",IF(LEFT(B1059,10)="Arsenal v ","H","A"))</f>
        <v>H</v>
      </c>
      <c r="J1059" s="2"/>
    </row>
    <row r="1060" customFormat="false" ht="15" hidden="false" customHeight="false" outlineLevel="0" collapsed="false">
      <c r="A1060" s="3" t="n">
        <v>39378</v>
      </c>
      <c r="B1060" s="2" t="s">
        <v>818</v>
      </c>
      <c r="C1060" s="2" t="s">
        <v>702</v>
      </c>
      <c r="D1060" s="2" t="s">
        <v>803</v>
      </c>
      <c r="E1060" s="2" t="s">
        <v>352</v>
      </c>
      <c r="F1060" s="2"/>
      <c r="G1060" s="2" t="s">
        <v>297</v>
      </c>
      <c r="H1060" s="2" t="str">
        <f aca="false">IF(LEFT(B1060,10)="Arsenal v ",MID(B1060,11,100),LEFT(B1060,FIND(" v ",B1060)-1))</f>
        <v>Slavia Praha</v>
      </c>
      <c r="I1060" s="2" t="str">
        <f aca="false">IF(F1060&lt;&gt;"","N",IF(LEFT(B1060,10)="Arsenal v ","H","A"))</f>
        <v>H</v>
      </c>
      <c r="J1060" s="2"/>
    </row>
    <row r="1061" customFormat="false" ht="15" hidden="false" customHeight="false" outlineLevel="0" collapsed="false">
      <c r="A1061" s="3" t="n">
        <v>39383</v>
      </c>
      <c r="B1061" s="2" t="s">
        <v>477</v>
      </c>
      <c r="C1061" s="2" t="s">
        <v>706</v>
      </c>
      <c r="D1061" s="2" t="s">
        <v>361</v>
      </c>
      <c r="E1061" s="2" t="s">
        <v>356</v>
      </c>
      <c r="F1061" s="2"/>
      <c r="G1061" s="2" t="s">
        <v>297</v>
      </c>
      <c r="H1061" s="2" t="str">
        <f aca="false">IF(LEFT(B1061,10)="Arsenal v ",MID(B1061,11,100),LEFT(B1061,FIND(" v ",B1061)-1))</f>
        <v>Liverpool</v>
      </c>
      <c r="I1061" s="2" t="str">
        <f aca="false">IF(F1061&lt;&gt;"","N",IF(LEFT(B1061,10)="Arsenal v ","H","A"))</f>
        <v>A</v>
      </c>
      <c r="J1061" s="2"/>
    </row>
    <row r="1062" customFormat="false" ht="15" hidden="false" customHeight="false" outlineLevel="0" collapsed="false">
      <c r="A1062" s="3" t="n">
        <v>39386</v>
      </c>
      <c r="B1062" s="2" t="s">
        <v>541</v>
      </c>
      <c r="C1062" s="2" t="s">
        <v>702</v>
      </c>
      <c r="D1062" s="2" t="s">
        <v>363</v>
      </c>
      <c r="E1062" s="2" t="s">
        <v>379</v>
      </c>
      <c r="F1062" s="2"/>
      <c r="G1062" s="2" t="s">
        <v>297</v>
      </c>
      <c r="H1062" s="2" t="str">
        <f aca="false">IF(LEFT(B1062,10)="Arsenal v ",MID(B1062,11,100),LEFT(B1062,FIND(" v ",B1062)-1))</f>
        <v>Sheffield United</v>
      </c>
      <c r="I1062" s="2" t="str">
        <f aca="false">IF(F1062&lt;&gt;"","N",IF(LEFT(B1062,10)="Arsenal v ","H","A"))</f>
        <v>A</v>
      </c>
      <c r="J1062" s="2"/>
    </row>
    <row r="1063" customFormat="false" ht="15" hidden="false" customHeight="false" outlineLevel="0" collapsed="false">
      <c r="A1063" s="3" t="n">
        <v>39389</v>
      </c>
      <c r="B1063" s="2" t="s">
        <v>656</v>
      </c>
      <c r="C1063" s="2" t="s">
        <v>706</v>
      </c>
      <c r="D1063" s="2" t="s">
        <v>380</v>
      </c>
      <c r="E1063" s="2" t="s">
        <v>356</v>
      </c>
      <c r="F1063" s="2"/>
      <c r="G1063" s="2" t="s">
        <v>297</v>
      </c>
      <c r="H1063" s="2" t="str">
        <f aca="false">IF(LEFT(B1063,10)="Arsenal v ",MID(B1063,11,100),LEFT(B1063,FIND(" v ",B1063)-1))</f>
        <v>Manchester United</v>
      </c>
      <c r="I1063" s="2" t="str">
        <f aca="false">IF(F1063&lt;&gt;"","N",IF(LEFT(B1063,10)="Arsenal v ","H","A"))</f>
        <v>H</v>
      </c>
      <c r="J1063" s="2"/>
    </row>
    <row r="1064" customFormat="false" ht="15" hidden="false" customHeight="false" outlineLevel="0" collapsed="false">
      <c r="A1064" s="3" t="n">
        <v>39393</v>
      </c>
      <c r="B1064" s="2" t="s">
        <v>545</v>
      </c>
      <c r="C1064" s="2" t="s">
        <v>706</v>
      </c>
      <c r="D1064" s="2" t="s">
        <v>369</v>
      </c>
      <c r="E1064" s="2" t="s">
        <v>352</v>
      </c>
      <c r="F1064" s="2"/>
      <c r="G1064" s="2" t="s">
        <v>297</v>
      </c>
      <c r="H1064" s="2" t="str">
        <f aca="false">IF(LEFT(B1064,10)="Arsenal v ",MID(B1064,11,100),LEFT(B1064,FIND(" v ",B1064)-1))</f>
        <v>Slavia Praha</v>
      </c>
      <c r="I1064" s="2" t="str">
        <f aca="false">IF(F1064&lt;&gt;"","N",IF(LEFT(B1064,10)="Arsenal v ","H","A"))</f>
        <v>A</v>
      </c>
      <c r="J1064" s="2"/>
    </row>
    <row r="1065" customFormat="false" ht="15" hidden="false" customHeight="false" outlineLevel="0" collapsed="false">
      <c r="A1065" s="3" t="n">
        <v>39398</v>
      </c>
      <c r="B1065" s="2" t="s">
        <v>530</v>
      </c>
      <c r="C1065" s="2" t="s">
        <v>702</v>
      </c>
      <c r="D1065" s="2" t="s">
        <v>373</v>
      </c>
      <c r="E1065" s="2" t="s">
        <v>356</v>
      </c>
      <c r="F1065" s="2"/>
      <c r="G1065" s="2" t="s">
        <v>297</v>
      </c>
      <c r="H1065" s="2" t="str">
        <f aca="false">IF(LEFT(B1065,10)="Arsenal v ",MID(B1065,11,100),LEFT(B1065,FIND(" v ",B1065)-1))</f>
        <v>Reading</v>
      </c>
      <c r="I1065" s="2" t="str">
        <f aca="false">IF(F1065&lt;&gt;"","N",IF(LEFT(B1065,10)="Arsenal v ","H","A"))</f>
        <v>A</v>
      </c>
      <c r="J1065" s="2"/>
    </row>
    <row r="1066" customFormat="false" ht="15" hidden="false" customHeight="false" outlineLevel="0" collapsed="false">
      <c r="A1066" s="3" t="n">
        <v>39410</v>
      </c>
      <c r="B1066" s="2" t="s">
        <v>808</v>
      </c>
      <c r="C1066" s="2" t="s">
        <v>702</v>
      </c>
      <c r="D1066" s="2" t="s">
        <v>351</v>
      </c>
      <c r="E1066" s="2" t="s">
        <v>356</v>
      </c>
      <c r="F1066" s="2"/>
      <c r="G1066" s="2" t="s">
        <v>297</v>
      </c>
      <c r="H1066" s="2" t="str">
        <f aca="false">IF(LEFT(B1066,10)="Arsenal v ",MID(B1066,11,100),LEFT(B1066,FIND(" v ",B1066)-1))</f>
        <v>Wigan Athletic</v>
      </c>
      <c r="I1066" s="2" t="str">
        <f aca="false">IF(F1066&lt;&gt;"","N",IF(LEFT(B1066,10)="Arsenal v ","H","A"))</f>
        <v>H</v>
      </c>
      <c r="J1066" s="2"/>
    </row>
    <row r="1067" customFormat="false" ht="15" hidden="false" customHeight="false" outlineLevel="0" collapsed="false">
      <c r="A1067" s="3" t="n">
        <v>39413</v>
      </c>
      <c r="B1067" s="2" t="s">
        <v>539</v>
      </c>
      <c r="C1067" s="2" t="s">
        <v>704</v>
      </c>
      <c r="D1067" s="2" t="s">
        <v>377</v>
      </c>
      <c r="E1067" s="2" t="s">
        <v>352</v>
      </c>
      <c r="F1067" s="2"/>
      <c r="G1067" s="2" t="s">
        <v>297</v>
      </c>
      <c r="H1067" s="2" t="str">
        <f aca="false">IF(LEFT(B1067,10)="Arsenal v ",MID(B1067,11,100),LEFT(B1067,FIND(" v ",B1067)-1))</f>
        <v>Sevilla</v>
      </c>
      <c r="I1067" s="2" t="str">
        <f aca="false">IF(F1067&lt;&gt;"","N",IF(LEFT(B1067,10)="Arsenal v ","H","A"))</f>
        <v>A</v>
      </c>
      <c r="J1067" s="2"/>
    </row>
    <row r="1068" customFormat="false" ht="15" hidden="false" customHeight="false" outlineLevel="0" collapsed="false">
      <c r="A1068" s="3" t="n">
        <v>39417</v>
      </c>
      <c r="B1068" s="2" t="s">
        <v>376</v>
      </c>
      <c r="C1068" s="2" t="s">
        <v>702</v>
      </c>
      <c r="D1068" s="2" t="s">
        <v>360</v>
      </c>
      <c r="E1068" s="2" t="s">
        <v>356</v>
      </c>
      <c r="F1068" s="2"/>
      <c r="G1068" s="2" t="s">
        <v>297</v>
      </c>
      <c r="H1068" s="2" t="str">
        <f aca="false">IF(LEFT(B1068,10)="Arsenal v ",MID(B1068,11,100),LEFT(B1068,FIND(" v ",B1068)-1))</f>
        <v>Aston Villa</v>
      </c>
      <c r="I1068" s="2" t="str">
        <f aca="false">IF(F1068&lt;&gt;"","N",IF(LEFT(B1068,10)="Arsenal v ","H","A"))</f>
        <v>A</v>
      </c>
      <c r="J1068" s="2"/>
    </row>
    <row r="1069" customFormat="false" ht="15" hidden="false" customHeight="false" outlineLevel="0" collapsed="false">
      <c r="A1069" s="3" t="n">
        <v>39421</v>
      </c>
      <c r="B1069" s="2" t="s">
        <v>501</v>
      </c>
      <c r="C1069" s="2" t="s">
        <v>706</v>
      </c>
      <c r="D1069" s="2" t="s">
        <v>361</v>
      </c>
      <c r="E1069" s="2" t="s">
        <v>356</v>
      </c>
      <c r="F1069" s="2"/>
      <c r="G1069" s="2" t="s">
        <v>297</v>
      </c>
      <c r="H1069" s="2" t="str">
        <f aca="false">IF(LEFT(B1069,10)="Arsenal v ",MID(B1069,11,100),LEFT(B1069,FIND(" v ",B1069)-1))</f>
        <v>Newcastle United</v>
      </c>
      <c r="I1069" s="2" t="str">
        <f aca="false">IF(F1069&lt;&gt;"","N",IF(LEFT(B1069,10)="Arsenal v ","H","A"))</f>
        <v>A</v>
      </c>
      <c r="J1069" s="2"/>
    </row>
    <row r="1070" customFormat="false" ht="15" hidden="false" customHeight="false" outlineLevel="0" collapsed="false">
      <c r="A1070" s="3" t="n">
        <v>39425</v>
      </c>
      <c r="B1070" s="2" t="s">
        <v>494</v>
      </c>
      <c r="C1070" s="2" t="s">
        <v>704</v>
      </c>
      <c r="D1070" s="2" t="s">
        <v>359</v>
      </c>
      <c r="E1070" s="2" t="s">
        <v>356</v>
      </c>
      <c r="F1070" s="2"/>
      <c r="G1070" s="2" t="s">
        <v>297</v>
      </c>
      <c r="H1070" s="2" t="str">
        <f aca="false">IF(LEFT(B1070,10)="Arsenal v ",MID(B1070,11,100),LEFT(B1070,FIND(" v ",B1070)-1))</f>
        <v>Middlesbrough</v>
      </c>
      <c r="I1070" s="2" t="str">
        <f aca="false">IF(F1070&lt;&gt;"","N",IF(LEFT(B1070,10)="Arsenal v ","H","A"))</f>
        <v>A</v>
      </c>
      <c r="J1070" s="2"/>
    </row>
    <row r="1071" customFormat="false" ht="15" hidden="false" customHeight="false" outlineLevel="0" collapsed="false">
      <c r="A1071" s="3" t="n">
        <v>39428</v>
      </c>
      <c r="B1071" s="2" t="s">
        <v>819</v>
      </c>
      <c r="C1071" s="2" t="s">
        <v>702</v>
      </c>
      <c r="D1071" s="2" t="s">
        <v>359</v>
      </c>
      <c r="E1071" s="2" t="s">
        <v>352</v>
      </c>
      <c r="F1071" s="2"/>
      <c r="G1071" s="2" t="s">
        <v>297</v>
      </c>
      <c r="H1071" s="2" t="str">
        <f aca="false">IF(LEFT(B1071,10)="Arsenal v ",MID(B1071,11,100),LEFT(B1071,FIND(" v ",B1071)-1))</f>
        <v>Steaua Bucuresti</v>
      </c>
      <c r="I1071" s="2" t="str">
        <f aca="false">IF(F1071&lt;&gt;"","N",IF(LEFT(B1071,10)="Arsenal v ","H","A"))</f>
        <v>H</v>
      </c>
      <c r="J1071" s="2"/>
    </row>
    <row r="1072" customFormat="false" ht="15" hidden="false" customHeight="false" outlineLevel="0" collapsed="false">
      <c r="A1072" s="3" t="n">
        <v>39432</v>
      </c>
      <c r="B1072" s="2" t="s">
        <v>725</v>
      </c>
      <c r="C1072" s="2" t="s">
        <v>702</v>
      </c>
      <c r="D1072" s="2" t="s">
        <v>348</v>
      </c>
      <c r="E1072" s="2" t="s">
        <v>356</v>
      </c>
      <c r="F1072" s="2"/>
      <c r="G1072" s="2" t="s">
        <v>297</v>
      </c>
      <c r="H1072" s="2" t="str">
        <f aca="false">IF(LEFT(B1072,10)="Arsenal v ",MID(B1072,11,100),LEFT(B1072,FIND(" v ",B1072)-1))</f>
        <v>Chelsea</v>
      </c>
      <c r="I1072" s="2" t="str">
        <f aca="false">IF(F1072&lt;&gt;"","N",IF(LEFT(B1072,10)="Arsenal v ","H","A"))</f>
        <v>H</v>
      </c>
      <c r="J1072" s="2"/>
    </row>
    <row r="1073" customFormat="false" ht="15" hidden="false" customHeight="false" outlineLevel="0" collapsed="false">
      <c r="A1073" s="3" t="n">
        <v>39434</v>
      </c>
      <c r="B1073" s="2" t="s">
        <v>406</v>
      </c>
      <c r="C1073" s="2" t="s">
        <v>702</v>
      </c>
      <c r="D1073" s="2" t="s">
        <v>366</v>
      </c>
      <c r="E1073" s="2" t="s">
        <v>379</v>
      </c>
      <c r="F1073" s="2"/>
      <c r="G1073" s="2" t="s">
        <v>297</v>
      </c>
      <c r="H1073" s="2" t="str">
        <f aca="false">IF(LEFT(B1073,10)="Arsenal v ",MID(B1073,11,100),LEFT(B1073,FIND(" v ",B1073)-1))</f>
        <v>Blackburn Rovers</v>
      </c>
      <c r="I1073" s="2" t="str">
        <f aca="false">IF(F1073&lt;&gt;"","N",IF(LEFT(B1073,10)="Arsenal v ","H","A"))</f>
        <v>A</v>
      </c>
      <c r="J1073" s="2"/>
    </row>
    <row r="1074" customFormat="false" ht="15" hidden="false" customHeight="false" outlineLevel="0" collapsed="false">
      <c r="A1074" s="3" t="n">
        <v>39438</v>
      </c>
      <c r="B1074" s="2" t="s">
        <v>655</v>
      </c>
      <c r="C1074" s="2" t="s">
        <v>702</v>
      </c>
      <c r="D1074" s="2" t="s">
        <v>359</v>
      </c>
      <c r="E1074" s="2" t="s">
        <v>356</v>
      </c>
      <c r="F1074" s="2"/>
      <c r="G1074" s="2" t="s">
        <v>297</v>
      </c>
      <c r="H1074" s="2" t="str">
        <f aca="false">IF(LEFT(B1074,10)="Arsenal v ",MID(B1074,11,100),LEFT(B1074,FIND(" v ",B1074)-1))</f>
        <v>Tottenham Hotspur</v>
      </c>
      <c r="I1074" s="2" t="str">
        <f aca="false">IF(F1074&lt;&gt;"","N",IF(LEFT(B1074,10)="Arsenal v ","H","A"))</f>
        <v>H</v>
      </c>
      <c r="J1074" s="2"/>
    </row>
    <row r="1075" customFormat="false" ht="15" hidden="false" customHeight="false" outlineLevel="0" collapsed="false">
      <c r="A1075" s="3" t="n">
        <v>39442</v>
      </c>
      <c r="B1075" s="2" t="s">
        <v>520</v>
      </c>
      <c r="C1075" s="2" t="s">
        <v>706</v>
      </c>
      <c r="D1075" s="2" t="s">
        <v>369</v>
      </c>
      <c r="E1075" s="2" t="s">
        <v>356</v>
      </c>
      <c r="F1075" s="2"/>
      <c r="G1075" s="2" t="s">
        <v>297</v>
      </c>
      <c r="H1075" s="2" t="str">
        <f aca="false">IF(LEFT(B1075,10)="Arsenal v ",MID(B1075,11,100),LEFT(B1075,FIND(" v ",B1075)-1))</f>
        <v>Portsmouth</v>
      </c>
      <c r="I1075" s="2" t="str">
        <f aca="false">IF(F1075&lt;&gt;"","N",IF(LEFT(B1075,10)="Arsenal v ","H","A"))</f>
        <v>A</v>
      </c>
      <c r="J1075" s="2"/>
    </row>
    <row r="1076" customFormat="false" ht="15" hidden="false" customHeight="false" outlineLevel="0" collapsed="false">
      <c r="A1076" s="3" t="n">
        <v>39445</v>
      </c>
      <c r="B1076" s="2" t="s">
        <v>448</v>
      </c>
      <c r="C1076" s="2" t="s">
        <v>702</v>
      </c>
      <c r="D1076" s="2" t="s">
        <v>407</v>
      </c>
      <c r="E1076" s="2" t="s">
        <v>356</v>
      </c>
      <c r="F1076" s="2"/>
      <c r="G1076" s="2" t="s">
        <v>297</v>
      </c>
      <c r="H1076" s="2" t="str">
        <f aca="false">IF(LEFT(B1076,10)="Arsenal v ",MID(B1076,11,100),LEFT(B1076,FIND(" v ",B1076)-1))</f>
        <v>Everton</v>
      </c>
      <c r="I1076" s="2" t="str">
        <f aca="false">IF(F1076&lt;&gt;"","N",IF(LEFT(B1076,10)="Arsenal v ","H","A"))</f>
        <v>A</v>
      </c>
      <c r="J1076" s="2"/>
    </row>
    <row r="1077" customFormat="false" ht="15" hidden="false" customHeight="false" outlineLevel="0" collapsed="false">
      <c r="A1077" s="3" t="n">
        <v>39448</v>
      </c>
      <c r="B1077" s="2" t="s">
        <v>712</v>
      </c>
      <c r="C1077" s="2" t="s">
        <v>702</v>
      </c>
      <c r="D1077" s="2" t="s">
        <v>351</v>
      </c>
      <c r="E1077" s="2" t="s">
        <v>356</v>
      </c>
      <c r="F1077" s="2"/>
      <c r="G1077" s="2" t="s">
        <v>297</v>
      </c>
      <c r="H1077" s="2" t="str">
        <f aca="false">IF(LEFT(B1077,10)="Arsenal v ",MID(B1077,11,100),LEFT(B1077,FIND(" v ",B1077)-1))</f>
        <v>West Ham United</v>
      </c>
      <c r="I1077" s="2" t="str">
        <f aca="false">IF(F1077&lt;&gt;"","N",IF(LEFT(B1077,10)="Arsenal v ","H","A"))</f>
        <v>H</v>
      </c>
      <c r="J1077" s="2"/>
    </row>
    <row r="1078" customFormat="false" ht="15" hidden="false" customHeight="false" outlineLevel="0" collapsed="false">
      <c r="A1078" s="3" t="n">
        <v>39453</v>
      </c>
      <c r="B1078" s="2" t="s">
        <v>419</v>
      </c>
      <c r="C1078" s="2" t="s">
        <v>702</v>
      </c>
      <c r="D1078" s="2" t="s">
        <v>353</v>
      </c>
      <c r="E1078" s="2" t="s">
        <v>362</v>
      </c>
      <c r="F1078" s="2"/>
      <c r="G1078" s="2" t="s">
        <v>297</v>
      </c>
      <c r="H1078" s="2" t="str">
        <f aca="false">IF(LEFT(B1078,10)="Arsenal v ",MID(B1078,11,100),LEFT(B1078,FIND(" v ",B1078)-1))</f>
        <v>Burnley</v>
      </c>
      <c r="I1078" s="2" t="str">
        <f aca="false">IF(F1078&lt;&gt;"","N",IF(LEFT(B1078,10)="Arsenal v ","H","A"))</f>
        <v>A</v>
      </c>
      <c r="J1078" s="2"/>
    </row>
    <row r="1079" customFormat="false" ht="15" hidden="false" customHeight="false" outlineLevel="0" collapsed="false">
      <c r="A1079" s="3" t="n">
        <v>39456</v>
      </c>
      <c r="B1079" s="2" t="s">
        <v>655</v>
      </c>
      <c r="C1079" s="2" t="s">
        <v>706</v>
      </c>
      <c r="D1079" s="2" t="s">
        <v>361</v>
      </c>
      <c r="E1079" s="2" t="s">
        <v>379</v>
      </c>
      <c r="F1079" s="2"/>
      <c r="G1079" s="2" t="s">
        <v>297</v>
      </c>
      <c r="H1079" s="2" t="str">
        <f aca="false">IF(LEFT(B1079,10)="Arsenal v ",MID(B1079,11,100),LEFT(B1079,FIND(" v ",B1079)-1))</f>
        <v>Tottenham Hotspur</v>
      </c>
      <c r="I1079" s="2" t="str">
        <f aca="false">IF(F1079&lt;&gt;"","N",IF(LEFT(B1079,10)="Arsenal v ","H","A"))</f>
        <v>H</v>
      </c>
      <c r="J1079" s="2"/>
    </row>
    <row r="1080" customFormat="false" ht="15" hidden="false" customHeight="false" outlineLevel="0" collapsed="false">
      <c r="A1080" s="3" t="n">
        <v>39459</v>
      </c>
      <c r="B1080" s="2" t="s">
        <v>760</v>
      </c>
      <c r="C1080" s="2" t="s">
        <v>706</v>
      </c>
      <c r="D1080" s="2" t="s">
        <v>361</v>
      </c>
      <c r="E1080" s="2" t="s">
        <v>356</v>
      </c>
      <c r="F1080" s="2"/>
      <c r="G1080" s="2" t="s">
        <v>297</v>
      </c>
      <c r="H1080" s="2" t="str">
        <f aca="false">IF(LEFT(B1080,10)="Arsenal v ",MID(B1080,11,100),LEFT(B1080,FIND(" v ",B1080)-1))</f>
        <v>Birmingham City</v>
      </c>
      <c r="I1080" s="2" t="str">
        <f aca="false">IF(F1080&lt;&gt;"","N",IF(LEFT(B1080,10)="Arsenal v ","H","A"))</f>
        <v>H</v>
      </c>
      <c r="J1080" s="2"/>
    </row>
    <row r="1081" customFormat="false" ht="15" hidden="false" customHeight="false" outlineLevel="0" collapsed="false">
      <c r="A1081" s="3" t="n">
        <v>39466</v>
      </c>
      <c r="B1081" s="2" t="s">
        <v>461</v>
      </c>
      <c r="C1081" s="2" t="s">
        <v>702</v>
      </c>
      <c r="D1081" s="2" t="s">
        <v>363</v>
      </c>
      <c r="E1081" s="2" t="s">
        <v>356</v>
      </c>
      <c r="F1081" s="2"/>
      <c r="G1081" s="2" t="s">
        <v>297</v>
      </c>
      <c r="H1081" s="2" t="str">
        <f aca="false">IF(LEFT(B1081,10)="Arsenal v ",MID(B1081,11,100),LEFT(B1081,FIND(" v ",B1081)-1))</f>
        <v>Fulham</v>
      </c>
      <c r="I1081" s="2" t="str">
        <f aca="false">IF(F1081&lt;&gt;"","N",IF(LEFT(B1081,10)="Arsenal v ","H","A"))</f>
        <v>A</v>
      </c>
      <c r="J1081" s="2"/>
    </row>
    <row r="1082" customFormat="false" ht="15" hidden="false" customHeight="false" outlineLevel="0" collapsed="false">
      <c r="A1082" s="3" t="n">
        <v>39469</v>
      </c>
      <c r="B1082" s="2" t="s">
        <v>561</v>
      </c>
      <c r="C1082" s="2" t="s">
        <v>704</v>
      </c>
      <c r="D1082" s="2" t="s">
        <v>401</v>
      </c>
      <c r="E1082" s="2" t="s">
        <v>379</v>
      </c>
      <c r="F1082" s="2"/>
      <c r="G1082" s="2" t="s">
        <v>297</v>
      </c>
      <c r="H1082" s="2" t="str">
        <f aca="false">IF(LEFT(B1082,10)="Arsenal v ",MID(B1082,11,100),LEFT(B1082,FIND(" v ",B1082)-1))</f>
        <v>Tottenham Hotspur</v>
      </c>
      <c r="I1082" s="2" t="str">
        <f aca="false">IF(F1082&lt;&gt;"","N",IF(LEFT(B1082,10)="Arsenal v ","H","A"))</f>
        <v>A</v>
      </c>
      <c r="J1082" s="2"/>
    </row>
    <row r="1083" customFormat="false" ht="15" hidden="false" customHeight="false" outlineLevel="0" collapsed="false">
      <c r="A1083" s="3" t="n">
        <v>39473</v>
      </c>
      <c r="B1083" s="2" t="s">
        <v>719</v>
      </c>
      <c r="C1083" s="2" t="s">
        <v>702</v>
      </c>
      <c r="D1083" s="2" t="s">
        <v>434</v>
      </c>
      <c r="E1083" s="2" t="s">
        <v>362</v>
      </c>
      <c r="F1083" s="2"/>
      <c r="G1083" s="2" t="s">
        <v>297</v>
      </c>
      <c r="H1083" s="2" t="str">
        <f aca="false">IF(LEFT(B1083,10)="Arsenal v ",MID(B1083,11,100),LEFT(B1083,FIND(" v ",B1083)-1))</f>
        <v>Newcastle United</v>
      </c>
      <c r="I1083" s="2" t="str">
        <f aca="false">IF(F1083&lt;&gt;"","N",IF(LEFT(B1083,10)="Arsenal v ","H","A"))</f>
        <v>H</v>
      </c>
      <c r="J1083" s="2"/>
    </row>
    <row r="1084" customFormat="false" ht="15" hidden="false" customHeight="false" outlineLevel="0" collapsed="false">
      <c r="A1084" s="3" t="n">
        <v>39476</v>
      </c>
      <c r="B1084" s="2" t="s">
        <v>719</v>
      </c>
      <c r="C1084" s="2" t="s">
        <v>702</v>
      </c>
      <c r="D1084" s="2" t="s">
        <v>434</v>
      </c>
      <c r="E1084" s="2" t="s">
        <v>356</v>
      </c>
      <c r="F1084" s="2"/>
      <c r="G1084" s="2" t="s">
        <v>297</v>
      </c>
      <c r="H1084" s="2" t="str">
        <f aca="false">IF(LEFT(B1084,10)="Arsenal v ",MID(B1084,11,100),LEFT(B1084,FIND(" v ",B1084)-1))</f>
        <v>Newcastle United</v>
      </c>
      <c r="I1084" s="2" t="str">
        <f aca="false">IF(F1084&lt;&gt;"","N",IF(LEFT(B1084,10)="Arsenal v ","H","A"))</f>
        <v>H</v>
      </c>
      <c r="J1084" s="2"/>
    </row>
    <row r="1085" customFormat="false" ht="15" hidden="false" customHeight="false" outlineLevel="0" collapsed="false">
      <c r="A1085" s="3" t="n">
        <v>39480</v>
      </c>
      <c r="B1085" s="2" t="s">
        <v>487</v>
      </c>
      <c r="C1085" s="2" t="s">
        <v>702</v>
      </c>
      <c r="D1085" s="2" t="s">
        <v>373</v>
      </c>
      <c r="E1085" s="2" t="s">
        <v>356</v>
      </c>
      <c r="F1085" s="2"/>
      <c r="G1085" s="2" t="s">
        <v>297</v>
      </c>
      <c r="H1085" s="2" t="str">
        <f aca="false">IF(LEFT(B1085,10)="Arsenal v ",MID(B1085,11,100),LEFT(B1085,FIND(" v ",B1085)-1))</f>
        <v>Manchester City</v>
      </c>
      <c r="I1085" s="2" t="str">
        <f aca="false">IF(F1085&lt;&gt;"","N",IF(LEFT(B1085,10)="Arsenal v ","H","A"))</f>
        <v>A</v>
      </c>
      <c r="J1085" s="2"/>
    </row>
    <row r="1086" customFormat="false" ht="15" hidden="false" customHeight="false" outlineLevel="0" collapsed="false">
      <c r="A1086" s="3" t="n">
        <v>39489</v>
      </c>
      <c r="B1086" s="2" t="s">
        <v>737</v>
      </c>
      <c r="C1086" s="2" t="s">
        <v>702</v>
      </c>
      <c r="D1086" s="2" t="s">
        <v>351</v>
      </c>
      <c r="E1086" s="2" t="s">
        <v>356</v>
      </c>
      <c r="F1086" s="2"/>
      <c r="G1086" s="2" t="s">
        <v>297</v>
      </c>
      <c r="H1086" s="2" t="str">
        <f aca="false">IF(LEFT(B1086,10)="Arsenal v ",MID(B1086,11,100),LEFT(B1086,FIND(" v ",B1086)-1))</f>
        <v>Blackburn Rovers</v>
      </c>
      <c r="I1086" s="2" t="str">
        <f aca="false">IF(F1086&lt;&gt;"","N",IF(LEFT(B1086,10)="Arsenal v ","H","A"))</f>
        <v>H</v>
      </c>
      <c r="J1086" s="2"/>
    </row>
    <row r="1087" customFormat="false" ht="15" hidden="false" customHeight="false" outlineLevel="0" collapsed="false">
      <c r="A1087" s="3" t="n">
        <v>39494</v>
      </c>
      <c r="B1087" s="2" t="s">
        <v>490</v>
      </c>
      <c r="C1087" s="2" t="s">
        <v>704</v>
      </c>
      <c r="D1087" s="2" t="s">
        <v>354</v>
      </c>
      <c r="E1087" s="2" t="s">
        <v>362</v>
      </c>
      <c r="F1087" s="2"/>
      <c r="G1087" s="2" t="s">
        <v>297</v>
      </c>
      <c r="H1087" s="2" t="str">
        <f aca="false">IF(LEFT(B1087,10)="Arsenal v ",MID(B1087,11,100),LEFT(B1087,FIND(" v ",B1087)-1))</f>
        <v>Manchester United</v>
      </c>
      <c r="I1087" s="2" t="str">
        <f aca="false">IF(F1087&lt;&gt;"","N",IF(LEFT(B1087,10)="Arsenal v ","H","A"))</f>
        <v>A</v>
      </c>
      <c r="J1087" s="2"/>
    </row>
    <row r="1088" customFormat="false" ht="15" hidden="false" customHeight="false" outlineLevel="0" collapsed="false">
      <c r="A1088" s="3" t="n">
        <v>39498</v>
      </c>
      <c r="B1088" s="2" t="s">
        <v>751</v>
      </c>
      <c r="C1088" s="2" t="s">
        <v>706</v>
      </c>
      <c r="D1088" s="2" t="s">
        <v>369</v>
      </c>
      <c r="E1088" s="2" t="s">
        <v>352</v>
      </c>
      <c r="F1088" s="2"/>
      <c r="G1088" s="2" t="s">
        <v>297</v>
      </c>
      <c r="H1088" s="2" t="str">
        <f aca="false">IF(LEFT(B1088,10)="Arsenal v ",MID(B1088,11,100),LEFT(B1088,FIND(" v ",B1088)-1))</f>
        <v>AC Milan</v>
      </c>
      <c r="I1088" s="2" t="str">
        <f aca="false">IF(F1088&lt;&gt;"","N",IF(LEFT(B1088,10)="Arsenal v ","H","A"))</f>
        <v>H</v>
      </c>
      <c r="J1088" s="2"/>
    </row>
    <row r="1089" customFormat="false" ht="15" hidden="false" customHeight="false" outlineLevel="0" collapsed="false">
      <c r="A1089" s="3" t="n">
        <v>39501</v>
      </c>
      <c r="B1089" s="2" t="s">
        <v>405</v>
      </c>
      <c r="C1089" s="2" t="s">
        <v>706</v>
      </c>
      <c r="D1089" s="2" t="s">
        <v>380</v>
      </c>
      <c r="E1089" s="2" t="s">
        <v>356</v>
      </c>
      <c r="F1089" s="2"/>
      <c r="G1089" s="2" t="s">
        <v>297</v>
      </c>
      <c r="H1089" s="2" t="str">
        <f aca="false">IF(LEFT(B1089,10)="Arsenal v ",MID(B1089,11,100),LEFT(B1089,FIND(" v ",B1089)-1))</f>
        <v>Birmingham City</v>
      </c>
      <c r="I1089" s="2" t="str">
        <f aca="false">IF(F1089&lt;&gt;"","N",IF(LEFT(B1089,10)="Arsenal v ","H","A"))</f>
        <v>A</v>
      </c>
      <c r="J1089" s="2"/>
    </row>
    <row r="1090" customFormat="false" ht="15" hidden="false" customHeight="false" outlineLevel="0" collapsed="false">
      <c r="A1090" s="3" t="n">
        <v>39508</v>
      </c>
      <c r="B1090" s="2" t="s">
        <v>703</v>
      </c>
      <c r="C1090" s="2" t="s">
        <v>706</v>
      </c>
      <c r="D1090" s="2" t="s">
        <v>361</v>
      </c>
      <c r="E1090" s="2" t="s">
        <v>356</v>
      </c>
      <c r="F1090" s="2"/>
      <c r="G1090" s="2" t="s">
        <v>297</v>
      </c>
      <c r="H1090" s="2" t="str">
        <f aca="false">IF(LEFT(B1090,10)="Arsenal v ",MID(B1090,11,100),LEFT(B1090,FIND(" v ",B1090)-1))</f>
        <v>Aston Villa</v>
      </c>
      <c r="I1090" s="2" t="str">
        <f aca="false">IF(F1090&lt;&gt;"","N",IF(LEFT(B1090,10)="Arsenal v ","H","A"))</f>
        <v>H</v>
      </c>
      <c r="J1090" s="2"/>
    </row>
    <row r="1091" customFormat="false" ht="15" hidden="false" customHeight="false" outlineLevel="0" collapsed="false">
      <c r="A1091" s="3" t="n">
        <v>39511</v>
      </c>
      <c r="B1091" s="2" t="s">
        <v>350</v>
      </c>
      <c r="C1091" s="2" t="s">
        <v>702</v>
      </c>
      <c r="D1091" s="2" t="s">
        <v>353</v>
      </c>
      <c r="E1091" s="2" t="s">
        <v>352</v>
      </c>
      <c r="F1091" s="2"/>
      <c r="G1091" s="2" t="s">
        <v>297</v>
      </c>
      <c r="H1091" s="2" t="str">
        <f aca="false">IF(LEFT(B1091,10)="Arsenal v ",MID(B1091,11,100),LEFT(B1091,FIND(" v ",B1091)-1))</f>
        <v>AC Milan</v>
      </c>
      <c r="I1091" s="2" t="str">
        <f aca="false">IF(F1091&lt;&gt;"","N",IF(LEFT(B1091,10)="Arsenal v ","H","A"))</f>
        <v>A</v>
      </c>
      <c r="J1091" s="2"/>
    </row>
    <row r="1092" customFormat="false" ht="15" hidden="false" customHeight="false" outlineLevel="0" collapsed="false">
      <c r="A1092" s="3" t="n">
        <v>39516</v>
      </c>
      <c r="B1092" s="2" t="s">
        <v>573</v>
      </c>
      <c r="C1092" s="2" t="s">
        <v>706</v>
      </c>
      <c r="D1092" s="2" t="s">
        <v>369</v>
      </c>
      <c r="E1092" s="2" t="s">
        <v>356</v>
      </c>
      <c r="F1092" s="2"/>
      <c r="G1092" s="2" t="s">
        <v>297</v>
      </c>
      <c r="H1092" s="2" t="str">
        <f aca="false">IF(LEFT(B1092,10)="Arsenal v ",MID(B1092,11,100),LEFT(B1092,FIND(" v ",B1092)-1))</f>
        <v>Wigan Athletic</v>
      </c>
      <c r="I1092" s="2" t="str">
        <f aca="false">IF(F1092&lt;&gt;"","N",IF(LEFT(B1092,10)="Arsenal v ","H","A"))</f>
        <v>A</v>
      </c>
      <c r="J1092" s="2"/>
    </row>
    <row r="1093" customFormat="false" ht="15" hidden="false" customHeight="false" outlineLevel="0" collapsed="false">
      <c r="A1093" s="3" t="n">
        <v>39522</v>
      </c>
      <c r="B1093" s="2" t="s">
        <v>711</v>
      </c>
      <c r="C1093" s="2" t="s">
        <v>706</v>
      </c>
      <c r="D1093" s="2" t="s">
        <v>361</v>
      </c>
      <c r="E1093" s="2" t="s">
        <v>356</v>
      </c>
      <c r="F1093" s="2"/>
      <c r="G1093" s="2" t="s">
        <v>297</v>
      </c>
      <c r="H1093" s="2" t="str">
        <f aca="false">IF(LEFT(B1093,10)="Arsenal v ",MID(B1093,11,100),LEFT(B1093,FIND(" v ",B1093)-1))</f>
        <v>Middlesbrough</v>
      </c>
      <c r="I1093" s="2" t="str">
        <f aca="false">IF(F1093&lt;&gt;"","N",IF(LEFT(B1093,10)="Arsenal v ","H","A"))</f>
        <v>H</v>
      </c>
      <c r="J1093" s="2"/>
    </row>
    <row r="1094" customFormat="false" ht="15" hidden="false" customHeight="false" outlineLevel="0" collapsed="false">
      <c r="A1094" s="3" t="n">
        <v>39530</v>
      </c>
      <c r="B1094" s="2" t="s">
        <v>426</v>
      </c>
      <c r="C1094" s="2" t="s">
        <v>704</v>
      </c>
      <c r="D1094" s="2" t="s">
        <v>359</v>
      </c>
      <c r="E1094" s="2" t="s">
        <v>356</v>
      </c>
      <c r="F1094" s="2"/>
      <c r="G1094" s="2" t="s">
        <v>297</v>
      </c>
      <c r="H1094" s="2" t="str">
        <f aca="false">IF(LEFT(B1094,10)="Arsenal v ",MID(B1094,11,100),LEFT(B1094,FIND(" v ",B1094)-1))</f>
        <v>Chelsea</v>
      </c>
      <c r="I1094" s="2" t="str">
        <f aca="false">IF(F1094&lt;&gt;"","N",IF(LEFT(B1094,10)="Arsenal v ","H","A"))</f>
        <v>A</v>
      </c>
      <c r="J1094" s="2"/>
    </row>
    <row r="1095" customFormat="false" ht="15" hidden="false" customHeight="false" outlineLevel="0" collapsed="false">
      <c r="A1095" s="3" t="n">
        <v>39536</v>
      </c>
      <c r="B1095" s="2" t="s">
        <v>410</v>
      </c>
      <c r="C1095" s="2" t="s">
        <v>702</v>
      </c>
      <c r="D1095" s="2" t="s">
        <v>366</v>
      </c>
      <c r="E1095" s="2" t="s">
        <v>356</v>
      </c>
      <c r="F1095" s="2"/>
      <c r="G1095" s="2" t="s">
        <v>297</v>
      </c>
      <c r="H1095" s="2" t="str">
        <f aca="false">IF(LEFT(B1095,10)="Arsenal v ",MID(B1095,11,100),LEFT(B1095,FIND(" v ",B1095)-1))</f>
        <v>Bolton Wanderers</v>
      </c>
      <c r="I1095" s="2" t="str">
        <f aca="false">IF(F1095&lt;&gt;"","N",IF(LEFT(B1095,10)="Arsenal v ","H","A"))</f>
        <v>A</v>
      </c>
      <c r="J1095" s="2"/>
    </row>
    <row r="1096" customFormat="false" ht="15" hidden="false" customHeight="false" outlineLevel="0" collapsed="false">
      <c r="A1096" s="3" t="n">
        <v>39540</v>
      </c>
      <c r="B1096" s="2" t="s">
        <v>710</v>
      </c>
      <c r="C1096" s="2" t="s">
        <v>706</v>
      </c>
      <c r="D1096" s="2" t="s">
        <v>361</v>
      </c>
      <c r="E1096" s="2" t="s">
        <v>352</v>
      </c>
      <c r="F1096" s="2"/>
      <c r="G1096" s="2" t="s">
        <v>297</v>
      </c>
      <c r="H1096" s="2" t="str">
        <f aca="false">IF(LEFT(B1096,10)="Arsenal v ",MID(B1096,11,100),LEFT(B1096,FIND(" v ",B1096)-1))</f>
        <v>Liverpool</v>
      </c>
      <c r="I1096" s="2" t="str">
        <f aca="false">IF(F1096&lt;&gt;"","N",IF(LEFT(B1096,10)="Arsenal v ","H","A"))</f>
        <v>H</v>
      </c>
      <c r="J1096" s="2"/>
    </row>
    <row r="1097" customFormat="false" ht="15" hidden="false" customHeight="false" outlineLevel="0" collapsed="false">
      <c r="A1097" s="3" t="n">
        <v>39543</v>
      </c>
      <c r="B1097" s="2" t="s">
        <v>710</v>
      </c>
      <c r="C1097" s="2" t="s">
        <v>706</v>
      </c>
      <c r="D1097" s="2" t="s">
        <v>361</v>
      </c>
      <c r="E1097" s="2" t="s">
        <v>356</v>
      </c>
      <c r="F1097" s="2"/>
      <c r="G1097" s="2" t="s">
        <v>297</v>
      </c>
      <c r="H1097" s="2" t="str">
        <f aca="false">IF(LEFT(B1097,10)="Arsenal v ",MID(B1097,11,100),LEFT(B1097,FIND(" v ",B1097)-1))</f>
        <v>Liverpool</v>
      </c>
      <c r="I1097" s="2" t="str">
        <f aca="false">IF(F1097&lt;&gt;"","N",IF(LEFT(B1097,10)="Arsenal v ","H","A"))</f>
        <v>H</v>
      </c>
      <c r="J1097" s="2"/>
    </row>
    <row r="1098" customFormat="false" ht="15" hidden="false" customHeight="false" outlineLevel="0" collapsed="false">
      <c r="A1098" s="3" t="n">
        <v>39546</v>
      </c>
      <c r="B1098" s="2" t="s">
        <v>477</v>
      </c>
      <c r="C1098" s="2" t="s">
        <v>704</v>
      </c>
      <c r="D1098" s="2" t="s">
        <v>479</v>
      </c>
      <c r="E1098" s="2" t="s">
        <v>352</v>
      </c>
      <c r="F1098" s="2"/>
      <c r="G1098" s="2" t="s">
        <v>297</v>
      </c>
      <c r="H1098" s="2" t="str">
        <f aca="false">IF(LEFT(B1098,10)="Arsenal v ",MID(B1098,11,100),LEFT(B1098,FIND(" v ",B1098)-1))</f>
        <v>Liverpool</v>
      </c>
      <c r="I1098" s="2" t="str">
        <f aca="false">IF(F1098&lt;&gt;"","N",IF(LEFT(B1098,10)="Arsenal v ","H","A"))</f>
        <v>A</v>
      </c>
      <c r="J1098" s="2"/>
    </row>
    <row r="1099" customFormat="false" ht="15" hidden="false" customHeight="false" outlineLevel="0" collapsed="false">
      <c r="A1099" s="3" t="n">
        <v>39551</v>
      </c>
      <c r="B1099" s="2" t="s">
        <v>490</v>
      </c>
      <c r="C1099" s="2" t="s">
        <v>704</v>
      </c>
      <c r="D1099" s="2" t="s">
        <v>359</v>
      </c>
      <c r="E1099" s="2" t="s">
        <v>356</v>
      </c>
      <c r="F1099" s="2"/>
      <c r="G1099" s="2" t="s">
        <v>297</v>
      </c>
      <c r="H1099" s="2" t="str">
        <f aca="false">IF(LEFT(B1099,10)="Arsenal v ",MID(B1099,11,100),LEFT(B1099,FIND(" v ",B1099)-1))</f>
        <v>Manchester United</v>
      </c>
      <c r="I1099" s="2" t="str">
        <f aca="false">IF(F1099&lt;&gt;"","N",IF(LEFT(B1099,10)="Arsenal v ","H","A"))</f>
        <v>A</v>
      </c>
      <c r="J1099" s="2"/>
    </row>
    <row r="1100" customFormat="false" ht="15" hidden="false" customHeight="false" outlineLevel="0" collapsed="false">
      <c r="A1100" s="3" t="n">
        <v>39557</v>
      </c>
      <c r="B1100" s="2" t="s">
        <v>806</v>
      </c>
      <c r="C1100" s="2" t="s">
        <v>702</v>
      </c>
      <c r="D1100" s="2" t="s">
        <v>351</v>
      </c>
      <c r="E1100" s="2" t="s">
        <v>356</v>
      </c>
      <c r="F1100" s="2"/>
      <c r="G1100" s="2" t="s">
        <v>297</v>
      </c>
      <c r="H1100" s="2" t="str">
        <f aca="false">IF(LEFT(B1100,10)="Arsenal v ",MID(B1100,11,100),LEFT(B1100,FIND(" v ",B1100)-1))</f>
        <v>Reading</v>
      </c>
      <c r="I1100" s="2" t="str">
        <f aca="false">IF(F1100&lt;&gt;"","N",IF(LEFT(B1100,10)="Arsenal v ","H","A"))</f>
        <v>H</v>
      </c>
      <c r="J1100" s="2"/>
    </row>
    <row r="1101" customFormat="false" ht="15" hidden="false" customHeight="false" outlineLevel="0" collapsed="false">
      <c r="A1101" s="3" t="n">
        <v>39566</v>
      </c>
      <c r="B1101" s="2" t="s">
        <v>440</v>
      </c>
      <c r="C1101" s="2" t="s">
        <v>702</v>
      </c>
      <c r="D1101" s="2" t="s">
        <v>441</v>
      </c>
      <c r="E1101" s="2" t="s">
        <v>356</v>
      </c>
      <c r="F1101" s="2"/>
      <c r="G1101" s="2" t="s">
        <v>297</v>
      </c>
      <c r="H1101" s="2" t="str">
        <f aca="false">IF(LEFT(B1101,10)="Arsenal v ",MID(B1101,11,100),LEFT(B1101,FIND(" v ",B1101)-1))</f>
        <v>Derby County</v>
      </c>
      <c r="I1101" s="2" t="str">
        <f aca="false">IF(F1101&lt;&gt;"","N",IF(LEFT(B1101,10)="Arsenal v ","H","A"))</f>
        <v>A</v>
      </c>
      <c r="J1101" s="2"/>
    </row>
    <row r="1102" customFormat="false" ht="15" hidden="false" customHeight="false" outlineLevel="0" collapsed="false">
      <c r="A1102" s="3" t="n">
        <v>39572</v>
      </c>
      <c r="B1102" s="2" t="s">
        <v>718</v>
      </c>
      <c r="C1102" s="2" t="s">
        <v>702</v>
      </c>
      <c r="D1102" s="2" t="s">
        <v>348</v>
      </c>
      <c r="E1102" s="2" t="s">
        <v>356</v>
      </c>
      <c r="F1102" s="2"/>
      <c r="G1102" s="2" t="s">
        <v>297</v>
      </c>
      <c r="H1102" s="2" t="str">
        <f aca="false">IF(LEFT(B1102,10)="Arsenal v ",MID(B1102,11,100),LEFT(B1102,FIND(" v ",B1102)-1))</f>
        <v>Everton</v>
      </c>
      <c r="I1102" s="2" t="str">
        <f aca="false">IF(F1102&lt;&gt;"","N",IF(LEFT(B1102,10)="Arsenal v ","H","A"))</f>
        <v>H</v>
      </c>
      <c r="J1102" s="2"/>
    </row>
    <row r="1103" customFormat="false" ht="15" hidden="false" customHeight="false" outlineLevel="0" collapsed="false">
      <c r="A1103" s="3" t="n">
        <v>39579</v>
      </c>
      <c r="B1103" s="2" t="s">
        <v>556</v>
      </c>
      <c r="C1103" s="2" t="s">
        <v>702</v>
      </c>
      <c r="D1103" s="2" t="s">
        <v>383</v>
      </c>
      <c r="E1103" s="2" t="s">
        <v>356</v>
      </c>
      <c r="F1103" s="2"/>
      <c r="G1103" s="2" t="s">
        <v>297</v>
      </c>
      <c r="H1103" s="2" t="str">
        <f aca="false">IF(LEFT(B1103,10)="Arsenal v ",MID(B1103,11,100),LEFT(B1103,FIND(" v ",B1103)-1))</f>
        <v>Sunderland</v>
      </c>
      <c r="I1103" s="2" t="str">
        <f aca="false">IF(F1103&lt;&gt;"","N",IF(LEFT(B1103,10)="Arsenal v ","H","A"))</f>
        <v>A</v>
      </c>
      <c r="J1103" s="2"/>
    </row>
    <row r="1104" customFormat="false" ht="15" hidden="false" customHeight="false" outlineLevel="0" collapsed="false">
      <c r="A1104" s="3" t="n">
        <v>39673</v>
      </c>
      <c r="B1104" s="2" t="s">
        <v>563</v>
      </c>
      <c r="C1104" s="2" t="s">
        <v>702</v>
      </c>
      <c r="D1104" s="2" t="s">
        <v>353</v>
      </c>
      <c r="E1104" s="2" t="s">
        <v>352</v>
      </c>
      <c r="F1104" s="2"/>
      <c r="G1104" s="2" t="s">
        <v>312</v>
      </c>
      <c r="H1104" s="2" t="str">
        <f aca="false">IF(LEFT(B1104,10)="Arsenal v ",MID(B1104,11,100),LEFT(B1104,FIND(" v ",B1104)-1))</f>
        <v>Twente Enschede</v>
      </c>
      <c r="I1104" s="2" t="str">
        <f aca="false">IF(F1104&lt;&gt;"","N",IF(LEFT(B1104,10)="Arsenal v ","H","A"))</f>
        <v>A</v>
      </c>
      <c r="J1104" s="2"/>
    </row>
    <row r="1105" customFormat="false" ht="15" hidden="false" customHeight="false" outlineLevel="0" collapsed="false">
      <c r="A1105" s="3" t="n">
        <v>39676</v>
      </c>
      <c r="B1105" s="2" t="s">
        <v>788</v>
      </c>
      <c r="C1105" s="2" t="s">
        <v>702</v>
      </c>
      <c r="D1105" s="2" t="s">
        <v>348</v>
      </c>
      <c r="E1105" s="2" t="s">
        <v>356</v>
      </c>
      <c r="F1105" s="2"/>
      <c r="G1105" s="2" t="s">
        <v>312</v>
      </c>
      <c r="H1105" s="2" t="str">
        <f aca="false">IF(LEFT(B1105,10)="Arsenal v ",MID(B1105,11,100),LEFT(B1105,FIND(" v ",B1105)-1))</f>
        <v>West Bromwich Albion</v>
      </c>
      <c r="I1105" s="2" t="str">
        <f aca="false">IF(F1105&lt;&gt;"","N",IF(LEFT(B1105,10)="Arsenal v ","H","A"))</f>
        <v>H</v>
      </c>
      <c r="J1105" s="2"/>
    </row>
    <row r="1106" customFormat="false" ht="15" hidden="false" customHeight="false" outlineLevel="0" collapsed="false">
      <c r="A1106" s="3" t="n">
        <v>39683</v>
      </c>
      <c r="B1106" s="2" t="s">
        <v>461</v>
      </c>
      <c r="C1106" s="2" t="s">
        <v>704</v>
      </c>
      <c r="D1106" s="2" t="s">
        <v>348</v>
      </c>
      <c r="E1106" s="2" t="s">
        <v>356</v>
      </c>
      <c r="F1106" s="2"/>
      <c r="G1106" s="2" t="s">
        <v>312</v>
      </c>
      <c r="H1106" s="2" t="str">
        <f aca="false">IF(LEFT(B1106,10)="Arsenal v ",MID(B1106,11,100),LEFT(B1106,FIND(" v ",B1106)-1))</f>
        <v>Fulham</v>
      </c>
      <c r="I1106" s="2" t="str">
        <f aca="false">IF(F1106&lt;&gt;"","N",IF(LEFT(B1106,10)="Arsenal v ","H","A"))</f>
        <v>A</v>
      </c>
      <c r="J1106" s="2"/>
    </row>
    <row r="1107" customFormat="false" ht="15" hidden="false" customHeight="false" outlineLevel="0" collapsed="false">
      <c r="A1107" s="3" t="n">
        <v>39687</v>
      </c>
      <c r="B1107" s="2" t="s">
        <v>820</v>
      </c>
      <c r="C1107" s="2" t="s">
        <v>702</v>
      </c>
      <c r="D1107" s="2" t="s">
        <v>354</v>
      </c>
      <c r="E1107" s="2" t="s">
        <v>352</v>
      </c>
      <c r="F1107" s="2"/>
      <c r="G1107" s="2" t="s">
        <v>312</v>
      </c>
      <c r="H1107" s="2" t="str">
        <f aca="false">IF(LEFT(B1107,10)="Arsenal v ",MID(B1107,11,100),LEFT(B1107,FIND(" v ",B1107)-1))</f>
        <v>Twente Enschede</v>
      </c>
      <c r="I1107" s="2" t="str">
        <f aca="false">IF(F1107&lt;&gt;"","N",IF(LEFT(B1107,10)="Arsenal v ","H","A"))</f>
        <v>H</v>
      </c>
      <c r="J1107" s="2"/>
    </row>
    <row r="1108" customFormat="false" ht="15" hidden="false" customHeight="false" outlineLevel="0" collapsed="false">
      <c r="A1108" s="3" t="n">
        <v>39690</v>
      </c>
      <c r="B1108" s="2" t="s">
        <v>719</v>
      </c>
      <c r="C1108" s="2" t="s">
        <v>702</v>
      </c>
      <c r="D1108" s="2" t="s">
        <v>434</v>
      </c>
      <c r="E1108" s="2" t="s">
        <v>356</v>
      </c>
      <c r="F1108" s="2"/>
      <c r="G1108" s="2" t="s">
        <v>312</v>
      </c>
      <c r="H1108" s="2" t="str">
        <f aca="false">IF(LEFT(B1108,10)="Arsenal v ",MID(B1108,11,100),LEFT(B1108,FIND(" v ",B1108)-1))</f>
        <v>Newcastle United</v>
      </c>
      <c r="I1108" s="2" t="str">
        <f aca="false">IF(F1108&lt;&gt;"","N",IF(LEFT(B1108,10)="Arsenal v ","H","A"))</f>
        <v>H</v>
      </c>
      <c r="J1108" s="2"/>
    </row>
    <row r="1109" customFormat="false" ht="15" hidden="false" customHeight="false" outlineLevel="0" collapsed="false">
      <c r="A1109" s="3" t="n">
        <v>39704</v>
      </c>
      <c r="B1109" s="2" t="s">
        <v>406</v>
      </c>
      <c r="C1109" s="2" t="s">
        <v>702</v>
      </c>
      <c r="D1109" s="2" t="s">
        <v>365</v>
      </c>
      <c r="E1109" s="2" t="s">
        <v>356</v>
      </c>
      <c r="F1109" s="2"/>
      <c r="G1109" s="2" t="s">
        <v>312</v>
      </c>
      <c r="H1109" s="2" t="str">
        <f aca="false">IF(LEFT(B1109,10)="Arsenal v ",MID(B1109,11,100),LEFT(B1109,FIND(" v ",B1109)-1))</f>
        <v>Blackburn Rovers</v>
      </c>
      <c r="I1109" s="2" t="str">
        <f aca="false">IF(F1109&lt;&gt;"","N",IF(LEFT(B1109,10)="Arsenal v ","H","A"))</f>
        <v>A</v>
      </c>
      <c r="J1109" s="2"/>
    </row>
    <row r="1110" customFormat="false" ht="15" hidden="false" customHeight="false" outlineLevel="0" collapsed="false">
      <c r="A1110" s="3" t="n">
        <v>39708</v>
      </c>
      <c r="B1110" s="2" t="s">
        <v>446</v>
      </c>
      <c r="C1110" s="2" t="s">
        <v>706</v>
      </c>
      <c r="D1110" s="2" t="s">
        <v>361</v>
      </c>
      <c r="E1110" s="2" t="s">
        <v>352</v>
      </c>
      <c r="F1110" s="2"/>
      <c r="G1110" s="2" t="s">
        <v>312</v>
      </c>
      <c r="H1110" s="2" t="str">
        <f aca="false">IF(LEFT(B1110,10)="Arsenal v ",MID(B1110,11,100),LEFT(B1110,FIND(" v ",B1110)-1))</f>
        <v>Dynamo Kiev</v>
      </c>
      <c r="I1110" s="2" t="str">
        <f aca="false">IF(F1110&lt;&gt;"","N",IF(LEFT(B1110,10)="Arsenal v ","H","A"))</f>
        <v>A</v>
      </c>
      <c r="J1110" s="2"/>
    </row>
    <row r="1111" customFormat="false" ht="15" hidden="false" customHeight="false" outlineLevel="0" collapsed="false">
      <c r="A1111" s="3" t="n">
        <v>39711</v>
      </c>
      <c r="B1111" s="2" t="s">
        <v>410</v>
      </c>
      <c r="C1111" s="2" t="s">
        <v>702</v>
      </c>
      <c r="D1111" s="2" t="s">
        <v>373</v>
      </c>
      <c r="E1111" s="2" t="s">
        <v>356</v>
      </c>
      <c r="F1111" s="2"/>
      <c r="G1111" s="2" t="s">
        <v>312</v>
      </c>
      <c r="H1111" s="2" t="str">
        <f aca="false">IF(LEFT(B1111,10)="Arsenal v ",MID(B1111,11,100),LEFT(B1111,FIND(" v ",B1111)-1))</f>
        <v>Bolton Wanderers</v>
      </c>
      <c r="I1111" s="2" t="str">
        <f aca="false">IF(F1111&lt;&gt;"","N",IF(LEFT(B1111,10)="Arsenal v ","H","A"))</f>
        <v>A</v>
      </c>
      <c r="J1111" s="2"/>
    </row>
    <row r="1112" customFormat="false" ht="15" hidden="false" customHeight="false" outlineLevel="0" collapsed="false">
      <c r="A1112" s="3" t="n">
        <v>39714</v>
      </c>
      <c r="B1112" s="2" t="s">
        <v>728</v>
      </c>
      <c r="C1112" s="2" t="s">
        <v>702</v>
      </c>
      <c r="D1112" s="2" t="s">
        <v>428</v>
      </c>
      <c r="E1112" s="2" t="s">
        <v>379</v>
      </c>
      <c r="F1112" s="2"/>
      <c r="G1112" s="2" t="s">
        <v>312</v>
      </c>
      <c r="H1112" s="2" t="str">
        <f aca="false">IF(LEFT(B1112,10)="Arsenal v ",MID(B1112,11,100),LEFT(B1112,FIND(" v ",B1112)-1))</f>
        <v>Sheffield United</v>
      </c>
      <c r="I1112" s="2" t="str">
        <f aca="false">IF(F1112&lt;&gt;"","N",IF(LEFT(B1112,10)="Arsenal v ","H","A"))</f>
        <v>H</v>
      </c>
      <c r="J1112" s="2"/>
    </row>
    <row r="1113" customFormat="false" ht="15" hidden="false" customHeight="false" outlineLevel="0" collapsed="false">
      <c r="A1113" s="3" t="n">
        <v>39718</v>
      </c>
      <c r="B1113" s="2" t="s">
        <v>707</v>
      </c>
      <c r="C1113" s="2" t="s">
        <v>704</v>
      </c>
      <c r="D1113" s="2" t="s">
        <v>360</v>
      </c>
      <c r="E1113" s="2" t="s">
        <v>356</v>
      </c>
      <c r="F1113" s="2"/>
      <c r="G1113" s="2" t="s">
        <v>312</v>
      </c>
      <c r="H1113" s="2" t="str">
        <f aca="false">IF(LEFT(B1113,10)="Arsenal v ",MID(B1113,11,100),LEFT(B1113,FIND(" v ",B1113)-1))</f>
        <v>Hull City</v>
      </c>
      <c r="I1113" s="2" t="str">
        <f aca="false">IF(F1113&lt;&gt;"","N",IF(LEFT(B1113,10)="Arsenal v ","H","A"))</f>
        <v>H</v>
      </c>
      <c r="J1113" s="2"/>
    </row>
    <row r="1114" customFormat="false" ht="15" hidden="false" customHeight="false" outlineLevel="0" collapsed="false">
      <c r="A1114" s="3" t="n">
        <v>39721</v>
      </c>
      <c r="B1114" s="2" t="s">
        <v>813</v>
      </c>
      <c r="C1114" s="2" t="s">
        <v>702</v>
      </c>
      <c r="D1114" s="2" t="s">
        <v>354</v>
      </c>
      <c r="E1114" s="2" t="s">
        <v>352</v>
      </c>
      <c r="F1114" s="2"/>
      <c r="G1114" s="2" t="s">
        <v>312</v>
      </c>
      <c r="H1114" s="2" t="str">
        <f aca="false">IF(LEFT(B1114,10)="Arsenal v ",MID(B1114,11,100),LEFT(B1114,FIND(" v ",B1114)-1))</f>
        <v>FC Porto</v>
      </c>
      <c r="I1114" s="2" t="str">
        <f aca="false">IF(F1114&lt;&gt;"","N",IF(LEFT(B1114,10)="Arsenal v ","H","A"))</f>
        <v>H</v>
      </c>
      <c r="J1114" s="2"/>
    </row>
    <row r="1115" customFormat="false" ht="15" hidden="false" customHeight="false" outlineLevel="0" collapsed="false">
      <c r="A1115" s="3" t="n">
        <v>39725</v>
      </c>
      <c r="B1115" s="2" t="s">
        <v>556</v>
      </c>
      <c r="C1115" s="2" t="s">
        <v>706</v>
      </c>
      <c r="D1115" s="2" t="s">
        <v>361</v>
      </c>
      <c r="E1115" s="2" t="s">
        <v>356</v>
      </c>
      <c r="F1115" s="2"/>
      <c r="G1115" s="2" t="s">
        <v>312</v>
      </c>
      <c r="H1115" s="2" t="str">
        <f aca="false">IF(LEFT(B1115,10)="Arsenal v ",MID(B1115,11,100),LEFT(B1115,FIND(" v ",B1115)-1))</f>
        <v>Sunderland</v>
      </c>
      <c r="I1115" s="2" t="str">
        <f aca="false">IF(F1115&lt;&gt;"","N",IF(LEFT(B1115,10)="Arsenal v ","H","A"))</f>
        <v>A</v>
      </c>
      <c r="J1115" s="2"/>
    </row>
    <row r="1116" customFormat="false" ht="15" hidden="false" customHeight="false" outlineLevel="0" collapsed="false">
      <c r="A1116" s="3" t="n">
        <v>39739</v>
      </c>
      <c r="B1116" s="2" t="s">
        <v>718</v>
      </c>
      <c r="C1116" s="2" t="s">
        <v>702</v>
      </c>
      <c r="D1116" s="2" t="s">
        <v>377</v>
      </c>
      <c r="E1116" s="2" t="s">
        <v>356</v>
      </c>
      <c r="F1116" s="2"/>
      <c r="G1116" s="2" t="s">
        <v>312</v>
      </c>
      <c r="H1116" s="2" t="str">
        <f aca="false">IF(LEFT(B1116,10)="Arsenal v ",MID(B1116,11,100),LEFT(B1116,FIND(" v ",B1116)-1))</f>
        <v>Everton</v>
      </c>
      <c r="I1116" s="2" t="str">
        <f aca="false">IF(F1116&lt;&gt;"","N",IF(LEFT(B1116,10)="Arsenal v ","H","A"))</f>
        <v>H</v>
      </c>
      <c r="J1116" s="2"/>
    </row>
    <row r="1117" customFormat="false" ht="15" hidden="false" customHeight="false" outlineLevel="0" collapsed="false">
      <c r="A1117" s="3" t="n">
        <v>39742</v>
      </c>
      <c r="B1117" s="2" t="s">
        <v>457</v>
      </c>
      <c r="C1117" s="2" t="s">
        <v>702</v>
      </c>
      <c r="D1117" s="2" t="s">
        <v>450</v>
      </c>
      <c r="E1117" s="2" t="s">
        <v>352</v>
      </c>
      <c r="F1117" s="2"/>
      <c r="G1117" s="2" t="s">
        <v>312</v>
      </c>
      <c r="H1117" s="2" t="str">
        <f aca="false">IF(LEFT(B1117,10)="Arsenal v ",MID(B1117,11,100),LEFT(B1117,FIND(" v ",B1117)-1))</f>
        <v>Fenerbahce</v>
      </c>
      <c r="I1117" s="2" t="str">
        <f aca="false">IF(F1117&lt;&gt;"","N",IF(LEFT(B1117,10)="Arsenal v ","H","A"))</f>
        <v>A</v>
      </c>
      <c r="J1117" s="2"/>
    </row>
    <row r="1118" customFormat="false" ht="15" hidden="false" customHeight="false" outlineLevel="0" collapsed="false">
      <c r="A1118" s="3" t="n">
        <v>39747</v>
      </c>
      <c r="B1118" s="2" t="s">
        <v>572</v>
      </c>
      <c r="C1118" s="2" t="s">
        <v>702</v>
      </c>
      <c r="D1118" s="2" t="s">
        <v>353</v>
      </c>
      <c r="E1118" s="2" t="s">
        <v>356</v>
      </c>
      <c r="F1118" s="2"/>
      <c r="G1118" s="2" t="s">
        <v>312</v>
      </c>
      <c r="H1118" s="2" t="str">
        <f aca="false">IF(LEFT(B1118,10)="Arsenal v ",MID(B1118,11,100),LEFT(B1118,FIND(" v ",B1118)-1))</f>
        <v>West Ham United</v>
      </c>
      <c r="I1118" s="2" t="str">
        <f aca="false">IF(F1118&lt;&gt;"","N",IF(LEFT(B1118,10)="Arsenal v ","H","A"))</f>
        <v>A</v>
      </c>
      <c r="J1118" s="2"/>
    </row>
    <row r="1119" customFormat="false" ht="15" hidden="false" customHeight="false" outlineLevel="0" collapsed="false">
      <c r="A1119" s="3" t="n">
        <v>39750</v>
      </c>
      <c r="B1119" s="2" t="s">
        <v>655</v>
      </c>
      <c r="C1119" s="2" t="s">
        <v>706</v>
      </c>
      <c r="D1119" s="2" t="s">
        <v>481</v>
      </c>
      <c r="E1119" s="2" t="s">
        <v>356</v>
      </c>
      <c r="F1119" s="2"/>
      <c r="G1119" s="2" t="s">
        <v>312</v>
      </c>
      <c r="H1119" s="2" t="str">
        <f aca="false">IF(LEFT(B1119,10)="Arsenal v ",MID(B1119,11,100),LEFT(B1119,FIND(" v ",B1119)-1))</f>
        <v>Tottenham Hotspur</v>
      </c>
      <c r="I1119" s="2" t="str">
        <f aca="false">IF(F1119&lt;&gt;"","N",IF(LEFT(B1119,10)="Arsenal v ","H","A"))</f>
        <v>H</v>
      </c>
      <c r="J1119" s="2"/>
    </row>
    <row r="1120" customFormat="false" ht="15" hidden="false" customHeight="false" outlineLevel="0" collapsed="false">
      <c r="A1120" s="3" t="n">
        <v>39753</v>
      </c>
      <c r="B1120" s="2" t="s">
        <v>555</v>
      </c>
      <c r="C1120" s="2" t="s">
        <v>704</v>
      </c>
      <c r="D1120" s="2" t="s">
        <v>359</v>
      </c>
      <c r="E1120" s="2" t="s">
        <v>356</v>
      </c>
      <c r="F1120" s="2"/>
      <c r="G1120" s="2" t="s">
        <v>312</v>
      </c>
      <c r="H1120" s="2" t="str">
        <f aca="false">IF(LEFT(B1120,10)="Arsenal v ",MID(B1120,11,100),LEFT(B1120,FIND(" v ",B1120)-1))</f>
        <v>Stoke City</v>
      </c>
      <c r="I1120" s="2" t="str">
        <f aca="false">IF(F1120&lt;&gt;"","N",IF(LEFT(B1120,10)="Arsenal v ","H","A"))</f>
        <v>A</v>
      </c>
      <c r="J1120" s="2"/>
    </row>
    <row r="1121" customFormat="false" ht="15" hidden="false" customHeight="false" outlineLevel="0" collapsed="false">
      <c r="A1121" s="3" t="n">
        <v>39757</v>
      </c>
      <c r="B1121" s="2" t="s">
        <v>821</v>
      </c>
      <c r="C1121" s="2" t="s">
        <v>706</v>
      </c>
      <c r="D1121" s="2" t="s">
        <v>369</v>
      </c>
      <c r="E1121" s="2" t="s">
        <v>352</v>
      </c>
      <c r="F1121" s="2"/>
      <c r="G1121" s="2" t="s">
        <v>312</v>
      </c>
      <c r="H1121" s="2" t="str">
        <f aca="false">IF(LEFT(B1121,10)="Arsenal v ",MID(B1121,11,100),LEFT(B1121,FIND(" v ",B1121)-1))</f>
        <v>Fenerbahce</v>
      </c>
      <c r="I1121" s="2" t="str">
        <f aca="false">IF(F1121&lt;&gt;"","N",IF(LEFT(B1121,10)="Arsenal v ","H","A"))</f>
        <v>H</v>
      </c>
      <c r="J1121" s="2"/>
    </row>
    <row r="1122" customFormat="false" ht="15" hidden="false" customHeight="false" outlineLevel="0" collapsed="false">
      <c r="A1122" s="3" t="n">
        <v>39760</v>
      </c>
      <c r="B1122" s="2" t="s">
        <v>656</v>
      </c>
      <c r="C1122" s="2" t="s">
        <v>702</v>
      </c>
      <c r="D1122" s="2" t="s">
        <v>359</v>
      </c>
      <c r="E1122" s="2" t="s">
        <v>356</v>
      </c>
      <c r="F1122" s="2"/>
      <c r="G1122" s="2" t="s">
        <v>312</v>
      </c>
      <c r="H1122" s="2" t="str">
        <f aca="false">IF(LEFT(B1122,10)="Arsenal v ",MID(B1122,11,100),LEFT(B1122,FIND(" v ",B1122)-1))</f>
        <v>Manchester United</v>
      </c>
      <c r="I1122" s="2" t="str">
        <f aca="false">IF(F1122&lt;&gt;"","N",IF(LEFT(B1122,10)="Arsenal v ","H","A"))</f>
        <v>H</v>
      </c>
      <c r="J1122" s="2"/>
    </row>
    <row r="1123" customFormat="false" ht="15" hidden="false" customHeight="false" outlineLevel="0" collapsed="false">
      <c r="A1123" s="3" t="n">
        <v>39763</v>
      </c>
      <c r="B1123" s="2" t="s">
        <v>808</v>
      </c>
      <c r="C1123" s="2" t="s">
        <v>702</v>
      </c>
      <c r="D1123" s="2" t="s">
        <v>434</v>
      </c>
      <c r="E1123" s="2" t="s">
        <v>379</v>
      </c>
      <c r="F1123" s="2"/>
      <c r="G1123" s="2" t="s">
        <v>312</v>
      </c>
      <c r="H1123" s="2" t="str">
        <f aca="false">IF(LEFT(B1123,10)="Arsenal v ",MID(B1123,11,100),LEFT(B1123,FIND(" v ",B1123)-1))</f>
        <v>Wigan Athletic</v>
      </c>
      <c r="I1123" s="2" t="str">
        <f aca="false">IF(F1123&lt;&gt;"","N",IF(LEFT(B1123,10)="Arsenal v ","H","A"))</f>
        <v>H</v>
      </c>
      <c r="J1123" s="2"/>
    </row>
    <row r="1124" customFormat="false" ht="15" hidden="false" customHeight="false" outlineLevel="0" collapsed="false">
      <c r="A1124" s="3" t="n">
        <v>39767</v>
      </c>
      <c r="B1124" s="2" t="s">
        <v>703</v>
      </c>
      <c r="C1124" s="2" t="s">
        <v>704</v>
      </c>
      <c r="D1124" s="2" t="s">
        <v>353</v>
      </c>
      <c r="E1124" s="2" t="s">
        <v>356</v>
      </c>
      <c r="F1124" s="2"/>
      <c r="G1124" s="2" t="s">
        <v>312</v>
      </c>
      <c r="H1124" s="2" t="str">
        <f aca="false">IF(LEFT(B1124,10)="Arsenal v ",MID(B1124,11,100),LEFT(B1124,FIND(" v ",B1124)-1))</f>
        <v>Aston Villa</v>
      </c>
      <c r="I1124" s="2" t="str">
        <f aca="false">IF(F1124&lt;&gt;"","N",IF(LEFT(B1124,10)="Arsenal v ","H","A"))</f>
        <v>H</v>
      </c>
      <c r="J1124" s="2"/>
    </row>
    <row r="1125" customFormat="false" ht="15" hidden="false" customHeight="false" outlineLevel="0" collapsed="false">
      <c r="A1125" s="3" t="n">
        <v>39774</v>
      </c>
      <c r="B1125" s="2" t="s">
        <v>487</v>
      </c>
      <c r="C1125" s="2" t="s">
        <v>704</v>
      </c>
      <c r="D1125" s="2" t="s">
        <v>434</v>
      </c>
      <c r="E1125" s="2" t="s">
        <v>356</v>
      </c>
      <c r="F1125" s="2"/>
      <c r="G1125" s="2" t="s">
        <v>312</v>
      </c>
      <c r="H1125" s="2" t="str">
        <f aca="false">IF(LEFT(B1125,10)="Arsenal v ",MID(B1125,11,100),LEFT(B1125,FIND(" v ",B1125)-1))</f>
        <v>Manchester City</v>
      </c>
      <c r="I1125" s="2" t="str">
        <f aca="false">IF(F1125&lt;&gt;"","N",IF(LEFT(B1125,10)="Arsenal v ","H","A"))</f>
        <v>A</v>
      </c>
      <c r="J1125" s="2"/>
    </row>
    <row r="1126" customFormat="false" ht="15" hidden="false" customHeight="false" outlineLevel="0" collapsed="false">
      <c r="A1126" s="3" t="n">
        <v>39777</v>
      </c>
      <c r="B1126" s="2" t="s">
        <v>661</v>
      </c>
      <c r="C1126" s="2" t="s">
        <v>702</v>
      </c>
      <c r="D1126" s="2" t="s">
        <v>348</v>
      </c>
      <c r="E1126" s="2" t="s">
        <v>352</v>
      </c>
      <c r="F1126" s="2"/>
      <c r="G1126" s="2" t="s">
        <v>312</v>
      </c>
      <c r="H1126" s="2" t="str">
        <f aca="false">IF(LEFT(B1126,10)="Arsenal v ",MID(B1126,11,100),LEFT(B1126,FIND(" v ",B1126)-1))</f>
        <v>Dynamo Kiev</v>
      </c>
      <c r="I1126" s="2" t="str">
        <f aca="false">IF(F1126&lt;&gt;"","N",IF(LEFT(B1126,10)="Arsenal v ","H","A"))</f>
        <v>H</v>
      </c>
      <c r="J1126" s="2"/>
    </row>
    <row r="1127" customFormat="false" ht="15" hidden="false" customHeight="false" outlineLevel="0" collapsed="false">
      <c r="A1127" s="3" t="n">
        <v>39782</v>
      </c>
      <c r="B1127" s="2" t="s">
        <v>426</v>
      </c>
      <c r="C1127" s="2" t="s">
        <v>702</v>
      </c>
      <c r="D1127" s="2" t="s">
        <v>360</v>
      </c>
      <c r="E1127" s="2" t="s">
        <v>356</v>
      </c>
      <c r="F1127" s="2"/>
      <c r="G1127" s="2" t="s">
        <v>312</v>
      </c>
      <c r="H1127" s="2" t="str">
        <f aca="false">IF(LEFT(B1127,10)="Arsenal v ",MID(B1127,11,100),LEFT(B1127,FIND(" v ",B1127)-1))</f>
        <v>Chelsea</v>
      </c>
      <c r="I1127" s="2" t="str">
        <f aca="false">IF(F1127&lt;&gt;"","N",IF(LEFT(B1127,10)="Arsenal v ","H","A"))</f>
        <v>A</v>
      </c>
      <c r="J1127" s="2"/>
    </row>
    <row r="1128" customFormat="false" ht="15" hidden="false" customHeight="false" outlineLevel="0" collapsed="false">
      <c r="A1128" s="3" t="n">
        <v>39784</v>
      </c>
      <c r="B1128" s="2" t="s">
        <v>419</v>
      </c>
      <c r="C1128" s="2" t="s">
        <v>704</v>
      </c>
      <c r="D1128" s="2" t="s">
        <v>351</v>
      </c>
      <c r="E1128" s="2" t="s">
        <v>379</v>
      </c>
      <c r="F1128" s="2"/>
      <c r="G1128" s="2" t="s">
        <v>312</v>
      </c>
      <c r="H1128" s="2" t="str">
        <f aca="false">IF(LEFT(B1128,10)="Arsenal v ",MID(B1128,11,100),LEFT(B1128,FIND(" v ",B1128)-1))</f>
        <v>Burnley</v>
      </c>
      <c r="I1128" s="2" t="str">
        <f aca="false">IF(F1128&lt;&gt;"","N",IF(LEFT(B1128,10)="Arsenal v ","H","A"))</f>
        <v>A</v>
      </c>
      <c r="J1128" s="2"/>
    </row>
    <row r="1129" customFormat="false" ht="15" hidden="false" customHeight="false" outlineLevel="0" collapsed="false">
      <c r="A1129" s="3" t="n">
        <v>39788</v>
      </c>
      <c r="B1129" s="2" t="s">
        <v>808</v>
      </c>
      <c r="C1129" s="2" t="s">
        <v>702</v>
      </c>
      <c r="D1129" s="2" t="s">
        <v>348</v>
      </c>
      <c r="E1129" s="2" t="s">
        <v>356</v>
      </c>
      <c r="F1129" s="2"/>
      <c r="G1129" s="2" t="s">
        <v>312</v>
      </c>
      <c r="H1129" s="2" t="str">
        <f aca="false">IF(LEFT(B1129,10)="Arsenal v ",MID(B1129,11,100),LEFT(B1129,FIND(" v ",B1129)-1))</f>
        <v>Wigan Athletic</v>
      </c>
      <c r="I1129" s="2" t="str">
        <f aca="false">IF(F1129&lt;&gt;"","N",IF(LEFT(B1129,10)="Arsenal v ","H","A"))</f>
        <v>H</v>
      </c>
      <c r="J1129" s="2"/>
    </row>
    <row r="1130" customFormat="false" ht="15" hidden="false" customHeight="false" outlineLevel="0" collapsed="false">
      <c r="A1130" s="3" t="n">
        <v>39792</v>
      </c>
      <c r="B1130" s="2" t="s">
        <v>454</v>
      </c>
      <c r="C1130" s="2" t="s">
        <v>704</v>
      </c>
      <c r="D1130" s="2" t="s">
        <v>351</v>
      </c>
      <c r="E1130" s="2" t="s">
        <v>352</v>
      </c>
      <c r="F1130" s="2"/>
      <c r="G1130" s="2" t="s">
        <v>312</v>
      </c>
      <c r="H1130" s="2" t="str">
        <f aca="false">IF(LEFT(B1130,10)="Arsenal v ",MID(B1130,11,100),LEFT(B1130,FIND(" v ",B1130)-1))</f>
        <v>FC Porto</v>
      </c>
      <c r="I1130" s="2" t="str">
        <f aca="false">IF(F1130&lt;&gt;"","N",IF(LEFT(B1130,10)="Arsenal v ","H","A"))</f>
        <v>A</v>
      </c>
      <c r="J1130" s="2"/>
    </row>
    <row r="1131" customFormat="false" ht="15" hidden="false" customHeight="false" outlineLevel="0" collapsed="false">
      <c r="A1131" s="3" t="n">
        <v>39795</v>
      </c>
      <c r="B1131" s="2" t="s">
        <v>494</v>
      </c>
      <c r="C1131" s="2" t="s">
        <v>706</v>
      </c>
      <c r="D1131" s="2" t="s">
        <v>361</v>
      </c>
      <c r="E1131" s="2" t="s">
        <v>356</v>
      </c>
      <c r="F1131" s="2"/>
      <c r="G1131" s="2" t="s">
        <v>312</v>
      </c>
      <c r="H1131" s="2" t="str">
        <f aca="false">IF(LEFT(B1131,10)="Arsenal v ",MID(B1131,11,100),LEFT(B1131,FIND(" v ",B1131)-1))</f>
        <v>Middlesbrough</v>
      </c>
      <c r="I1131" s="2" t="str">
        <f aca="false">IF(F1131&lt;&gt;"","N",IF(LEFT(B1131,10)="Arsenal v ","H","A"))</f>
        <v>A</v>
      </c>
      <c r="J1131" s="2"/>
    </row>
    <row r="1132" customFormat="false" ht="15" hidden="false" customHeight="false" outlineLevel="0" collapsed="false">
      <c r="A1132" s="3" t="n">
        <v>39803</v>
      </c>
      <c r="B1132" s="2" t="s">
        <v>710</v>
      </c>
      <c r="C1132" s="2" t="s">
        <v>706</v>
      </c>
      <c r="D1132" s="2" t="s">
        <v>361</v>
      </c>
      <c r="E1132" s="2" t="s">
        <v>356</v>
      </c>
      <c r="F1132" s="2"/>
      <c r="G1132" s="2" t="s">
        <v>312</v>
      </c>
      <c r="H1132" s="2" t="str">
        <f aca="false">IF(LEFT(B1132,10)="Arsenal v ",MID(B1132,11,100),LEFT(B1132,FIND(" v ",B1132)-1))</f>
        <v>Liverpool</v>
      </c>
      <c r="I1132" s="2" t="str">
        <f aca="false">IF(F1132&lt;&gt;"","N",IF(LEFT(B1132,10)="Arsenal v ","H","A"))</f>
        <v>H</v>
      </c>
      <c r="J1132" s="2"/>
    </row>
    <row r="1133" customFormat="false" ht="15" hidden="false" customHeight="false" outlineLevel="0" collapsed="false">
      <c r="A1133" s="3" t="n">
        <v>39808</v>
      </c>
      <c r="B1133" s="2" t="s">
        <v>376</v>
      </c>
      <c r="C1133" s="2" t="s">
        <v>706</v>
      </c>
      <c r="D1133" s="2" t="s">
        <v>380</v>
      </c>
      <c r="E1133" s="2" t="s">
        <v>356</v>
      </c>
      <c r="F1133" s="2"/>
      <c r="G1133" s="2" t="s">
        <v>312</v>
      </c>
      <c r="H1133" s="2" t="str">
        <f aca="false">IF(LEFT(B1133,10)="Arsenal v ",MID(B1133,11,100),LEFT(B1133,FIND(" v ",B1133)-1))</f>
        <v>Aston Villa</v>
      </c>
      <c r="I1133" s="2" t="str">
        <f aca="false">IF(F1133&lt;&gt;"","N",IF(LEFT(B1133,10)="Arsenal v ","H","A"))</f>
        <v>A</v>
      </c>
      <c r="J1133" s="2"/>
    </row>
    <row r="1134" customFormat="false" ht="15" hidden="false" customHeight="false" outlineLevel="0" collapsed="false">
      <c r="A1134" s="3" t="n">
        <v>39810</v>
      </c>
      <c r="B1134" s="2" t="s">
        <v>795</v>
      </c>
      <c r="C1134" s="2" t="s">
        <v>702</v>
      </c>
      <c r="D1134" s="2" t="s">
        <v>348</v>
      </c>
      <c r="E1134" s="2" t="s">
        <v>356</v>
      </c>
      <c r="F1134" s="2"/>
      <c r="G1134" s="2" t="s">
        <v>312</v>
      </c>
      <c r="H1134" s="2" t="str">
        <f aca="false">IF(LEFT(B1134,10)="Arsenal v ",MID(B1134,11,100),LEFT(B1134,FIND(" v ",B1134)-1))</f>
        <v>Portsmouth</v>
      </c>
      <c r="I1134" s="2" t="str">
        <f aca="false">IF(F1134&lt;&gt;"","N",IF(LEFT(B1134,10)="Arsenal v ","H","A"))</f>
        <v>H</v>
      </c>
      <c r="J1134" s="2"/>
    </row>
    <row r="1135" customFormat="false" ht="15" hidden="false" customHeight="false" outlineLevel="0" collapsed="false">
      <c r="A1135" s="3" t="n">
        <v>39816</v>
      </c>
      <c r="B1135" s="2" t="s">
        <v>723</v>
      </c>
      <c r="C1135" s="2" t="s">
        <v>702</v>
      </c>
      <c r="D1135" s="2" t="s">
        <v>377</v>
      </c>
      <c r="E1135" s="2" t="s">
        <v>362</v>
      </c>
      <c r="F1135" s="2"/>
      <c r="G1135" s="2" t="s">
        <v>312</v>
      </c>
      <c r="H1135" s="2" t="str">
        <f aca="false">IF(LEFT(B1135,10)="Arsenal v ",MID(B1135,11,100),LEFT(B1135,FIND(" v ",B1135)-1))</f>
        <v>Plymouth Argyle</v>
      </c>
      <c r="I1135" s="2" t="str">
        <f aca="false">IF(F1135&lt;&gt;"","N",IF(LEFT(B1135,10)="Arsenal v ","H","A"))</f>
        <v>H</v>
      </c>
      <c r="J1135" s="2"/>
    </row>
    <row r="1136" customFormat="false" ht="15" hidden="false" customHeight="false" outlineLevel="0" collapsed="false">
      <c r="A1136" s="3" t="n">
        <v>39823</v>
      </c>
      <c r="B1136" s="2" t="s">
        <v>743</v>
      </c>
      <c r="C1136" s="2" t="s">
        <v>702</v>
      </c>
      <c r="D1136" s="2" t="s">
        <v>348</v>
      </c>
      <c r="E1136" s="2" t="s">
        <v>356</v>
      </c>
      <c r="F1136" s="2"/>
      <c r="G1136" s="2" t="s">
        <v>312</v>
      </c>
      <c r="H1136" s="2" t="str">
        <f aca="false">IF(LEFT(B1136,10)="Arsenal v ",MID(B1136,11,100),LEFT(B1136,FIND(" v ",B1136)-1))</f>
        <v>Bolton Wanderers</v>
      </c>
      <c r="I1136" s="2" t="str">
        <f aca="false">IF(F1136&lt;&gt;"","N",IF(LEFT(B1136,10)="Arsenal v ","H","A"))</f>
        <v>H</v>
      </c>
      <c r="J1136" s="2"/>
    </row>
    <row r="1137" customFormat="false" ht="15" hidden="false" customHeight="false" outlineLevel="0" collapsed="false">
      <c r="A1137" s="3" t="n">
        <v>39830</v>
      </c>
      <c r="B1137" s="2" t="s">
        <v>467</v>
      </c>
      <c r="C1137" s="2" t="s">
        <v>702</v>
      </c>
      <c r="D1137" s="2" t="s">
        <v>373</v>
      </c>
      <c r="E1137" s="2" t="s">
        <v>356</v>
      </c>
      <c r="F1137" s="2"/>
      <c r="G1137" s="2" t="s">
        <v>312</v>
      </c>
      <c r="H1137" s="2" t="str">
        <f aca="false">IF(LEFT(B1137,10)="Arsenal v ",MID(B1137,11,100),LEFT(B1137,FIND(" v ",B1137)-1))</f>
        <v>Hull City</v>
      </c>
      <c r="I1137" s="2" t="str">
        <f aca="false">IF(F1137&lt;&gt;"","N",IF(LEFT(B1137,10)="Arsenal v ","H","A"))</f>
        <v>A</v>
      </c>
      <c r="J1137" s="2"/>
    </row>
    <row r="1138" customFormat="false" ht="15" hidden="false" customHeight="false" outlineLevel="0" collapsed="false">
      <c r="A1138" s="3" t="n">
        <v>39838</v>
      </c>
      <c r="B1138" s="2" t="s">
        <v>421</v>
      </c>
      <c r="C1138" s="2" t="s">
        <v>706</v>
      </c>
      <c r="D1138" s="2" t="s">
        <v>369</v>
      </c>
      <c r="E1138" s="2" t="s">
        <v>362</v>
      </c>
      <c r="F1138" s="2"/>
      <c r="G1138" s="2" t="s">
        <v>312</v>
      </c>
      <c r="H1138" s="2" t="str">
        <f aca="false">IF(LEFT(B1138,10)="Arsenal v ",MID(B1138,11,100),LEFT(B1138,FIND(" v ",B1138)-1))</f>
        <v>Cardiff City</v>
      </c>
      <c r="I1138" s="2" t="str">
        <f aca="false">IF(F1138&lt;&gt;"","N",IF(LEFT(B1138,10)="Arsenal v ","H","A"))</f>
        <v>A</v>
      </c>
      <c r="J1138" s="2"/>
    </row>
    <row r="1139" customFormat="false" ht="15" hidden="false" customHeight="false" outlineLevel="0" collapsed="false">
      <c r="A1139" s="3" t="n">
        <v>39841</v>
      </c>
      <c r="B1139" s="2" t="s">
        <v>448</v>
      </c>
      <c r="C1139" s="2" t="s">
        <v>706</v>
      </c>
      <c r="D1139" s="2" t="s">
        <v>361</v>
      </c>
      <c r="E1139" s="2" t="s">
        <v>356</v>
      </c>
      <c r="F1139" s="2"/>
      <c r="G1139" s="2" t="s">
        <v>312</v>
      </c>
      <c r="H1139" s="2" t="str">
        <f aca="false">IF(LEFT(B1139,10)="Arsenal v ",MID(B1139,11,100),LEFT(B1139,FIND(" v ",B1139)-1))</f>
        <v>Everton</v>
      </c>
      <c r="I1139" s="2" t="str">
        <f aca="false">IF(F1139&lt;&gt;"","N",IF(LEFT(B1139,10)="Arsenal v ","H","A"))</f>
        <v>A</v>
      </c>
      <c r="J1139" s="2"/>
    </row>
    <row r="1140" customFormat="false" ht="15" hidden="false" customHeight="false" outlineLevel="0" collapsed="false">
      <c r="A1140" s="3" t="n">
        <v>39844</v>
      </c>
      <c r="B1140" s="2" t="s">
        <v>712</v>
      </c>
      <c r="C1140" s="2" t="s">
        <v>706</v>
      </c>
      <c r="D1140" s="2" t="s">
        <v>369</v>
      </c>
      <c r="E1140" s="2" t="s">
        <v>356</v>
      </c>
      <c r="F1140" s="2"/>
      <c r="G1140" s="2" t="s">
        <v>312</v>
      </c>
      <c r="H1140" s="2" t="str">
        <f aca="false">IF(LEFT(B1140,10)="Arsenal v ",MID(B1140,11,100),LEFT(B1140,FIND(" v ",B1140)-1))</f>
        <v>West Ham United</v>
      </c>
      <c r="I1140" s="2" t="str">
        <f aca="false">IF(F1140&lt;&gt;"","N",IF(LEFT(B1140,10)="Arsenal v ","H","A"))</f>
        <v>H</v>
      </c>
      <c r="J1140" s="2"/>
    </row>
    <row r="1141" customFormat="false" ht="15" hidden="false" customHeight="false" outlineLevel="0" collapsed="false">
      <c r="A1141" s="3" t="n">
        <v>39852</v>
      </c>
      <c r="B1141" s="2" t="s">
        <v>561</v>
      </c>
      <c r="C1141" s="2" t="s">
        <v>706</v>
      </c>
      <c r="D1141" s="2" t="s">
        <v>369</v>
      </c>
      <c r="E1141" s="2" t="s">
        <v>356</v>
      </c>
      <c r="F1141" s="2"/>
      <c r="G1141" s="2" t="s">
        <v>312</v>
      </c>
      <c r="H1141" s="2" t="str">
        <f aca="false">IF(LEFT(B1141,10)="Arsenal v ",MID(B1141,11,100),LEFT(B1141,FIND(" v ",B1141)-1))</f>
        <v>Tottenham Hotspur</v>
      </c>
      <c r="I1141" s="2" t="str">
        <f aca="false">IF(F1141&lt;&gt;"","N",IF(LEFT(B1141,10)="Arsenal v ","H","A"))</f>
        <v>A</v>
      </c>
      <c r="J1141" s="2"/>
    </row>
    <row r="1142" customFormat="false" ht="15" hidden="false" customHeight="false" outlineLevel="0" collapsed="false">
      <c r="A1142" s="3" t="n">
        <v>39860</v>
      </c>
      <c r="B1142" s="2" t="s">
        <v>807</v>
      </c>
      <c r="C1142" s="2" t="s">
        <v>702</v>
      </c>
      <c r="D1142" s="2" t="s">
        <v>354</v>
      </c>
      <c r="E1142" s="2" t="s">
        <v>362</v>
      </c>
      <c r="F1142" s="2"/>
      <c r="G1142" s="2" t="s">
        <v>312</v>
      </c>
      <c r="H1142" s="2" t="str">
        <f aca="false">IF(LEFT(B1142,10)="Arsenal v ",MID(B1142,11,100),LEFT(B1142,FIND(" v ",B1142)-1))</f>
        <v>Cardiff City</v>
      </c>
      <c r="I1142" s="2" t="str">
        <f aca="false">IF(F1142&lt;&gt;"","N",IF(LEFT(B1142,10)="Arsenal v ","H","A"))</f>
        <v>H</v>
      </c>
      <c r="J1142" s="2"/>
    </row>
    <row r="1143" customFormat="false" ht="15" hidden="false" customHeight="false" outlineLevel="0" collapsed="false">
      <c r="A1143" s="3" t="n">
        <v>39865</v>
      </c>
      <c r="B1143" s="2" t="s">
        <v>727</v>
      </c>
      <c r="C1143" s="2" t="s">
        <v>706</v>
      </c>
      <c r="D1143" s="2" t="s">
        <v>369</v>
      </c>
      <c r="E1143" s="2" t="s">
        <v>356</v>
      </c>
      <c r="F1143" s="2"/>
      <c r="G1143" s="2" t="s">
        <v>312</v>
      </c>
      <c r="H1143" s="2" t="str">
        <f aca="false">IF(LEFT(B1143,10)="Arsenal v ",MID(B1143,11,100),LEFT(B1143,FIND(" v ",B1143)-1))</f>
        <v>Sunderland</v>
      </c>
      <c r="I1143" s="2" t="str">
        <f aca="false">IF(F1143&lt;&gt;"","N",IF(LEFT(B1143,10)="Arsenal v ","H","A"))</f>
        <v>H</v>
      </c>
      <c r="J1143" s="2"/>
    </row>
    <row r="1144" customFormat="false" ht="15" hidden="false" customHeight="false" outlineLevel="0" collapsed="false">
      <c r="A1144" s="3" t="n">
        <v>39868</v>
      </c>
      <c r="B1144" s="2" t="s">
        <v>793</v>
      </c>
      <c r="C1144" s="2" t="s">
        <v>702</v>
      </c>
      <c r="D1144" s="2" t="s">
        <v>348</v>
      </c>
      <c r="E1144" s="2" t="s">
        <v>352</v>
      </c>
      <c r="F1144" s="2"/>
      <c r="G1144" s="2" t="s">
        <v>312</v>
      </c>
      <c r="H1144" s="2" t="str">
        <f aca="false">IF(LEFT(B1144,10)="Arsenal v ",MID(B1144,11,100),LEFT(B1144,FIND(" v ",B1144)-1))</f>
        <v>AS Roma</v>
      </c>
      <c r="I1144" s="2" t="str">
        <f aca="false">IF(F1144&lt;&gt;"","N",IF(LEFT(B1144,10)="Arsenal v ","H","A"))</f>
        <v>H</v>
      </c>
      <c r="J1144" s="2"/>
    </row>
    <row r="1145" customFormat="false" ht="15" hidden="false" customHeight="false" outlineLevel="0" collapsed="false">
      <c r="A1145" s="3" t="n">
        <v>39872</v>
      </c>
      <c r="B1145" s="2" t="s">
        <v>784</v>
      </c>
      <c r="C1145" s="2" t="s">
        <v>706</v>
      </c>
      <c r="D1145" s="2" t="s">
        <v>369</v>
      </c>
      <c r="E1145" s="2" t="s">
        <v>356</v>
      </c>
      <c r="F1145" s="2"/>
      <c r="G1145" s="2" t="s">
        <v>312</v>
      </c>
      <c r="H1145" s="2" t="str">
        <f aca="false">IF(LEFT(B1145,10)="Arsenal v ",MID(B1145,11,100),LEFT(B1145,FIND(" v ",B1145)-1))</f>
        <v>Fulham</v>
      </c>
      <c r="I1145" s="2" t="str">
        <f aca="false">IF(F1145&lt;&gt;"","N",IF(LEFT(B1145,10)="Arsenal v ","H","A"))</f>
        <v>H</v>
      </c>
      <c r="J1145" s="2"/>
    </row>
    <row r="1146" customFormat="false" ht="15" hidden="false" customHeight="false" outlineLevel="0" collapsed="false">
      <c r="A1146" s="3" t="n">
        <v>39875</v>
      </c>
      <c r="B1146" s="2" t="s">
        <v>571</v>
      </c>
      <c r="C1146" s="2" t="s">
        <v>702</v>
      </c>
      <c r="D1146" s="2" t="s">
        <v>373</v>
      </c>
      <c r="E1146" s="2" t="s">
        <v>356</v>
      </c>
      <c r="F1146" s="2"/>
      <c r="G1146" s="2" t="s">
        <v>312</v>
      </c>
      <c r="H1146" s="2" t="str">
        <f aca="false">IF(LEFT(B1146,10)="Arsenal v ",MID(B1146,11,100),LEFT(B1146,FIND(" v ",B1146)-1))</f>
        <v>West Bromwich Albion</v>
      </c>
      <c r="I1146" s="2" t="str">
        <f aca="false">IF(F1146&lt;&gt;"","N",IF(LEFT(B1146,10)="Arsenal v ","H","A"))</f>
        <v>A</v>
      </c>
      <c r="J1146" s="2"/>
    </row>
    <row r="1147" customFormat="false" ht="15" hidden="false" customHeight="false" outlineLevel="0" collapsed="false">
      <c r="A1147" s="3" t="n">
        <v>39880</v>
      </c>
      <c r="B1147" s="2" t="s">
        <v>822</v>
      </c>
      <c r="C1147" s="2" t="s">
        <v>702</v>
      </c>
      <c r="D1147" s="2" t="s">
        <v>434</v>
      </c>
      <c r="E1147" s="2" t="s">
        <v>362</v>
      </c>
      <c r="F1147" s="2"/>
      <c r="G1147" s="2" t="s">
        <v>312</v>
      </c>
      <c r="H1147" s="2" t="str">
        <f aca="false">IF(LEFT(B1147,10)="Arsenal v ",MID(B1147,11,100),LEFT(B1147,FIND(" v ",B1147)-1))</f>
        <v>Burnley</v>
      </c>
      <c r="I1147" s="2" t="str">
        <f aca="false">IF(F1147&lt;&gt;"","N",IF(LEFT(B1147,10)="Arsenal v ","H","A"))</f>
        <v>H</v>
      </c>
      <c r="J1147" s="2"/>
    </row>
    <row r="1148" customFormat="false" ht="15" hidden="false" customHeight="false" outlineLevel="0" collapsed="false">
      <c r="A1148" s="3" t="n">
        <v>39883</v>
      </c>
      <c r="B1148" s="2" t="s">
        <v>372</v>
      </c>
      <c r="C1148" s="2" t="s">
        <v>704</v>
      </c>
      <c r="D1148" s="2" t="s">
        <v>348</v>
      </c>
      <c r="E1148" s="2" t="s">
        <v>352</v>
      </c>
      <c r="F1148" s="2"/>
      <c r="G1148" s="2" t="s">
        <v>312</v>
      </c>
      <c r="H1148" s="2" t="str">
        <f aca="false">IF(LEFT(B1148,10)="Arsenal v ",MID(B1148,11,100),LEFT(B1148,FIND(" v ",B1148)-1))</f>
        <v>AS Roma</v>
      </c>
      <c r="I1148" s="2" t="str">
        <f aca="false">IF(F1148&lt;&gt;"","N",IF(LEFT(B1148,10)="Arsenal v ","H","A"))</f>
        <v>A</v>
      </c>
      <c r="J1148" s="2"/>
    </row>
    <row r="1149" customFormat="false" ht="15" hidden="false" customHeight="false" outlineLevel="0" collapsed="false">
      <c r="A1149" s="3" t="n">
        <v>39886</v>
      </c>
      <c r="B1149" s="2" t="s">
        <v>737</v>
      </c>
      <c r="C1149" s="2" t="s">
        <v>702</v>
      </c>
      <c r="D1149" s="2" t="s">
        <v>354</v>
      </c>
      <c r="E1149" s="2" t="s">
        <v>356</v>
      </c>
      <c r="F1149" s="2"/>
      <c r="G1149" s="2" t="s">
        <v>312</v>
      </c>
      <c r="H1149" s="2" t="str">
        <f aca="false">IF(LEFT(B1149,10)="Arsenal v ",MID(B1149,11,100),LEFT(B1149,FIND(" v ",B1149)-1))</f>
        <v>Blackburn Rovers</v>
      </c>
      <c r="I1149" s="2" t="str">
        <f aca="false">IF(F1149&lt;&gt;"","N",IF(LEFT(B1149,10)="Arsenal v ","H","A"))</f>
        <v>H</v>
      </c>
      <c r="J1149" s="2"/>
    </row>
    <row r="1150" customFormat="false" ht="15" hidden="false" customHeight="false" outlineLevel="0" collapsed="false">
      <c r="A1150" s="3" t="n">
        <v>39889</v>
      </c>
      <c r="B1150" s="2" t="s">
        <v>707</v>
      </c>
      <c r="C1150" s="2" t="s">
        <v>702</v>
      </c>
      <c r="D1150" s="2" t="s">
        <v>359</v>
      </c>
      <c r="E1150" s="2" t="s">
        <v>362</v>
      </c>
      <c r="F1150" s="2"/>
      <c r="G1150" s="2" t="s">
        <v>312</v>
      </c>
      <c r="H1150" s="2" t="str">
        <f aca="false">IF(LEFT(B1150,10)="Arsenal v ",MID(B1150,11,100),LEFT(B1150,FIND(" v ",B1150)-1))</f>
        <v>Hull City</v>
      </c>
      <c r="I1150" s="2" t="str">
        <f aca="false">IF(F1150&lt;&gt;"","N",IF(LEFT(B1150,10)="Arsenal v ","H","A"))</f>
        <v>H</v>
      </c>
      <c r="J1150" s="2"/>
    </row>
    <row r="1151" customFormat="false" ht="15" hidden="false" customHeight="false" outlineLevel="0" collapsed="false">
      <c r="A1151" s="3" t="n">
        <v>39893</v>
      </c>
      <c r="B1151" s="2" t="s">
        <v>501</v>
      </c>
      <c r="C1151" s="2" t="s">
        <v>702</v>
      </c>
      <c r="D1151" s="2" t="s">
        <v>373</v>
      </c>
      <c r="E1151" s="2" t="s">
        <v>356</v>
      </c>
      <c r="F1151" s="2"/>
      <c r="G1151" s="2" t="s">
        <v>312</v>
      </c>
      <c r="H1151" s="2" t="str">
        <f aca="false">IF(LEFT(B1151,10)="Arsenal v ",MID(B1151,11,100),LEFT(B1151,FIND(" v ",B1151)-1))</f>
        <v>Newcastle United</v>
      </c>
      <c r="I1151" s="2" t="str">
        <f aca="false">IF(F1151&lt;&gt;"","N",IF(LEFT(B1151,10)="Arsenal v ","H","A"))</f>
        <v>A</v>
      </c>
      <c r="J1151" s="2"/>
    </row>
    <row r="1152" customFormat="false" ht="15" hidden="false" customHeight="false" outlineLevel="0" collapsed="false">
      <c r="A1152" s="3" t="n">
        <v>39907</v>
      </c>
      <c r="B1152" s="2" t="s">
        <v>657</v>
      </c>
      <c r="C1152" s="2" t="s">
        <v>702</v>
      </c>
      <c r="D1152" s="2" t="s">
        <v>351</v>
      </c>
      <c r="E1152" s="2" t="s">
        <v>356</v>
      </c>
      <c r="F1152" s="2"/>
      <c r="G1152" s="2" t="s">
        <v>312</v>
      </c>
      <c r="H1152" s="2" t="str">
        <f aca="false">IF(LEFT(B1152,10)="Arsenal v ",MID(B1152,11,100),LEFT(B1152,FIND(" v ",B1152)-1))</f>
        <v>Manchester City</v>
      </c>
      <c r="I1152" s="2" t="str">
        <f aca="false">IF(F1152&lt;&gt;"","N",IF(LEFT(B1152,10)="Arsenal v ","H","A"))</f>
        <v>H</v>
      </c>
      <c r="J1152" s="2"/>
    </row>
    <row r="1153" customFormat="false" ht="15" hidden="false" customHeight="false" outlineLevel="0" collapsed="false">
      <c r="A1153" s="3" t="n">
        <v>39910</v>
      </c>
      <c r="B1153" s="2" t="s">
        <v>566</v>
      </c>
      <c r="C1153" s="2" t="s">
        <v>706</v>
      </c>
      <c r="D1153" s="2" t="s">
        <v>361</v>
      </c>
      <c r="E1153" s="2" t="s">
        <v>352</v>
      </c>
      <c r="F1153" s="2"/>
      <c r="G1153" s="2" t="s">
        <v>312</v>
      </c>
      <c r="H1153" s="2" t="str">
        <f aca="false">IF(LEFT(B1153,10)="Arsenal v ",MID(B1153,11,100),LEFT(B1153,FIND(" v ",B1153)-1))</f>
        <v>Villarreal</v>
      </c>
      <c r="I1153" s="2" t="str">
        <f aca="false">IF(F1153&lt;&gt;"","N",IF(LEFT(B1153,10)="Arsenal v ","H","A"))</f>
        <v>A</v>
      </c>
      <c r="J1153" s="2"/>
    </row>
    <row r="1154" customFormat="false" ht="15" hidden="false" customHeight="false" outlineLevel="0" collapsed="false">
      <c r="A1154" s="3" t="n">
        <v>39914</v>
      </c>
      <c r="B1154" s="2" t="s">
        <v>573</v>
      </c>
      <c r="C1154" s="2" t="s">
        <v>702</v>
      </c>
      <c r="D1154" s="2" t="s">
        <v>407</v>
      </c>
      <c r="E1154" s="2" t="s">
        <v>356</v>
      </c>
      <c r="F1154" s="2"/>
      <c r="G1154" s="2" t="s">
        <v>312</v>
      </c>
      <c r="H1154" s="2" t="str">
        <f aca="false">IF(LEFT(B1154,10)="Arsenal v ",MID(B1154,11,100),LEFT(B1154,FIND(" v ",B1154)-1))</f>
        <v>Wigan Athletic</v>
      </c>
      <c r="I1154" s="2" t="str">
        <f aca="false">IF(F1154&lt;&gt;"","N",IF(LEFT(B1154,10)="Arsenal v ","H","A"))</f>
        <v>A</v>
      </c>
      <c r="J1154" s="2"/>
    </row>
    <row r="1155" customFormat="false" ht="15" hidden="false" customHeight="false" outlineLevel="0" collapsed="false">
      <c r="A1155" s="3" t="n">
        <v>39918</v>
      </c>
      <c r="B1155" s="2" t="s">
        <v>810</v>
      </c>
      <c r="C1155" s="2" t="s">
        <v>702</v>
      </c>
      <c r="D1155" s="2" t="s">
        <v>434</v>
      </c>
      <c r="E1155" s="2" t="s">
        <v>352</v>
      </c>
      <c r="F1155" s="2"/>
      <c r="G1155" s="2" t="s">
        <v>312</v>
      </c>
      <c r="H1155" s="2" t="str">
        <f aca="false">IF(LEFT(B1155,10)="Arsenal v ",MID(B1155,11,100),LEFT(B1155,FIND(" v ",B1155)-1))</f>
        <v>Villarreal</v>
      </c>
      <c r="I1155" s="2" t="str">
        <f aca="false">IF(F1155&lt;&gt;"","N",IF(LEFT(B1155,10)="Arsenal v ","H","A"))</f>
        <v>H</v>
      </c>
      <c r="J1155" s="2"/>
    </row>
    <row r="1156" customFormat="false" ht="15" hidden="false" customHeight="false" outlineLevel="0" collapsed="false">
      <c r="A1156" s="3" t="n">
        <v>39921</v>
      </c>
      <c r="B1156" s="2" t="s">
        <v>725</v>
      </c>
      <c r="C1156" s="2" t="s">
        <v>704</v>
      </c>
      <c r="D1156" s="2" t="s">
        <v>360</v>
      </c>
      <c r="E1156" s="2" t="s">
        <v>362</v>
      </c>
      <c r="F1156" s="2" t="s">
        <v>652</v>
      </c>
      <c r="G1156" s="2" t="s">
        <v>312</v>
      </c>
      <c r="H1156" s="2" t="str">
        <f aca="false">IF(LEFT(B1156,10)="Arsenal v ",MID(B1156,11,100),LEFT(B1156,FIND(" v ",B1156)-1))</f>
        <v>Chelsea</v>
      </c>
      <c r="I1156" s="2" t="str">
        <f aca="false">IF(F1156&lt;&gt;"","N",IF(LEFT(B1156,10)="Arsenal v ","H","A"))</f>
        <v>N</v>
      </c>
      <c r="J1156" s="2"/>
    </row>
    <row r="1157" customFormat="false" ht="15" hidden="false" customHeight="false" outlineLevel="0" collapsed="false">
      <c r="A1157" s="3" t="n">
        <v>39924</v>
      </c>
      <c r="B1157" s="2" t="s">
        <v>477</v>
      </c>
      <c r="C1157" s="2" t="s">
        <v>706</v>
      </c>
      <c r="D1157" s="2" t="s">
        <v>481</v>
      </c>
      <c r="E1157" s="2" t="s">
        <v>356</v>
      </c>
      <c r="F1157" s="2"/>
      <c r="G1157" s="2" t="s">
        <v>312</v>
      </c>
      <c r="H1157" s="2" t="str">
        <f aca="false">IF(LEFT(B1157,10)="Arsenal v ",MID(B1157,11,100),LEFT(B1157,FIND(" v ",B1157)-1))</f>
        <v>Liverpool</v>
      </c>
      <c r="I1157" s="2" t="str">
        <f aca="false">IF(F1157&lt;&gt;"","N",IF(LEFT(B1157,10)="Arsenal v ","H","A"))</f>
        <v>A</v>
      </c>
      <c r="J1157" s="2"/>
    </row>
    <row r="1158" customFormat="false" ht="15" hidden="false" customHeight="false" outlineLevel="0" collapsed="false">
      <c r="A1158" s="3" t="n">
        <v>39929</v>
      </c>
      <c r="B1158" s="2" t="s">
        <v>711</v>
      </c>
      <c r="C1158" s="2" t="s">
        <v>702</v>
      </c>
      <c r="D1158" s="2" t="s">
        <v>351</v>
      </c>
      <c r="E1158" s="2" t="s">
        <v>356</v>
      </c>
      <c r="F1158" s="2"/>
      <c r="G1158" s="2" t="s">
        <v>312</v>
      </c>
      <c r="H1158" s="2" t="str">
        <f aca="false">IF(LEFT(B1158,10)="Arsenal v ",MID(B1158,11,100),LEFT(B1158,FIND(" v ",B1158)-1))</f>
        <v>Middlesbrough</v>
      </c>
      <c r="I1158" s="2" t="str">
        <f aca="false">IF(F1158&lt;&gt;"","N",IF(LEFT(B1158,10)="Arsenal v ","H","A"))</f>
        <v>H</v>
      </c>
      <c r="J1158" s="2"/>
    </row>
    <row r="1159" customFormat="false" ht="15" hidden="false" customHeight="false" outlineLevel="0" collapsed="false">
      <c r="A1159" s="3" t="n">
        <v>39932</v>
      </c>
      <c r="B1159" s="2" t="s">
        <v>490</v>
      </c>
      <c r="C1159" s="2" t="s">
        <v>704</v>
      </c>
      <c r="D1159" s="2" t="s">
        <v>348</v>
      </c>
      <c r="E1159" s="2" t="s">
        <v>352</v>
      </c>
      <c r="F1159" s="2"/>
      <c r="G1159" s="2" t="s">
        <v>312</v>
      </c>
      <c r="H1159" s="2" t="str">
        <f aca="false">IF(LEFT(B1159,10)="Arsenal v ",MID(B1159,11,100),LEFT(B1159,FIND(" v ",B1159)-1))</f>
        <v>Manchester United</v>
      </c>
      <c r="I1159" s="2" t="str">
        <f aca="false">IF(F1159&lt;&gt;"","N",IF(LEFT(B1159,10)="Arsenal v ","H","A"))</f>
        <v>A</v>
      </c>
      <c r="J1159" s="2"/>
    </row>
    <row r="1160" customFormat="false" ht="15" hidden="false" customHeight="false" outlineLevel="0" collapsed="false">
      <c r="A1160" s="3" t="n">
        <v>39935</v>
      </c>
      <c r="B1160" s="2" t="s">
        <v>520</v>
      </c>
      <c r="C1160" s="2" t="s">
        <v>702</v>
      </c>
      <c r="D1160" s="2" t="s">
        <v>363</v>
      </c>
      <c r="E1160" s="2" t="s">
        <v>356</v>
      </c>
      <c r="F1160" s="2"/>
      <c r="G1160" s="2" t="s">
        <v>312</v>
      </c>
      <c r="H1160" s="2" t="str">
        <f aca="false">IF(LEFT(B1160,10)="Arsenal v ",MID(B1160,11,100),LEFT(B1160,FIND(" v ",B1160)-1))</f>
        <v>Portsmouth</v>
      </c>
      <c r="I1160" s="2" t="str">
        <f aca="false">IF(F1160&lt;&gt;"","N",IF(LEFT(B1160,10)="Arsenal v ","H","A"))</f>
        <v>A</v>
      </c>
      <c r="J1160" s="2"/>
    </row>
    <row r="1161" customFormat="false" ht="15" hidden="false" customHeight="false" outlineLevel="0" collapsed="false">
      <c r="A1161" s="3" t="n">
        <v>39938</v>
      </c>
      <c r="B1161" s="2" t="s">
        <v>656</v>
      </c>
      <c r="C1161" s="2" t="s">
        <v>704</v>
      </c>
      <c r="D1161" s="2" t="s">
        <v>373</v>
      </c>
      <c r="E1161" s="2" t="s">
        <v>352</v>
      </c>
      <c r="F1161" s="2"/>
      <c r="G1161" s="2" t="s">
        <v>312</v>
      </c>
      <c r="H1161" s="2" t="str">
        <f aca="false">IF(LEFT(B1161,10)="Arsenal v ",MID(B1161,11,100),LEFT(B1161,FIND(" v ",B1161)-1))</f>
        <v>Manchester United</v>
      </c>
      <c r="I1161" s="2" t="str">
        <f aca="false">IF(F1161&lt;&gt;"","N",IF(LEFT(B1161,10)="Arsenal v ","H","A"))</f>
        <v>H</v>
      </c>
      <c r="J1161" s="2"/>
    </row>
    <row r="1162" customFormat="false" ht="15" hidden="false" customHeight="false" outlineLevel="0" collapsed="false">
      <c r="A1162" s="3" t="n">
        <v>39943</v>
      </c>
      <c r="B1162" s="2" t="s">
        <v>725</v>
      </c>
      <c r="C1162" s="2" t="s">
        <v>704</v>
      </c>
      <c r="D1162" s="2" t="s">
        <v>407</v>
      </c>
      <c r="E1162" s="2" t="s">
        <v>356</v>
      </c>
      <c r="F1162" s="2"/>
      <c r="G1162" s="2" t="s">
        <v>312</v>
      </c>
      <c r="H1162" s="2" t="str">
        <f aca="false">IF(LEFT(B1162,10)="Arsenal v ",MID(B1162,11,100),LEFT(B1162,FIND(" v ",B1162)-1))</f>
        <v>Chelsea</v>
      </c>
      <c r="I1162" s="2" t="str">
        <f aca="false">IF(F1162&lt;&gt;"","N",IF(LEFT(B1162,10)="Arsenal v ","H","A"))</f>
        <v>H</v>
      </c>
      <c r="J1162" s="2"/>
    </row>
    <row r="1163" customFormat="false" ht="15" hidden="false" customHeight="false" outlineLevel="0" collapsed="false">
      <c r="A1163" s="3" t="n">
        <v>39949</v>
      </c>
      <c r="B1163" s="2" t="s">
        <v>490</v>
      </c>
      <c r="C1163" s="2" t="s">
        <v>706</v>
      </c>
      <c r="D1163" s="2" t="s">
        <v>369</v>
      </c>
      <c r="E1163" s="2" t="s">
        <v>356</v>
      </c>
      <c r="F1163" s="2"/>
      <c r="G1163" s="2" t="s">
        <v>312</v>
      </c>
      <c r="H1163" s="2" t="str">
        <f aca="false">IF(LEFT(B1163,10)="Arsenal v ",MID(B1163,11,100),LEFT(B1163,FIND(" v ",B1163)-1))</f>
        <v>Manchester United</v>
      </c>
      <c r="I1163" s="2" t="str">
        <f aca="false">IF(F1163&lt;&gt;"","N",IF(LEFT(B1163,10)="Arsenal v ","H","A"))</f>
        <v>A</v>
      </c>
      <c r="J1163" s="2"/>
    </row>
    <row r="1164" customFormat="false" ht="15" hidden="false" customHeight="false" outlineLevel="0" collapsed="false">
      <c r="A1164" s="3" t="n">
        <v>39957</v>
      </c>
      <c r="B1164" s="2" t="s">
        <v>757</v>
      </c>
      <c r="C1164" s="2" t="s">
        <v>702</v>
      </c>
      <c r="D1164" s="2" t="s">
        <v>397</v>
      </c>
      <c r="E1164" s="2" t="s">
        <v>356</v>
      </c>
      <c r="F1164" s="2"/>
      <c r="G1164" s="2" t="s">
        <v>312</v>
      </c>
      <c r="H1164" s="2" t="str">
        <f aca="false">IF(LEFT(B1164,10)="Arsenal v ",MID(B1164,11,100),LEFT(B1164,FIND(" v ",B1164)-1))</f>
        <v>Stoke City</v>
      </c>
      <c r="I1164" s="2" t="str">
        <f aca="false">IF(F1164&lt;&gt;"","N",IF(LEFT(B1164,10)="Arsenal v ","H","A"))</f>
        <v>H</v>
      </c>
      <c r="J1164" s="2"/>
    </row>
    <row r="1165" customFormat="false" ht="15" hidden="false" customHeight="false" outlineLevel="0" collapsed="false">
      <c r="A1165" s="3" t="n">
        <v>40040</v>
      </c>
      <c r="B1165" s="2" t="s">
        <v>448</v>
      </c>
      <c r="C1165" s="2" t="s">
        <v>702</v>
      </c>
      <c r="D1165" s="2" t="s">
        <v>449</v>
      </c>
      <c r="E1165" s="2" t="s">
        <v>356</v>
      </c>
      <c r="F1165" s="2"/>
      <c r="G1165" s="2" t="s">
        <v>42</v>
      </c>
      <c r="H1165" s="2" t="str">
        <f aca="false">IF(LEFT(B1165,10)="Arsenal v ",MID(B1165,11,100),LEFT(B1165,FIND(" v ",B1165)-1))</f>
        <v>Everton</v>
      </c>
      <c r="I1165" s="2" t="str">
        <f aca="false">IF(F1165&lt;&gt;"","N",IF(LEFT(B1165,10)="Arsenal v ","H","A"))</f>
        <v>A</v>
      </c>
      <c r="J1165" s="2"/>
    </row>
    <row r="1166" customFormat="false" ht="15" hidden="false" customHeight="false" outlineLevel="0" collapsed="false">
      <c r="A1166" s="3" t="n">
        <v>40043</v>
      </c>
      <c r="B1166" s="2" t="s">
        <v>424</v>
      </c>
      <c r="C1166" s="2" t="s">
        <v>702</v>
      </c>
      <c r="D1166" s="2" t="s">
        <v>353</v>
      </c>
      <c r="E1166" s="2" t="s">
        <v>352</v>
      </c>
      <c r="F1166" s="2"/>
      <c r="G1166" s="2" t="s">
        <v>42</v>
      </c>
      <c r="H1166" s="2" t="str">
        <f aca="false">IF(LEFT(B1166,10)="Arsenal v ",MID(B1166,11,100),LEFT(B1166,FIND(" v ",B1166)-1))</f>
        <v>Celtic</v>
      </c>
      <c r="I1166" s="2" t="str">
        <f aca="false">IF(F1166&lt;&gt;"","N",IF(LEFT(B1166,10)="Arsenal v ","H","A"))</f>
        <v>A</v>
      </c>
      <c r="J1166" s="2"/>
    </row>
    <row r="1167" customFormat="false" ht="15" hidden="false" customHeight="false" outlineLevel="0" collapsed="false">
      <c r="A1167" s="3" t="n">
        <v>40047</v>
      </c>
      <c r="B1167" s="2" t="s">
        <v>795</v>
      </c>
      <c r="C1167" s="2" t="s">
        <v>702</v>
      </c>
      <c r="D1167" s="2" t="s">
        <v>397</v>
      </c>
      <c r="E1167" s="2" t="s">
        <v>356</v>
      </c>
      <c r="F1167" s="2"/>
      <c r="G1167" s="2" t="s">
        <v>42</v>
      </c>
      <c r="H1167" s="2" t="str">
        <f aca="false">IF(LEFT(B1167,10)="Arsenal v ",MID(B1167,11,100),LEFT(B1167,FIND(" v ",B1167)-1))</f>
        <v>Portsmouth</v>
      </c>
      <c r="I1167" s="2" t="str">
        <f aca="false">IF(F1167&lt;&gt;"","N",IF(LEFT(B1167,10)="Arsenal v ","H","A"))</f>
        <v>H</v>
      </c>
      <c r="J1167" s="2"/>
    </row>
    <row r="1168" customFormat="false" ht="15" hidden="false" customHeight="false" outlineLevel="0" collapsed="false">
      <c r="A1168" s="3" t="n">
        <v>40051</v>
      </c>
      <c r="B1168" s="2" t="s">
        <v>823</v>
      </c>
      <c r="C1168" s="2" t="s">
        <v>702</v>
      </c>
      <c r="D1168" s="2" t="s">
        <v>377</v>
      </c>
      <c r="E1168" s="2" t="s">
        <v>352</v>
      </c>
      <c r="F1168" s="2"/>
      <c r="G1168" s="2" t="s">
        <v>42</v>
      </c>
      <c r="H1168" s="2" t="str">
        <f aca="false">IF(LEFT(B1168,10)="Arsenal v ",MID(B1168,11,100),LEFT(B1168,FIND(" v ",B1168)-1))</f>
        <v>Celtic</v>
      </c>
      <c r="I1168" s="2" t="str">
        <f aca="false">IF(F1168&lt;&gt;"","N",IF(LEFT(B1168,10)="Arsenal v ","H","A"))</f>
        <v>H</v>
      </c>
      <c r="J1168" s="2"/>
    </row>
    <row r="1169" customFormat="false" ht="15" hidden="false" customHeight="false" outlineLevel="0" collapsed="false">
      <c r="A1169" s="3" t="n">
        <v>40054</v>
      </c>
      <c r="B1169" s="2" t="s">
        <v>490</v>
      </c>
      <c r="C1169" s="2" t="s">
        <v>704</v>
      </c>
      <c r="D1169" s="2" t="s">
        <v>359</v>
      </c>
      <c r="E1169" s="2" t="s">
        <v>356</v>
      </c>
      <c r="F1169" s="2"/>
      <c r="G1169" s="2" t="s">
        <v>42</v>
      </c>
      <c r="H1169" s="2" t="str">
        <f aca="false">IF(LEFT(B1169,10)="Arsenal v ",MID(B1169,11,100),LEFT(B1169,FIND(" v ",B1169)-1))</f>
        <v>Manchester United</v>
      </c>
      <c r="I1169" s="2" t="str">
        <f aca="false">IF(F1169&lt;&gt;"","N",IF(LEFT(B1169,10)="Arsenal v ","H","A"))</f>
        <v>A</v>
      </c>
      <c r="J1169" s="2"/>
    </row>
    <row r="1170" customFormat="false" ht="15" hidden="false" customHeight="false" outlineLevel="0" collapsed="false">
      <c r="A1170" s="3" t="n">
        <v>40068</v>
      </c>
      <c r="B1170" s="2" t="s">
        <v>487</v>
      </c>
      <c r="C1170" s="2" t="s">
        <v>704</v>
      </c>
      <c r="D1170" s="2" t="s">
        <v>479</v>
      </c>
      <c r="E1170" s="2" t="s">
        <v>356</v>
      </c>
      <c r="F1170" s="2"/>
      <c r="G1170" s="2" t="s">
        <v>42</v>
      </c>
      <c r="H1170" s="2" t="str">
        <f aca="false">IF(LEFT(B1170,10)="Arsenal v ",MID(B1170,11,100),LEFT(B1170,FIND(" v ",B1170)-1))</f>
        <v>Manchester City</v>
      </c>
      <c r="I1170" s="2" t="str">
        <f aca="false">IF(F1170&lt;&gt;"","N",IF(LEFT(B1170,10)="Arsenal v ","H","A"))</f>
        <v>A</v>
      </c>
      <c r="J1170" s="2"/>
    </row>
    <row r="1171" customFormat="false" ht="15" hidden="false" customHeight="false" outlineLevel="0" collapsed="false">
      <c r="A1171" s="3" t="n">
        <v>40072</v>
      </c>
      <c r="B1171" s="2" t="s">
        <v>551</v>
      </c>
      <c r="C1171" s="2" t="s">
        <v>702</v>
      </c>
      <c r="D1171" s="2" t="s">
        <v>366</v>
      </c>
      <c r="E1171" s="2" t="s">
        <v>352</v>
      </c>
      <c r="F1171" s="2"/>
      <c r="G1171" s="2" t="s">
        <v>42</v>
      </c>
      <c r="H1171" s="2" t="str">
        <f aca="false">IF(LEFT(B1171,10)="Arsenal v ",MID(B1171,11,100),LEFT(B1171,FIND(" v ",B1171)-1))</f>
        <v>Standard Liege</v>
      </c>
      <c r="I1171" s="2" t="str">
        <f aca="false">IF(F1171&lt;&gt;"","N",IF(LEFT(B1171,10)="Arsenal v ","H","A"))</f>
        <v>A</v>
      </c>
      <c r="J1171" s="2"/>
    </row>
    <row r="1172" customFormat="false" ht="15" hidden="false" customHeight="false" outlineLevel="0" collapsed="false">
      <c r="A1172" s="3" t="n">
        <v>40075</v>
      </c>
      <c r="B1172" s="2" t="s">
        <v>808</v>
      </c>
      <c r="C1172" s="2" t="s">
        <v>702</v>
      </c>
      <c r="D1172" s="2" t="s">
        <v>354</v>
      </c>
      <c r="E1172" s="2" t="s">
        <v>356</v>
      </c>
      <c r="F1172" s="2"/>
      <c r="G1172" s="2" t="s">
        <v>42</v>
      </c>
      <c r="H1172" s="2" t="str">
        <f aca="false">IF(LEFT(B1172,10)="Arsenal v ",MID(B1172,11,100),LEFT(B1172,FIND(" v ",B1172)-1))</f>
        <v>Wigan Athletic</v>
      </c>
      <c r="I1172" s="2" t="str">
        <f aca="false">IF(F1172&lt;&gt;"","N",IF(LEFT(B1172,10)="Arsenal v ","H","A"))</f>
        <v>H</v>
      </c>
      <c r="J1172" s="2"/>
    </row>
    <row r="1173" customFormat="false" ht="15" hidden="false" customHeight="false" outlineLevel="0" collapsed="false">
      <c r="A1173" s="3" t="n">
        <v>40078</v>
      </c>
      <c r="B1173" s="2" t="s">
        <v>788</v>
      </c>
      <c r="C1173" s="2" t="s">
        <v>702</v>
      </c>
      <c r="D1173" s="2" t="s">
        <v>351</v>
      </c>
      <c r="E1173" s="2" t="s">
        <v>379</v>
      </c>
      <c r="F1173" s="2"/>
      <c r="G1173" s="2" t="s">
        <v>42</v>
      </c>
      <c r="H1173" s="2" t="str">
        <f aca="false">IF(LEFT(B1173,10)="Arsenal v ",MID(B1173,11,100),LEFT(B1173,FIND(" v ",B1173)-1))</f>
        <v>West Bromwich Albion</v>
      </c>
      <c r="I1173" s="2" t="str">
        <f aca="false">IF(F1173&lt;&gt;"","N",IF(LEFT(B1173,10)="Arsenal v ","H","A"))</f>
        <v>H</v>
      </c>
      <c r="J1173" s="2"/>
    </row>
    <row r="1174" customFormat="false" ht="15" hidden="false" customHeight="false" outlineLevel="0" collapsed="false">
      <c r="A1174" s="3" t="n">
        <v>40082</v>
      </c>
      <c r="B1174" s="2" t="s">
        <v>461</v>
      </c>
      <c r="C1174" s="2" t="s">
        <v>702</v>
      </c>
      <c r="D1174" s="2" t="s">
        <v>383</v>
      </c>
      <c r="E1174" s="2" t="s">
        <v>356</v>
      </c>
      <c r="F1174" s="2"/>
      <c r="G1174" s="2" t="s">
        <v>42</v>
      </c>
      <c r="H1174" s="2" t="str">
        <f aca="false">IF(LEFT(B1174,10)="Arsenal v ",MID(B1174,11,100),LEFT(B1174,FIND(" v ",B1174)-1))</f>
        <v>Fulham</v>
      </c>
      <c r="I1174" s="2" t="str">
        <f aca="false">IF(F1174&lt;&gt;"","N",IF(LEFT(B1174,10)="Arsenal v ","H","A"))</f>
        <v>A</v>
      </c>
      <c r="J1174" s="2"/>
    </row>
    <row r="1175" customFormat="false" ht="15" hidden="false" customHeight="false" outlineLevel="0" collapsed="false">
      <c r="A1175" s="3" t="n">
        <v>40085</v>
      </c>
      <c r="B1175" s="2" t="s">
        <v>824</v>
      </c>
      <c r="C1175" s="2" t="s">
        <v>702</v>
      </c>
      <c r="D1175" s="2" t="s">
        <v>351</v>
      </c>
      <c r="E1175" s="2" t="s">
        <v>352</v>
      </c>
      <c r="F1175" s="2"/>
      <c r="G1175" s="2" t="s">
        <v>42</v>
      </c>
      <c r="H1175" s="2" t="str">
        <f aca="false">IF(LEFT(B1175,10)="Arsenal v ",MID(B1175,11,100),LEFT(B1175,FIND(" v ",B1175)-1))</f>
        <v>Olympiakos</v>
      </c>
      <c r="I1175" s="2" t="str">
        <f aca="false">IF(F1175&lt;&gt;"","N",IF(LEFT(B1175,10)="Arsenal v ","H","A"))</f>
        <v>H</v>
      </c>
      <c r="J1175" s="2"/>
    </row>
    <row r="1176" customFormat="false" ht="15" hidden="false" customHeight="false" outlineLevel="0" collapsed="false">
      <c r="A1176" s="3" t="n">
        <v>40090</v>
      </c>
      <c r="B1176" s="2" t="s">
        <v>737</v>
      </c>
      <c r="C1176" s="2" t="s">
        <v>702</v>
      </c>
      <c r="D1176" s="2" t="s">
        <v>816</v>
      </c>
      <c r="E1176" s="2" t="s">
        <v>356</v>
      </c>
      <c r="F1176" s="2"/>
      <c r="G1176" s="2" t="s">
        <v>42</v>
      </c>
      <c r="H1176" s="2" t="str">
        <f aca="false">IF(LEFT(B1176,10)="Arsenal v ",MID(B1176,11,100),LEFT(B1176,FIND(" v ",B1176)-1))</f>
        <v>Blackburn Rovers</v>
      </c>
      <c r="I1176" s="2" t="str">
        <f aca="false">IF(F1176&lt;&gt;"","N",IF(LEFT(B1176,10)="Arsenal v ","H","A"))</f>
        <v>H</v>
      </c>
      <c r="J1176" s="2"/>
    </row>
    <row r="1177" customFormat="false" ht="15" hidden="false" customHeight="false" outlineLevel="0" collapsed="false">
      <c r="A1177" s="3" t="n">
        <v>40103</v>
      </c>
      <c r="B1177" s="2" t="s">
        <v>760</v>
      </c>
      <c r="C1177" s="2" t="s">
        <v>702</v>
      </c>
      <c r="D1177" s="2" t="s">
        <v>377</v>
      </c>
      <c r="E1177" s="2" t="s">
        <v>356</v>
      </c>
      <c r="F1177" s="2"/>
      <c r="G1177" s="2" t="s">
        <v>42</v>
      </c>
      <c r="H1177" s="2" t="str">
        <f aca="false">IF(LEFT(B1177,10)="Arsenal v ",MID(B1177,11,100),LEFT(B1177,FIND(" v ",B1177)-1))</f>
        <v>Birmingham City</v>
      </c>
      <c r="I1177" s="2" t="str">
        <f aca="false">IF(F1177&lt;&gt;"","N",IF(LEFT(B1177,10)="Arsenal v ","H","A"))</f>
        <v>H</v>
      </c>
      <c r="J1177" s="2"/>
    </row>
    <row r="1178" customFormat="false" ht="15" hidden="false" customHeight="false" outlineLevel="0" collapsed="false">
      <c r="A1178" s="3" t="n">
        <v>40106</v>
      </c>
      <c r="B1178" s="2" t="s">
        <v>395</v>
      </c>
      <c r="C1178" s="2" t="s">
        <v>706</v>
      </c>
      <c r="D1178" s="2" t="s">
        <v>361</v>
      </c>
      <c r="E1178" s="2" t="s">
        <v>352</v>
      </c>
      <c r="F1178" s="2"/>
      <c r="G1178" s="2" t="s">
        <v>42</v>
      </c>
      <c r="H1178" s="2" t="str">
        <f aca="false">IF(LEFT(B1178,10)="Arsenal v ",MID(B1178,11,100),LEFT(B1178,FIND(" v ",B1178)-1))</f>
        <v>AZ Alkmaar</v>
      </c>
      <c r="I1178" s="2" t="str">
        <f aca="false">IF(F1178&lt;&gt;"","N",IF(LEFT(B1178,10)="Arsenal v ","H","A"))</f>
        <v>A</v>
      </c>
      <c r="J1178" s="2"/>
    </row>
    <row r="1179" customFormat="false" ht="15" hidden="false" customHeight="false" outlineLevel="0" collapsed="false">
      <c r="A1179" s="3" t="n">
        <v>40111</v>
      </c>
      <c r="B1179" s="2" t="s">
        <v>572</v>
      </c>
      <c r="C1179" s="2" t="s">
        <v>706</v>
      </c>
      <c r="D1179" s="2" t="s">
        <v>380</v>
      </c>
      <c r="E1179" s="2" t="s">
        <v>356</v>
      </c>
      <c r="F1179" s="2"/>
      <c r="G1179" s="2" t="s">
        <v>42</v>
      </c>
      <c r="H1179" s="2" t="str">
        <f aca="false">IF(LEFT(B1179,10)="Arsenal v ",MID(B1179,11,100),LEFT(B1179,FIND(" v ",B1179)-1))</f>
        <v>West Ham United</v>
      </c>
      <c r="I1179" s="2" t="str">
        <f aca="false">IF(F1179&lt;&gt;"","N",IF(LEFT(B1179,10)="Arsenal v ","H","A"))</f>
        <v>A</v>
      </c>
      <c r="J1179" s="2"/>
    </row>
    <row r="1180" customFormat="false" ht="15" hidden="false" customHeight="false" outlineLevel="0" collapsed="false">
      <c r="A1180" s="3" t="n">
        <v>40114</v>
      </c>
      <c r="B1180" s="2" t="s">
        <v>710</v>
      </c>
      <c r="C1180" s="2" t="s">
        <v>702</v>
      </c>
      <c r="D1180" s="2" t="s">
        <v>359</v>
      </c>
      <c r="E1180" s="2" t="s">
        <v>379</v>
      </c>
      <c r="F1180" s="2"/>
      <c r="G1180" s="2" t="s">
        <v>42</v>
      </c>
      <c r="H1180" s="2" t="str">
        <f aca="false">IF(LEFT(B1180,10)="Arsenal v ",MID(B1180,11,100),LEFT(B1180,FIND(" v ",B1180)-1))</f>
        <v>Liverpool</v>
      </c>
      <c r="I1180" s="2" t="str">
        <f aca="false">IF(F1180&lt;&gt;"","N",IF(LEFT(B1180,10)="Arsenal v ","H","A"))</f>
        <v>H</v>
      </c>
      <c r="J1180" s="2"/>
    </row>
    <row r="1181" customFormat="false" ht="15" hidden="false" customHeight="false" outlineLevel="0" collapsed="false">
      <c r="A1181" s="3" t="n">
        <v>40117</v>
      </c>
      <c r="B1181" s="2" t="s">
        <v>655</v>
      </c>
      <c r="C1181" s="2" t="s">
        <v>702</v>
      </c>
      <c r="D1181" s="2" t="s">
        <v>434</v>
      </c>
      <c r="E1181" s="2" t="s">
        <v>356</v>
      </c>
      <c r="F1181" s="2"/>
      <c r="G1181" s="2" t="s">
        <v>42</v>
      </c>
      <c r="H1181" s="2" t="str">
        <f aca="false">IF(LEFT(B1181,10)="Arsenal v ",MID(B1181,11,100),LEFT(B1181,FIND(" v ",B1181)-1))</f>
        <v>Tottenham Hotspur</v>
      </c>
      <c r="I1181" s="2" t="str">
        <f aca="false">IF(F1181&lt;&gt;"","N",IF(LEFT(B1181,10)="Arsenal v ","H","A"))</f>
        <v>H</v>
      </c>
      <c r="J1181" s="2"/>
    </row>
    <row r="1182" customFormat="false" ht="15" hidden="false" customHeight="false" outlineLevel="0" collapsed="false">
      <c r="A1182" s="3" t="n">
        <v>40121</v>
      </c>
      <c r="B1182" s="2" t="s">
        <v>825</v>
      </c>
      <c r="C1182" s="2" t="s">
        <v>702</v>
      </c>
      <c r="D1182" s="2" t="s">
        <v>397</v>
      </c>
      <c r="E1182" s="2" t="s">
        <v>352</v>
      </c>
      <c r="F1182" s="2"/>
      <c r="G1182" s="2" t="s">
        <v>42</v>
      </c>
      <c r="H1182" s="2" t="str">
        <f aca="false">IF(LEFT(B1182,10)="Arsenal v ",MID(B1182,11,100),LEFT(B1182,FIND(" v ",B1182)-1))</f>
        <v>AZ Alkmaar</v>
      </c>
      <c r="I1182" s="2" t="str">
        <f aca="false">IF(F1182&lt;&gt;"","N",IF(LEFT(B1182,10)="Arsenal v ","H","A"))</f>
        <v>H</v>
      </c>
      <c r="J1182" s="2"/>
    </row>
    <row r="1183" customFormat="false" ht="15" hidden="false" customHeight="false" outlineLevel="0" collapsed="false">
      <c r="A1183" s="3" t="n">
        <v>40124</v>
      </c>
      <c r="B1183" s="2" t="s">
        <v>575</v>
      </c>
      <c r="C1183" s="2" t="s">
        <v>702</v>
      </c>
      <c r="D1183" s="2" t="s">
        <v>407</v>
      </c>
      <c r="E1183" s="2" t="s">
        <v>356</v>
      </c>
      <c r="F1183" s="2"/>
      <c r="G1183" s="2" t="s">
        <v>42</v>
      </c>
      <c r="H1183" s="2" t="str">
        <f aca="false">IF(LEFT(B1183,10)="Arsenal v ",MID(B1183,11,100),LEFT(B1183,FIND(" v ",B1183)-1))</f>
        <v>Wolverhampton Wanderers</v>
      </c>
      <c r="I1183" s="2" t="str">
        <f aca="false">IF(F1183&lt;&gt;"","N",IF(LEFT(B1183,10)="Arsenal v ","H","A"))</f>
        <v>A</v>
      </c>
      <c r="J1183" s="2"/>
    </row>
    <row r="1184" customFormat="false" ht="15" hidden="false" customHeight="false" outlineLevel="0" collapsed="false">
      <c r="A1184" s="3" t="n">
        <v>40138</v>
      </c>
      <c r="B1184" s="2" t="s">
        <v>556</v>
      </c>
      <c r="C1184" s="2" t="s">
        <v>704</v>
      </c>
      <c r="D1184" s="2" t="s">
        <v>348</v>
      </c>
      <c r="E1184" s="2" t="s">
        <v>356</v>
      </c>
      <c r="F1184" s="2"/>
      <c r="G1184" s="2" t="s">
        <v>42</v>
      </c>
      <c r="H1184" s="2" t="str">
        <f aca="false">IF(LEFT(B1184,10)="Arsenal v ",MID(B1184,11,100),LEFT(B1184,FIND(" v ",B1184)-1))</f>
        <v>Sunderland</v>
      </c>
      <c r="I1184" s="2" t="str">
        <f aca="false">IF(F1184&lt;&gt;"","N",IF(LEFT(B1184,10)="Arsenal v ","H","A"))</f>
        <v>A</v>
      </c>
      <c r="J1184" s="2"/>
    </row>
    <row r="1185" customFormat="false" ht="15" hidden="false" customHeight="false" outlineLevel="0" collapsed="false">
      <c r="A1185" s="3" t="n">
        <v>40141</v>
      </c>
      <c r="B1185" s="2" t="s">
        <v>826</v>
      </c>
      <c r="C1185" s="2" t="s">
        <v>702</v>
      </c>
      <c r="D1185" s="2" t="s">
        <v>351</v>
      </c>
      <c r="E1185" s="2" t="s">
        <v>352</v>
      </c>
      <c r="F1185" s="2"/>
      <c r="G1185" s="2" t="s">
        <v>42</v>
      </c>
      <c r="H1185" s="2" t="str">
        <f aca="false">IF(LEFT(B1185,10)="Arsenal v ",MID(B1185,11,100),LEFT(B1185,FIND(" v ",B1185)-1))</f>
        <v>Standard Liege</v>
      </c>
      <c r="I1185" s="2" t="str">
        <f aca="false">IF(F1185&lt;&gt;"","N",IF(LEFT(B1185,10)="Arsenal v ","H","A"))</f>
        <v>H</v>
      </c>
      <c r="J1185" s="2"/>
    </row>
    <row r="1186" customFormat="false" ht="15" hidden="false" customHeight="false" outlineLevel="0" collapsed="false">
      <c r="A1186" s="3" t="n">
        <v>40146</v>
      </c>
      <c r="B1186" s="2" t="s">
        <v>725</v>
      </c>
      <c r="C1186" s="2" t="s">
        <v>704</v>
      </c>
      <c r="D1186" s="2" t="s">
        <v>363</v>
      </c>
      <c r="E1186" s="2" t="s">
        <v>356</v>
      </c>
      <c r="F1186" s="2"/>
      <c r="G1186" s="2" t="s">
        <v>42</v>
      </c>
      <c r="H1186" s="2" t="str">
        <f aca="false">IF(LEFT(B1186,10)="Arsenal v ",MID(B1186,11,100),LEFT(B1186,FIND(" v ",B1186)-1))</f>
        <v>Chelsea</v>
      </c>
      <c r="I1186" s="2" t="str">
        <f aca="false">IF(F1186&lt;&gt;"","N",IF(LEFT(B1186,10)="Arsenal v ","H","A"))</f>
        <v>H</v>
      </c>
      <c r="J1186" s="2"/>
    </row>
    <row r="1187" customFormat="false" ht="15" hidden="false" customHeight="false" outlineLevel="0" collapsed="false">
      <c r="A1187" s="3" t="n">
        <v>40149</v>
      </c>
      <c r="B1187" s="2" t="s">
        <v>487</v>
      </c>
      <c r="C1187" s="2" t="s">
        <v>704</v>
      </c>
      <c r="D1187" s="2" t="s">
        <v>434</v>
      </c>
      <c r="E1187" s="2" t="s">
        <v>379</v>
      </c>
      <c r="F1187" s="2"/>
      <c r="G1187" s="2" t="s">
        <v>42</v>
      </c>
      <c r="H1187" s="2" t="str">
        <f aca="false">IF(LEFT(B1187,10)="Arsenal v ",MID(B1187,11,100),LEFT(B1187,FIND(" v ",B1187)-1))</f>
        <v>Manchester City</v>
      </c>
      <c r="I1187" s="2" t="str">
        <f aca="false">IF(F1187&lt;&gt;"","N",IF(LEFT(B1187,10)="Arsenal v ","H","A"))</f>
        <v>A</v>
      </c>
      <c r="J1187" s="2"/>
    </row>
    <row r="1188" customFormat="false" ht="15" hidden="false" customHeight="false" outlineLevel="0" collapsed="false">
      <c r="A1188" s="3" t="n">
        <v>40152</v>
      </c>
      <c r="B1188" s="2" t="s">
        <v>757</v>
      </c>
      <c r="C1188" s="2" t="s">
        <v>702</v>
      </c>
      <c r="D1188" s="2" t="s">
        <v>351</v>
      </c>
      <c r="E1188" s="2" t="s">
        <v>356</v>
      </c>
      <c r="F1188" s="2"/>
      <c r="G1188" s="2" t="s">
        <v>42</v>
      </c>
      <c r="H1188" s="2" t="str">
        <f aca="false">IF(LEFT(B1188,10)="Arsenal v ",MID(B1188,11,100),LEFT(B1188,FIND(" v ",B1188)-1))</f>
        <v>Stoke City</v>
      </c>
      <c r="I1188" s="2" t="str">
        <f aca="false">IF(F1188&lt;&gt;"","N",IF(LEFT(B1188,10)="Arsenal v ","H","A"))</f>
        <v>H</v>
      </c>
      <c r="J1188" s="2"/>
    </row>
    <row r="1189" customFormat="false" ht="15" hidden="false" customHeight="false" outlineLevel="0" collapsed="false">
      <c r="A1189" s="3" t="n">
        <v>40156</v>
      </c>
      <c r="B1189" s="2" t="s">
        <v>507</v>
      </c>
      <c r="C1189" s="2" t="s">
        <v>704</v>
      </c>
      <c r="D1189" s="2" t="s">
        <v>348</v>
      </c>
      <c r="E1189" s="2" t="s">
        <v>352</v>
      </c>
      <c r="F1189" s="2"/>
      <c r="G1189" s="2" t="s">
        <v>42</v>
      </c>
      <c r="H1189" s="2" t="str">
        <f aca="false">IF(LEFT(B1189,10)="Arsenal v ",MID(B1189,11,100),LEFT(B1189,FIND(" v ",B1189)-1))</f>
        <v>Olympiakos</v>
      </c>
      <c r="I1189" s="2" t="str">
        <f aca="false">IF(F1189&lt;&gt;"","N",IF(LEFT(B1189,10)="Arsenal v ","H","A"))</f>
        <v>A</v>
      </c>
      <c r="J1189" s="2"/>
    </row>
    <row r="1190" customFormat="false" ht="15" hidden="false" customHeight="false" outlineLevel="0" collapsed="false">
      <c r="A1190" s="3" t="n">
        <v>40160</v>
      </c>
      <c r="B1190" s="2" t="s">
        <v>477</v>
      </c>
      <c r="C1190" s="2" t="s">
        <v>702</v>
      </c>
      <c r="D1190" s="2" t="s">
        <v>360</v>
      </c>
      <c r="E1190" s="2" t="s">
        <v>356</v>
      </c>
      <c r="F1190" s="2"/>
      <c r="G1190" s="2" t="s">
        <v>42</v>
      </c>
      <c r="H1190" s="2" t="str">
        <f aca="false">IF(LEFT(B1190,10)="Arsenal v ",MID(B1190,11,100),LEFT(B1190,FIND(" v ",B1190)-1))</f>
        <v>Liverpool</v>
      </c>
      <c r="I1190" s="2" t="str">
        <f aca="false">IF(F1190&lt;&gt;"","N",IF(LEFT(B1190,10)="Arsenal v ","H","A"))</f>
        <v>A</v>
      </c>
      <c r="J1190" s="2"/>
    </row>
    <row r="1191" customFormat="false" ht="15" hidden="false" customHeight="false" outlineLevel="0" collapsed="false">
      <c r="A1191" s="3" t="n">
        <v>40163</v>
      </c>
      <c r="B1191" s="2" t="s">
        <v>419</v>
      </c>
      <c r="C1191" s="2" t="s">
        <v>706</v>
      </c>
      <c r="D1191" s="2" t="s">
        <v>361</v>
      </c>
      <c r="E1191" s="2" t="s">
        <v>356</v>
      </c>
      <c r="F1191" s="2"/>
      <c r="G1191" s="2" t="s">
        <v>42</v>
      </c>
      <c r="H1191" s="2" t="str">
        <f aca="false">IF(LEFT(B1191,10)="Arsenal v ",MID(B1191,11,100),LEFT(B1191,FIND(" v ",B1191)-1))</f>
        <v>Burnley</v>
      </c>
      <c r="I1191" s="2" t="str">
        <f aca="false">IF(F1191&lt;&gt;"","N",IF(LEFT(B1191,10)="Arsenal v ","H","A"))</f>
        <v>A</v>
      </c>
      <c r="J1191" s="2"/>
    </row>
    <row r="1192" customFormat="false" ht="15" hidden="false" customHeight="false" outlineLevel="0" collapsed="false">
      <c r="A1192" s="3" t="n">
        <v>40166</v>
      </c>
      <c r="B1192" s="2" t="s">
        <v>707</v>
      </c>
      <c r="C1192" s="2" t="s">
        <v>702</v>
      </c>
      <c r="D1192" s="2" t="s">
        <v>434</v>
      </c>
      <c r="E1192" s="2" t="s">
        <v>356</v>
      </c>
      <c r="F1192" s="2"/>
      <c r="G1192" s="2" t="s">
        <v>42</v>
      </c>
      <c r="H1192" s="2" t="str">
        <f aca="false">IF(LEFT(B1192,10)="Arsenal v ",MID(B1192,11,100),LEFT(B1192,FIND(" v ",B1192)-1))</f>
        <v>Hull City</v>
      </c>
      <c r="I1192" s="2" t="str">
        <f aca="false">IF(F1192&lt;&gt;"","N",IF(LEFT(B1192,10)="Arsenal v ","H","A"))</f>
        <v>H</v>
      </c>
      <c r="J1192" s="2"/>
    </row>
    <row r="1193" customFormat="false" ht="15" hidden="false" customHeight="false" outlineLevel="0" collapsed="false">
      <c r="A1193" s="3" t="n">
        <v>40174</v>
      </c>
      <c r="B1193" s="2" t="s">
        <v>703</v>
      </c>
      <c r="C1193" s="2" t="s">
        <v>702</v>
      </c>
      <c r="D1193" s="2" t="s">
        <v>434</v>
      </c>
      <c r="E1193" s="2" t="s">
        <v>356</v>
      </c>
      <c r="F1193" s="2"/>
      <c r="G1193" s="2" t="s">
        <v>42</v>
      </c>
      <c r="H1193" s="2" t="str">
        <f aca="false">IF(LEFT(B1193,10)="Arsenal v ",MID(B1193,11,100),LEFT(B1193,FIND(" v ",B1193)-1))</f>
        <v>Aston Villa</v>
      </c>
      <c r="I1193" s="2" t="str">
        <f aca="false">IF(F1193&lt;&gt;"","N",IF(LEFT(B1193,10)="Arsenal v ","H","A"))</f>
        <v>H</v>
      </c>
      <c r="J1193" s="2"/>
    </row>
    <row r="1194" customFormat="false" ht="15" hidden="false" customHeight="false" outlineLevel="0" collapsed="false">
      <c r="A1194" s="3" t="n">
        <v>40177</v>
      </c>
      <c r="B1194" s="2" t="s">
        <v>520</v>
      </c>
      <c r="C1194" s="2" t="s">
        <v>702</v>
      </c>
      <c r="D1194" s="2" t="s">
        <v>407</v>
      </c>
      <c r="E1194" s="2" t="s">
        <v>356</v>
      </c>
      <c r="F1194" s="2"/>
      <c r="G1194" s="2" t="s">
        <v>42</v>
      </c>
      <c r="H1194" s="2" t="str">
        <f aca="false">IF(LEFT(B1194,10)="Arsenal v ",MID(B1194,11,100),LEFT(B1194,FIND(" v ",B1194)-1))</f>
        <v>Portsmouth</v>
      </c>
      <c r="I1194" s="2" t="str">
        <f aca="false">IF(F1194&lt;&gt;"","N",IF(LEFT(B1194,10)="Arsenal v ","H","A"))</f>
        <v>A</v>
      </c>
      <c r="J1194" s="2"/>
    </row>
    <row r="1195" customFormat="false" ht="15" hidden="false" customHeight="false" outlineLevel="0" collapsed="false">
      <c r="A1195" s="3" t="n">
        <v>40181</v>
      </c>
      <c r="B1195" s="2" t="s">
        <v>572</v>
      </c>
      <c r="C1195" s="2" t="s">
        <v>702</v>
      </c>
      <c r="D1195" s="2" t="s">
        <v>360</v>
      </c>
      <c r="E1195" s="2" t="s">
        <v>362</v>
      </c>
      <c r="F1195" s="2"/>
      <c r="G1195" s="2" t="s">
        <v>42</v>
      </c>
      <c r="H1195" s="2" t="str">
        <f aca="false">IF(LEFT(B1195,10)="Arsenal v ",MID(B1195,11,100),LEFT(B1195,FIND(" v ",B1195)-1))</f>
        <v>West Ham United</v>
      </c>
      <c r="I1195" s="2" t="str">
        <f aca="false">IF(F1195&lt;&gt;"","N",IF(LEFT(B1195,10)="Arsenal v ","H","A"))</f>
        <v>A</v>
      </c>
      <c r="J1195" s="2"/>
    </row>
    <row r="1196" customFormat="false" ht="15" hidden="false" customHeight="false" outlineLevel="0" collapsed="false">
      <c r="A1196" s="3" t="n">
        <v>40187</v>
      </c>
      <c r="B1196" s="2" t="s">
        <v>718</v>
      </c>
      <c r="C1196" s="2" t="s">
        <v>706</v>
      </c>
      <c r="D1196" s="2" t="s">
        <v>380</v>
      </c>
      <c r="E1196" s="2" t="s">
        <v>356</v>
      </c>
      <c r="F1196" s="2"/>
      <c r="G1196" s="2" t="s">
        <v>42</v>
      </c>
      <c r="H1196" s="2" t="str">
        <f aca="false">IF(LEFT(B1196,10)="Arsenal v ",MID(B1196,11,100),LEFT(B1196,FIND(" v ",B1196)-1))</f>
        <v>Everton</v>
      </c>
      <c r="I1196" s="2" t="str">
        <f aca="false">IF(F1196&lt;&gt;"","N",IF(LEFT(B1196,10)="Arsenal v ","H","A"))</f>
        <v>H</v>
      </c>
      <c r="J1196" s="2"/>
    </row>
    <row r="1197" customFormat="false" ht="15" hidden="false" customHeight="false" outlineLevel="0" collapsed="false">
      <c r="A1197" s="3" t="n">
        <v>40195</v>
      </c>
      <c r="B1197" s="2" t="s">
        <v>410</v>
      </c>
      <c r="C1197" s="2" t="s">
        <v>702</v>
      </c>
      <c r="D1197" s="2" t="s">
        <v>353</v>
      </c>
      <c r="E1197" s="2" t="s">
        <v>356</v>
      </c>
      <c r="F1197" s="2"/>
      <c r="G1197" s="2" t="s">
        <v>42</v>
      </c>
      <c r="H1197" s="2" t="str">
        <f aca="false">IF(LEFT(B1197,10)="Arsenal v ",MID(B1197,11,100),LEFT(B1197,FIND(" v ",B1197)-1))</f>
        <v>Bolton Wanderers</v>
      </c>
      <c r="I1197" s="2" t="str">
        <f aca="false">IF(F1197&lt;&gt;"","N",IF(LEFT(B1197,10)="Arsenal v ","H","A"))</f>
        <v>A</v>
      </c>
      <c r="J1197" s="2"/>
    </row>
    <row r="1198" customFormat="false" ht="15" hidden="false" customHeight="false" outlineLevel="0" collapsed="false">
      <c r="A1198" s="3" t="n">
        <v>40198</v>
      </c>
      <c r="B1198" s="2" t="s">
        <v>743</v>
      </c>
      <c r="C1198" s="2" t="s">
        <v>702</v>
      </c>
      <c r="D1198" s="2" t="s">
        <v>479</v>
      </c>
      <c r="E1198" s="2" t="s">
        <v>356</v>
      </c>
      <c r="F1198" s="2"/>
      <c r="G1198" s="2" t="s">
        <v>42</v>
      </c>
      <c r="H1198" s="2" t="str">
        <f aca="false">IF(LEFT(B1198,10)="Arsenal v ",MID(B1198,11,100),LEFT(B1198,FIND(" v ",B1198)-1))</f>
        <v>Bolton Wanderers</v>
      </c>
      <c r="I1198" s="2" t="str">
        <f aca="false">IF(F1198&lt;&gt;"","N",IF(LEFT(B1198,10)="Arsenal v ","H","A"))</f>
        <v>H</v>
      </c>
      <c r="J1198" s="2"/>
    </row>
    <row r="1199" customFormat="false" ht="15" hidden="false" customHeight="false" outlineLevel="0" collapsed="false">
      <c r="A1199" s="3" t="n">
        <v>40202</v>
      </c>
      <c r="B1199" s="2" t="s">
        <v>555</v>
      </c>
      <c r="C1199" s="2" t="s">
        <v>704</v>
      </c>
      <c r="D1199" s="2" t="s">
        <v>377</v>
      </c>
      <c r="E1199" s="2" t="s">
        <v>362</v>
      </c>
      <c r="F1199" s="2"/>
      <c r="G1199" s="2" t="s">
        <v>42</v>
      </c>
      <c r="H1199" s="2" t="str">
        <f aca="false">IF(LEFT(B1199,10)="Arsenal v ",MID(B1199,11,100),LEFT(B1199,FIND(" v ",B1199)-1))</f>
        <v>Stoke City</v>
      </c>
      <c r="I1199" s="2" t="str">
        <f aca="false">IF(F1199&lt;&gt;"","N",IF(LEFT(B1199,10)="Arsenal v ","H","A"))</f>
        <v>A</v>
      </c>
      <c r="J1199" s="2"/>
    </row>
    <row r="1200" customFormat="false" ht="15" hidden="false" customHeight="false" outlineLevel="0" collapsed="false">
      <c r="A1200" s="3" t="n">
        <v>40205</v>
      </c>
      <c r="B1200" s="2" t="s">
        <v>376</v>
      </c>
      <c r="C1200" s="2" t="s">
        <v>706</v>
      </c>
      <c r="D1200" s="2" t="s">
        <v>369</v>
      </c>
      <c r="E1200" s="2" t="s">
        <v>356</v>
      </c>
      <c r="F1200" s="2"/>
      <c r="G1200" s="2" t="s">
        <v>42</v>
      </c>
      <c r="H1200" s="2" t="str">
        <f aca="false">IF(LEFT(B1200,10)="Arsenal v ",MID(B1200,11,100),LEFT(B1200,FIND(" v ",B1200)-1))</f>
        <v>Aston Villa</v>
      </c>
      <c r="I1200" s="2" t="str">
        <f aca="false">IF(F1200&lt;&gt;"","N",IF(LEFT(B1200,10)="Arsenal v ","H","A"))</f>
        <v>A</v>
      </c>
      <c r="J1200" s="2"/>
    </row>
    <row r="1201" customFormat="false" ht="15" hidden="false" customHeight="false" outlineLevel="0" collapsed="false">
      <c r="A1201" s="3" t="n">
        <v>40209</v>
      </c>
      <c r="B1201" s="2" t="s">
        <v>656</v>
      </c>
      <c r="C1201" s="2" t="s">
        <v>704</v>
      </c>
      <c r="D1201" s="2" t="s">
        <v>373</v>
      </c>
      <c r="E1201" s="2" t="s">
        <v>356</v>
      </c>
      <c r="F1201" s="2"/>
      <c r="G1201" s="2" t="s">
        <v>42</v>
      </c>
      <c r="H1201" s="2" t="str">
        <f aca="false">IF(LEFT(B1201,10)="Arsenal v ",MID(B1201,11,100),LEFT(B1201,FIND(" v ",B1201)-1))</f>
        <v>Manchester United</v>
      </c>
      <c r="I1201" s="2" t="str">
        <f aca="false">IF(F1201&lt;&gt;"","N",IF(LEFT(B1201,10)="Arsenal v ","H","A"))</f>
        <v>H</v>
      </c>
      <c r="J1201" s="2"/>
    </row>
    <row r="1202" customFormat="false" ht="15" hidden="false" customHeight="false" outlineLevel="0" collapsed="false">
      <c r="A1202" s="3" t="n">
        <v>40216</v>
      </c>
      <c r="B1202" s="2" t="s">
        <v>426</v>
      </c>
      <c r="C1202" s="2" t="s">
        <v>704</v>
      </c>
      <c r="D1202" s="2" t="s">
        <v>351</v>
      </c>
      <c r="E1202" s="2" t="s">
        <v>356</v>
      </c>
      <c r="F1202" s="2"/>
      <c r="G1202" s="2" t="s">
        <v>42</v>
      </c>
      <c r="H1202" s="2" t="str">
        <f aca="false">IF(LEFT(B1202,10)="Arsenal v ",MID(B1202,11,100),LEFT(B1202,FIND(" v ",B1202)-1))</f>
        <v>Chelsea</v>
      </c>
      <c r="I1202" s="2" t="str">
        <f aca="false">IF(F1202&lt;&gt;"","N",IF(LEFT(B1202,10)="Arsenal v ","H","A"))</f>
        <v>A</v>
      </c>
      <c r="J1202" s="2"/>
    </row>
    <row r="1203" customFormat="false" ht="15" hidden="false" customHeight="false" outlineLevel="0" collapsed="false">
      <c r="A1203" s="3" t="n">
        <v>40219</v>
      </c>
      <c r="B1203" s="2" t="s">
        <v>710</v>
      </c>
      <c r="C1203" s="2" t="s">
        <v>702</v>
      </c>
      <c r="D1203" s="2" t="s">
        <v>348</v>
      </c>
      <c r="E1203" s="2" t="s">
        <v>356</v>
      </c>
      <c r="F1203" s="2"/>
      <c r="G1203" s="2" t="s">
        <v>42</v>
      </c>
      <c r="H1203" s="2" t="str">
        <f aca="false">IF(LEFT(B1203,10)="Arsenal v ",MID(B1203,11,100),LEFT(B1203,FIND(" v ",B1203)-1))</f>
        <v>Liverpool</v>
      </c>
      <c r="I1203" s="2" t="str">
        <f aca="false">IF(F1203&lt;&gt;"","N",IF(LEFT(B1203,10)="Arsenal v ","H","A"))</f>
        <v>H</v>
      </c>
      <c r="J1203" s="2"/>
    </row>
    <row r="1204" customFormat="false" ht="15" hidden="false" customHeight="false" outlineLevel="0" collapsed="false">
      <c r="A1204" s="3" t="n">
        <v>40226</v>
      </c>
      <c r="B1204" s="2" t="s">
        <v>454</v>
      </c>
      <c r="C1204" s="2" t="s">
        <v>704</v>
      </c>
      <c r="D1204" s="2" t="s">
        <v>359</v>
      </c>
      <c r="E1204" s="2" t="s">
        <v>352</v>
      </c>
      <c r="F1204" s="2"/>
      <c r="G1204" s="2" t="s">
        <v>42</v>
      </c>
      <c r="H1204" s="2" t="str">
        <f aca="false">IF(LEFT(B1204,10)="Arsenal v ",MID(B1204,11,100),LEFT(B1204,FIND(" v ",B1204)-1))</f>
        <v>FC Porto</v>
      </c>
      <c r="I1204" s="2" t="str">
        <f aca="false">IF(F1204&lt;&gt;"","N",IF(LEFT(B1204,10)="Arsenal v ","H","A"))</f>
        <v>A</v>
      </c>
      <c r="J1204" s="2"/>
    </row>
    <row r="1205" customFormat="false" ht="15" hidden="false" customHeight="false" outlineLevel="0" collapsed="false">
      <c r="A1205" s="3" t="n">
        <v>40229</v>
      </c>
      <c r="B1205" s="2" t="s">
        <v>727</v>
      </c>
      <c r="C1205" s="2" t="s">
        <v>702</v>
      </c>
      <c r="D1205" s="2" t="s">
        <v>351</v>
      </c>
      <c r="E1205" s="2" t="s">
        <v>356</v>
      </c>
      <c r="F1205" s="2"/>
      <c r="G1205" s="2" t="s">
        <v>42</v>
      </c>
      <c r="H1205" s="2" t="str">
        <f aca="false">IF(LEFT(B1205,10)="Arsenal v ",MID(B1205,11,100),LEFT(B1205,FIND(" v ",B1205)-1))</f>
        <v>Sunderland</v>
      </c>
      <c r="I1205" s="2" t="str">
        <f aca="false">IF(F1205&lt;&gt;"","N",IF(LEFT(B1205,10)="Arsenal v ","H","A"))</f>
        <v>H</v>
      </c>
      <c r="J1205" s="2"/>
    </row>
    <row r="1206" customFormat="false" ht="15" hidden="false" customHeight="false" outlineLevel="0" collapsed="false">
      <c r="A1206" s="3" t="n">
        <v>40236</v>
      </c>
      <c r="B1206" s="2" t="s">
        <v>555</v>
      </c>
      <c r="C1206" s="2" t="s">
        <v>702</v>
      </c>
      <c r="D1206" s="2" t="s">
        <v>373</v>
      </c>
      <c r="E1206" s="2" t="s">
        <v>356</v>
      </c>
      <c r="F1206" s="2"/>
      <c r="G1206" s="2" t="s">
        <v>42</v>
      </c>
      <c r="H1206" s="2" t="str">
        <f aca="false">IF(LEFT(B1206,10)="Arsenal v ",MID(B1206,11,100),LEFT(B1206,FIND(" v ",B1206)-1))</f>
        <v>Stoke City</v>
      </c>
      <c r="I1206" s="2" t="str">
        <f aca="false">IF(F1206&lt;&gt;"","N",IF(LEFT(B1206,10)="Arsenal v ","H","A"))</f>
        <v>A</v>
      </c>
      <c r="J1206" s="2"/>
    </row>
    <row r="1207" customFormat="false" ht="15" hidden="false" customHeight="false" outlineLevel="0" collapsed="false">
      <c r="A1207" s="3" t="n">
        <v>40243</v>
      </c>
      <c r="B1207" s="2" t="s">
        <v>822</v>
      </c>
      <c r="C1207" s="2" t="s">
        <v>702</v>
      </c>
      <c r="D1207" s="2" t="s">
        <v>377</v>
      </c>
      <c r="E1207" s="2" t="s">
        <v>356</v>
      </c>
      <c r="F1207" s="2"/>
      <c r="G1207" s="2" t="s">
        <v>42</v>
      </c>
      <c r="H1207" s="2" t="str">
        <f aca="false">IF(LEFT(B1207,10)="Arsenal v ",MID(B1207,11,100),LEFT(B1207,FIND(" v ",B1207)-1))</f>
        <v>Burnley</v>
      </c>
      <c r="I1207" s="2" t="str">
        <f aca="false">IF(F1207&lt;&gt;"","N",IF(LEFT(B1207,10)="Arsenal v ","H","A"))</f>
        <v>H</v>
      </c>
      <c r="J1207" s="2"/>
    </row>
    <row r="1208" customFormat="false" ht="15" hidden="false" customHeight="false" outlineLevel="0" collapsed="false">
      <c r="A1208" s="3" t="n">
        <v>40246</v>
      </c>
      <c r="B1208" s="2" t="s">
        <v>813</v>
      </c>
      <c r="C1208" s="2" t="s">
        <v>702</v>
      </c>
      <c r="D1208" s="2" t="s">
        <v>489</v>
      </c>
      <c r="E1208" s="2" t="s">
        <v>352</v>
      </c>
      <c r="F1208" s="2"/>
      <c r="G1208" s="2" t="s">
        <v>42</v>
      </c>
      <c r="H1208" s="2" t="str">
        <f aca="false">IF(LEFT(B1208,10)="Arsenal v ",MID(B1208,11,100),LEFT(B1208,FIND(" v ",B1208)-1))</f>
        <v>FC Porto</v>
      </c>
      <c r="I1208" s="2" t="str">
        <f aca="false">IF(F1208&lt;&gt;"","N",IF(LEFT(B1208,10)="Arsenal v ","H","A"))</f>
        <v>H</v>
      </c>
      <c r="J1208" s="2"/>
    </row>
    <row r="1209" customFormat="false" ht="15" hidden="false" customHeight="false" outlineLevel="0" collapsed="false">
      <c r="A1209" s="3" t="n">
        <v>40250</v>
      </c>
      <c r="B1209" s="2" t="s">
        <v>467</v>
      </c>
      <c r="C1209" s="2" t="s">
        <v>702</v>
      </c>
      <c r="D1209" s="2" t="s">
        <v>360</v>
      </c>
      <c r="E1209" s="2" t="s">
        <v>356</v>
      </c>
      <c r="F1209" s="2"/>
      <c r="G1209" s="2" t="s">
        <v>42</v>
      </c>
      <c r="H1209" s="2" t="str">
        <f aca="false">IF(LEFT(B1209,10)="Arsenal v ",MID(B1209,11,100),LEFT(B1209,FIND(" v ",B1209)-1))</f>
        <v>Hull City</v>
      </c>
      <c r="I1209" s="2" t="str">
        <f aca="false">IF(F1209&lt;&gt;"","N",IF(LEFT(B1209,10)="Arsenal v ","H","A"))</f>
        <v>A</v>
      </c>
      <c r="J1209" s="2"/>
    </row>
    <row r="1210" customFormat="false" ht="15" hidden="false" customHeight="false" outlineLevel="0" collapsed="false">
      <c r="A1210" s="3" t="n">
        <v>40257</v>
      </c>
      <c r="B1210" s="2" t="s">
        <v>712</v>
      </c>
      <c r="C1210" s="2" t="s">
        <v>702</v>
      </c>
      <c r="D1210" s="2" t="s">
        <v>351</v>
      </c>
      <c r="E1210" s="2" t="s">
        <v>356</v>
      </c>
      <c r="F1210" s="2"/>
      <c r="G1210" s="2" t="s">
        <v>42</v>
      </c>
      <c r="H1210" s="2" t="str">
        <f aca="false">IF(LEFT(B1210,10)="Arsenal v ",MID(B1210,11,100),LEFT(B1210,FIND(" v ",B1210)-1))</f>
        <v>West Ham United</v>
      </c>
      <c r="I1210" s="2" t="str">
        <f aca="false">IF(F1210&lt;&gt;"","N",IF(LEFT(B1210,10)="Arsenal v ","H","A"))</f>
        <v>H</v>
      </c>
      <c r="J1210" s="2"/>
    </row>
    <row r="1211" customFormat="false" ht="15" hidden="false" customHeight="false" outlineLevel="0" collapsed="false">
      <c r="A1211" s="3" t="n">
        <v>40264</v>
      </c>
      <c r="B1211" s="2" t="s">
        <v>405</v>
      </c>
      <c r="C1211" s="2" t="s">
        <v>706</v>
      </c>
      <c r="D1211" s="2" t="s">
        <v>361</v>
      </c>
      <c r="E1211" s="2" t="s">
        <v>356</v>
      </c>
      <c r="F1211" s="2"/>
      <c r="G1211" s="2" t="s">
        <v>42</v>
      </c>
      <c r="H1211" s="2" t="str">
        <f aca="false">IF(LEFT(B1211,10)="Arsenal v ",MID(B1211,11,100),LEFT(B1211,FIND(" v ",B1211)-1))</f>
        <v>Birmingham City</v>
      </c>
      <c r="I1211" s="2" t="str">
        <f aca="false">IF(F1211&lt;&gt;"","N",IF(LEFT(B1211,10)="Arsenal v ","H","A"))</f>
        <v>A</v>
      </c>
      <c r="J1211" s="2"/>
    </row>
    <row r="1212" customFormat="false" ht="15" hidden="false" customHeight="false" outlineLevel="0" collapsed="false">
      <c r="A1212" s="3" t="n">
        <v>40268</v>
      </c>
      <c r="B1212" s="2" t="s">
        <v>664</v>
      </c>
      <c r="C1212" s="2" t="s">
        <v>706</v>
      </c>
      <c r="D1212" s="2" t="s">
        <v>380</v>
      </c>
      <c r="E1212" s="2" t="s">
        <v>352</v>
      </c>
      <c r="F1212" s="2"/>
      <c r="G1212" s="2" t="s">
        <v>42</v>
      </c>
      <c r="H1212" s="2" t="str">
        <f aca="false">IF(LEFT(B1212,10)="Arsenal v ",MID(B1212,11,100),LEFT(B1212,FIND(" v ",B1212)-1))</f>
        <v>Barcelona</v>
      </c>
      <c r="I1212" s="2" t="str">
        <f aca="false">IF(F1212&lt;&gt;"","N",IF(LEFT(B1212,10)="Arsenal v ","H","A"))</f>
        <v>H</v>
      </c>
      <c r="J1212" s="2"/>
    </row>
    <row r="1213" customFormat="false" ht="15" hidden="false" customHeight="false" outlineLevel="0" collapsed="false">
      <c r="A1213" s="3" t="n">
        <v>40271</v>
      </c>
      <c r="B1213" s="2" t="s">
        <v>762</v>
      </c>
      <c r="C1213" s="2" t="s">
        <v>702</v>
      </c>
      <c r="D1213" s="2" t="s">
        <v>348</v>
      </c>
      <c r="E1213" s="2" t="s">
        <v>356</v>
      </c>
      <c r="F1213" s="2"/>
      <c r="G1213" s="2" t="s">
        <v>42</v>
      </c>
      <c r="H1213" s="2" t="str">
        <f aca="false">IF(LEFT(B1213,10)="Arsenal v ",MID(B1213,11,100),LEFT(B1213,FIND(" v ",B1213)-1))</f>
        <v>Wolverhampton Wanderers</v>
      </c>
      <c r="I1213" s="2" t="str">
        <f aca="false">IF(F1213&lt;&gt;"","N",IF(LEFT(B1213,10)="Arsenal v ","H","A"))</f>
        <v>H</v>
      </c>
      <c r="J1213" s="2"/>
    </row>
    <row r="1214" customFormat="false" ht="15" hidden="false" customHeight="false" outlineLevel="0" collapsed="false">
      <c r="A1214" s="3" t="n">
        <v>40274</v>
      </c>
      <c r="B1214" s="2" t="s">
        <v>396</v>
      </c>
      <c r="C1214" s="2" t="s">
        <v>704</v>
      </c>
      <c r="D1214" s="2" t="s">
        <v>397</v>
      </c>
      <c r="E1214" s="2" t="s">
        <v>352</v>
      </c>
      <c r="F1214" s="2"/>
      <c r="G1214" s="2" t="s">
        <v>42</v>
      </c>
      <c r="H1214" s="2" t="str">
        <f aca="false">IF(LEFT(B1214,10)="Arsenal v ",MID(B1214,11,100),LEFT(B1214,FIND(" v ",B1214)-1))</f>
        <v>Barcelona</v>
      </c>
      <c r="I1214" s="2" t="str">
        <f aca="false">IF(F1214&lt;&gt;"","N",IF(LEFT(B1214,10)="Arsenal v ","H","A"))</f>
        <v>A</v>
      </c>
      <c r="J1214" s="2"/>
    </row>
    <row r="1215" customFormat="false" ht="15" hidden="false" customHeight="false" outlineLevel="0" collapsed="false">
      <c r="A1215" s="3" t="n">
        <v>40282</v>
      </c>
      <c r="B1215" s="2" t="s">
        <v>561</v>
      </c>
      <c r="C1215" s="2" t="s">
        <v>704</v>
      </c>
      <c r="D1215" s="2" t="s">
        <v>359</v>
      </c>
      <c r="E1215" s="2" t="s">
        <v>356</v>
      </c>
      <c r="F1215" s="2"/>
      <c r="G1215" s="2" t="s">
        <v>42</v>
      </c>
      <c r="H1215" s="2" t="str">
        <f aca="false">IF(LEFT(B1215,10)="Arsenal v ",MID(B1215,11,100),LEFT(B1215,FIND(" v ",B1215)-1))</f>
        <v>Tottenham Hotspur</v>
      </c>
      <c r="I1215" s="2" t="str">
        <f aca="false">IF(F1215&lt;&gt;"","N",IF(LEFT(B1215,10)="Arsenal v ","H","A"))</f>
        <v>A</v>
      </c>
      <c r="J1215" s="2"/>
    </row>
    <row r="1216" customFormat="false" ht="15" hidden="false" customHeight="false" outlineLevel="0" collapsed="false">
      <c r="A1216" s="3" t="n">
        <v>40286</v>
      </c>
      <c r="B1216" s="2" t="s">
        <v>573</v>
      </c>
      <c r="C1216" s="2" t="s">
        <v>704</v>
      </c>
      <c r="D1216" s="2" t="s">
        <v>382</v>
      </c>
      <c r="E1216" s="2" t="s">
        <v>356</v>
      </c>
      <c r="F1216" s="2"/>
      <c r="G1216" s="2" t="s">
        <v>42</v>
      </c>
      <c r="H1216" s="2" t="str">
        <f aca="false">IF(LEFT(B1216,10)="Arsenal v ",MID(B1216,11,100),LEFT(B1216,FIND(" v ",B1216)-1))</f>
        <v>Wigan Athletic</v>
      </c>
      <c r="I1216" s="2" t="str">
        <f aca="false">IF(F1216&lt;&gt;"","N",IF(LEFT(B1216,10)="Arsenal v ","H","A"))</f>
        <v>A</v>
      </c>
      <c r="J1216" s="2"/>
    </row>
    <row r="1217" customFormat="false" ht="15" hidden="false" customHeight="false" outlineLevel="0" collapsed="false">
      <c r="A1217" s="3" t="n">
        <v>40292</v>
      </c>
      <c r="B1217" s="2" t="s">
        <v>657</v>
      </c>
      <c r="C1217" s="2" t="s">
        <v>706</v>
      </c>
      <c r="D1217" s="2" t="s">
        <v>369</v>
      </c>
      <c r="E1217" s="2" t="s">
        <v>356</v>
      </c>
      <c r="F1217" s="2"/>
      <c r="G1217" s="2" t="s">
        <v>42</v>
      </c>
      <c r="H1217" s="2" t="str">
        <f aca="false">IF(LEFT(B1217,10)="Arsenal v ",MID(B1217,11,100),LEFT(B1217,FIND(" v ",B1217)-1))</f>
        <v>Manchester City</v>
      </c>
      <c r="I1217" s="2" t="str">
        <f aca="false">IF(F1217&lt;&gt;"","N",IF(LEFT(B1217,10)="Arsenal v ","H","A"))</f>
        <v>H</v>
      </c>
      <c r="J1217" s="2"/>
    </row>
    <row r="1218" customFormat="false" ht="15" hidden="false" customHeight="false" outlineLevel="0" collapsed="false">
      <c r="A1218" s="3" t="n">
        <v>40301</v>
      </c>
      <c r="B1218" s="2" t="s">
        <v>406</v>
      </c>
      <c r="C1218" s="2" t="s">
        <v>704</v>
      </c>
      <c r="D1218" s="2" t="s">
        <v>359</v>
      </c>
      <c r="E1218" s="2" t="s">
        <v>356</v>
      </c>
      <c r="F1218" s="2"/>
      <c r="G1218" s="2" t="s">
        <v>42</v>
      </c>
      <c r="H1218" s="2" t="str">
        <f aca="false">IF(LEFT(B1218,10)="Arsenal v ",MID(B1218,11,100),LEFT(B1218,FIND(" v ",B1218)-1))</f>
        <v>Blackburn Rovers</v>
      </c>
      <c r="I1218" s="2" t="str">
        <f aca="false">IF(F1218&lt;&gt;"","N",IF(LEFT(B1218,10)="Arsenal v ","H","A"))</f>
        <v>A</v>
      </c>
      <c r="J1218" s="2"/>
    </row>
    <row r="1219" customFormat="false" ht="15" hidden="false" customHeight="false" outlineLevel="0" collapsed="false">
      <c r="A1219" s="3" t="n">
        <v>40307</v>
      </c>
      <c r="B1219" s="2" t="s">
        <v>784</v>
      </c>
      <c r="C1219" s="2" t="s">
        <v>702</v>
      </c>
      <c r="D1219" s="2" t="s">
        <v>354</v>
      </c>
      <c r="E1219" s="2" t="s">
        <v>356</v>
      </c>
      <c r="F1219" s="2"/>
      <c r="G1219" s="2" t="s">
        <v>42</v>
      </c>
      <c r="H1219" s="2" t="str">
        <f aca="false">IF(LEFT(B1219,10)="Arsenal v ",MID(B1219,11,100),LEFT(B1219,FIND(" v ",B1219)-1))</f>
        <v>Fulham</v>
      </c>
      <c r="I1219" s="2" t="str">
        <f aca="false">IF(F1219&lt;&gt;"","N",IF(LEFT(B1219,10)="Arsenal v ","H","A"))</f>
        <v>H</v>
      </c>
      <c r="J1219" s="2"/>
    </row>
    <row r="1220" customFormat="false" ht="15" hidden="false" customHeight="false" outlineLevel="0" collapsed="false">
      <c r="A1220" s="3" t="n">
        <v>40405</v>
      </c>
      <c r="B1220" s="2" t="s">
        <v>477</v>
      </c>
      <c r="C1220" s="2" t="s">
        <v>706</v>
      </c>
      <c r="D1220" s="2" t="s">
        <v>361</v>
      </c>
      <c r="E1220" s="2" t="s">
        <v>356</v>
      </c>
      <c r="F1220" s="2"/>
      <c r="G1220" s="2" t="s">
        <v>187</v>
      </c>
      <c r="H1220" s="2" t="str">
        <f aca="false">IF(LEFT(B1220,10)="Arsenal v ",MID(B1220,11,100),LEFT(B1220,FIND(" v ",B1220)-1))</f>
        <v>Liverpool</v>
      </c>
      <c r="I1220" s="2" t="str">
        <f aca="false">IF(F1220&lt;&gt;"","N",IF(LEFT(B1220,10)="Arsenal v ","H","A"))</f>
        <v>A</v>
      </c>
      <c r="J1220" s="2"/>
    </row>
    <row r="1221" customFormat="false" ht="15" hidden="false" customHeight="false" outlineLevel="0" collapsed="false">
      <c r="A1221" s="3" t="n">
        <v>40411</v>
      </c>
      <c r="B1221" s="2" t="s">
        <v>767</v>
      </c>
      <c r="C1221" s="2" t="s">
        <v>702</v>
      </c>
      <c r="D1221" s="2" t="s">
        <v>428</v>
      </c>
      <c r="E1221" s="2" t="s">
        <v>356</v>
      </c>
      <c r="F1221" s="2"/>
      <c r="G1221" s="2" t="s">
        <v>187</v>
      </c>
      <c r="H1221" s="2" t="str">
        <f aca="false">IF(LEFT(B1221,10)="Arsenal v ",MID(B1221,11,100),LEFT(B1221,FIND(" v ",B1221)-1))</f>
        <v>Blackpool</v>
      </c>
      <c r="I1221" s="2" t="str">
        <f aca="false">IF(F1221&lt;&gt;"","N",IF(LEFT(B1221,10)="Arsenal v ","H","A"))</f>
        <v>H</v>
      </c>
      <c r="J1221" s="2"/>
    </row>
    <row r="1222" customFormat="false" ht="15" hidden="false" customHeight="false" outlineLevel="0" collapsed="false">
      <c r="A1222" s="3" t="n">
        <v>40418</v>
      </c>
      <c r="B1222" s="2" t="s">
        <v>406</v>
      </c>
      <c r="C1222" s="2" t="s">
        <v>702</v>
      </c>
      <c r="D1222" s="2" t="s">
        <v>360</v>
      </c>
      <c r="E1222" s="2" t="s">
        <v>356</v>
      </c>
      <c r="F1222" s="2"/>
      <c r="G1222" s="2" t="s">
        <v>187</v>
      </c>
      <c r="H1222" s="2" t="str">
        <f aca="false">IF(LEFT(B1222,10)="Arsenal v ",MID(B1222,11,100),LEFT(B1222,FIND(" v ",B1222)-1))</f>
        <v>Blackburn Rovers</v>
      </c>
      <c r="I1222" s="2" t="str">
        <f aca="false">IF(F1222&lt;&gt;"","N",IF(LEFT(B1222,10)="Arsenal v ","H","A"))</f>
        <v>A</v>
      </c>
      <c r="J1222" s="2"/>
    </row>
    <row r="1223" customFormat="false" ht="15" hidden="false" customHeight="false" outlineLevel="0" collapsed="false">
      <c r="A1223" s="3" t="n">
        <v>40432</v>
      </c>
      <c r="B1223" s="2" t="s">
        <v>743</v>
      </c>
      <c r="C1223" s="2" t="s">
        <v>702</v>
      </c>
      <c r="D1223" s="2" t="s">
        <v>397</v>
      </c>
      <c r="E1223" s="2" t="s">
        <v>356</v>
      </c>
      <c r="F1223" s="2"/>
      <c r="G1223" s="2" t="s">
        <v>187</v>
      </c>
      <c r="H1223" s="2" t="str">
        <f aca="false">IF(LEFT(B1223,10)="Arsenal v ",MID(B1223,11,100),LEFT(B1223,FIND(" v ",B1223)-1))</f>
        <v>Bolton Wanderers</v>
      </c>
      <c r="I1223" s="2" t="str">
        <f aca="false">IF(F1223&lt;&gt;"","N",IF(LEFT(B1223,10)="Arsenal v ","H","A"))</f>
        <v>H</v>
      </c>
      <c r="J1223" s="2"/>
    </row>
    <row r="1224" customFormat="false" ht="15" hidden="false" customHeight="false" outlineLevel="0" collapsed="false">
      <c r="A1224" s="3" t="n">
        <v>40436</v>
      </c>
      <c r="B1224" s="2" t="s">
        <v>827</v>
      </c>
      <c r="C1224" s="2" t="s">
        <v>702</v>
      </c>
      <c r="D1224" s="2" t="s">
        <v>428</v>
      </c>
      <c r="E1224" s="2" t="s">
        <v>352</v>
      </c>
      <c r="F1224" s="2"/>
      <c r="G1224" s="2" t="s">
        <v>187</v>
      </c>
      <c r="H1224" s="2" t="str">
        <f aca="false">IF(LEFT(B1224,10)="Arsenal v ",MID(B1224,11,100),LEFT(B1224,FIND(" v ",B1224)-1))</f>
        <v>Sporting Braga</v>
      </c>
      <c r="I1224" s="2" t="str">
        <f aca="false">IF(F1224&lt;&gt;"","N",IF(LEFT(B1224,10)="Arsenal v ","H","A"))</f>
        <v>H</v>
      </c>
      <c r="J1224" s="2"/>
    </row>
    <row r="1225" customFormat="false" ht="15" hidden="false" customHeight="false" outlineLevel="0" collapsed="false">
      <c r="A1225" s="3" t="n">
        <v>40439</v>
      </c>
      <c r="B1225" s="2" t="s">
        <v>556</v>
      </c>
      <c r="C1225" s="2" t="s">
        <v>706</v>
      </c>
      <c r="D1225" s="2" t="s">
        <v>361</v>
      </c>
      <c r="E1225" s="2" t="s">
        <v>356</v>
      </c>
      <c r="F1225" s="2"/>
      <c r="G1225" s="2" t="s">
        <v>187</v>
      </c>
      <c r="H1225" s="2" t="str">
        <f aca="false">IF(LEFT(B1225,10)="Arsenal v ",MID(B1225,11,100),LEFT(B1225,FIND(" v ",B1225)-1))</f>
        <v>Sunderland</v>
      </c>
      <c r="I1225" s="2" t="str">
        <f aca="false">IF(F1225&lt;&gt;"","N",IF(LEFT(B1225,10)="Arsenal v ","H","A"))</f>
        <v>A</v>
      </c>
      <c r="J1225" s="2"/>
    </row>
    <row r="1226" customFormat="false" ht="15" hidden="false" customHeight="false" outlineLevel="0" collapsed="false">
      <c r="A1226" s="3" t="n">
        <v>40442</v>
      </c>
      <c r="B1226" s="2" t="s">
        <v>561</v>
      </c>
      <c r="C1226" s="2" t="s">
        <v>702</v>
      </c>
      <c r="D1226" s="2" t="s">
        <v>407</v>
      </c>
      <c r="E1226" s="2" t="s">
        <v>379</v>
      </c>
      <c r="F1226" s="2"/>
      <c r="G1226" s="2" t="s">
        <v>187</v>
      </c>
      <c r="H1226" s="2" t="str">
        <f aca="false">IF(LEFT(B1226,10)="Arsenal v ",MID(B1226,11,100),LEFT(B1226,FIND(" v ",B1226)-1))</f>
        <v>Tottenham Hotspur</v>
      </c>
      <c r="I1226" s="2" t="str">
        <f aca="false">IF(F1226&lt;&gt;"","N",IF(LEFT(B1226,10)="Arsenal v ","H","A"))</f>
        <v>A</v>
      </c>
      <c r="J1226" s="2"/>
    </row>
    <row r="1227" customFormat="false" ht="15" hidden="false" customHeight="false" outlineLevel="0" collapsed="false">
      <c r="A1227" s="3" t="n">
        <v>40446</v>
      </c>
      <c r="B1227" s="2" t="s">
        <v>788</v>
      </c>
      <c r="C1227" s="2" t="s">
        <v>704</v>
      </c>
      <c r="D1227" s="2" t="s">
        <v>366</v>
      </c>
      <c r="E1227" s="2" t="s">
        <v>356</v>
      </c>
      <c r="F1227" s="2"/>
      <c r="G1227" s="2" t="s">
        <v>187</v>
      </c>
      <c r="H1227" s="2" t="str">
        <f aca="false">IF(LEFT(B1227,10)="Arsenal v ",MID(B1227,11,100),LEFT(B1227,FIND(" v ",B1227)-1))</f>
        <v>West Bromwich Albion</v>
      </c>
      <c r="I1227" s="2" t="str">
        <f aca="false">IF(F1227&lt;&gt;"","N",IF(LEFT(B1227,10)="Arsenal v ","H","A"))</f>
        <v>H</v>
      </c>
      <c r="J1227" s="2"/>
    </row>
    <row r="1228" customFormat="false" ht="15" hidden="false" customHeight="false" outlineLevel="0" collapsed="false">
      <c r="A1228" s="3" t="n">
        <v>40449</v>
      </c>
      <c r="B1228" s="2" t="s">
        <v>515</v>
      </c>
      <c r="C1228" s="2" t="s">
        <v>702</v>
      </c>
      <c r="D1228" s="2" t="s">
        <v>373</v>
      </c>
      <c r="E1228" s="2" t="s">
        <v>352</v>
      </c>
      <c r="F1228" s="2"/>
      <c r="G1228" s="2" t="s">
        <v>187</v>
      </c>
      <c r="H1228" s="2" t="str">
        <f aca="false">IF(LEFT(B1228,10)="Arsenal v ",MID(B1228,11,100),LEFT(B1228,FIND(" v ",B1228)-1))</f>
        <v>Partizan Belgrade</v>
      </c>
      <c r="I1228" s="2" t="str">
        <f aca="false">IF(F1228&lt;&gt;"","N",IF(LEFT(B1228,10)="Arsenal v ","H","A"))</f>
        <v>A</v>
      </c>
      <c r="J1228" s="2"/>
    </row>
    <row r="1229" customFormat="false" ht="15" hidden="false" customHeight="false" outlineLevel="0" collapsed="false">
      <c r="A1229" s="3" t="n">
        <v>40454</v>
      </c>
      <c r="B1229" s="2" t="s">
        <v>426</v>
      </c>
      <c r="C1229" s="2" t="s">
        <v>704</v>
      </c>
      <c r="D1229" s="2" t="s">
        <v>351</v>
      </c>
      <c r="E1229" s="2" t="s">
        <v>356</v>
      </c>
      <c r="F1229" s="2"/>
      <c r="G1229" s="2" t="s">
        <v>187</v>
      </c>
      <c r="H1229" s="2" t="str">
        <f aca="false">IF(LEFT(B1229,10)="Arsenal v ",MID(B1229,11,100),LEFT(B1229,FIND(" v ",B1229)-1))</f>
        <v>Chelsea</v>
      </c>
      <c r="I1229" s="2" t="str">
        <f aca="false">IF(F1229&lt;&gt;"","N",IF(LEFT(B1229,10)="Arsenal v ","H","A"))</f>
        <v>A</v>
      </c>
      <c r="J1229" s="2"/>
    </row>
    <row r="1230" customFormat="false" ht="15" hidden="false" customHeight="false" outlineLevel="0" collapsed="false">
      <c r="A1230" s="3" t="n">
        <v>40467</v>
      </c>
      <c r="B1230" s="2" t="s">
        <v>760</v>
      </c>
      <c r="C1230" s="2" t="s">
        <v>702</v>
      </c>
      <c r="D1230" s="2" t="s">
        <v>359</v>
      </c>
      <c r="E1230" s="2" t="s">
        <v>356</v>
      </c>
      <c r="F1230" s="2"/>
      <c r="G1230" s="2" t="s">
        <v>187</v>
      </c>
      <c r="H1230" s="2" t="str">
        <f aca="false">IF(LEFT(B1230,10)="Arsenal v ",MID(B1230,11,100),LEFT(B1230,FIND(" v ",B1230)-1))</f>
        <v>Birmingham City</v>
      </c>
      <c r="I1230" s="2" t="str">
        <f aca="false">IF(F1230&lt;&gt;"","N",IF(LEFT(B1230,10)="Arsenal v ","H","A"))</f>
        <v>H</v>
      </c>
      <c r="J1230" s="2"/>
    </row>
    <row r="1231" customFormat="false" ht="15" hidden="false" customHeight="false" outlineLevel="0" collapsed="false">
      <c r="A1231" s="3" t="n">
        <v>40470</v>
      </c>
      <c r="B1231" s="2" t="s">
        <v>772</v>
      </c>
      <c r="C1231" s="2" t="s">
        <v>702</v>
      </c>
      <c r="D1231" s="2" t="s">
        <v>401</v>
      </c>
      <c r="E1231" s="2" t="s">
        <v>352</v>
      </c>
      <c r="F1231" s="2"/>
      <c r="G1231" s="2" t="s">
        <v>187</v>
      </c>
      <c r="H1231" s="2" t="str">
        <f aca="false">IF(LEFT(B1231,10)="Arsenal v ",MID(B1231,11,100),LEFT(B1231,FIND(" v ",B1231)-1))</f>
        <v>Shakhtar Donetsk</v>
      </c>
      <c r="I1231" s="2" t="str">
        <f aca="false">IF(F1231&lt;&gt;"","N",IF(LEFT(B1231,10)="Arsenal v ","H","A"))</f>
        <v>H</v>
      </c>
      <c r="J1231" s="2"/>
    </row>
    <row r="1232" customFormat="false" ht="15" hidden="false" customHeight="false" outlineLevel="0" collapsed="false">
      <c r="A1232" s="3" t="n">
        <v>40475</v>
      </c>
      <c r="B1232" s="2" t="s">
        <v>487</v>
      </c>
      <c r="C1232" s="2" t="s">
        <v>702</v>
      </c>
      <c r="D1232" s="2" t="s">
        <v>363</v>
      </c>
      <c r="E1232" s="2" t="s">
        <v>356</v>
      </c>
      <c r="F1232" s="2"/>
      <c r="G1232" s="2" t="s">
        <v>187</v>
      </c>
      <c r="H1232" s="2" t="str">
        <f aca="false">IF(LEFT(B1232,10)="Arsenal v ",MID(B1232,11,100),LEFT(B1232,FIND(" v ",B1232)-1))</f>
        <v>Manchester City</v>
      </c>
      <c r="I1232" s="2" t="str">
        <f aca="false">IF(F1232&lt;&gt;"","N",IF(LEFT(B1232,10)="Arsenal v ","H","A"))</f>
        <v>A</v>
      </c>
      <c r="J1232" s="2"/>
    </row>
    <row r="1233" customFormat="false" ht="15" hidden="false" customHeight="false" outlineLevel="0" collapsed="false">
      <c r="A1233" s="3" t="n">
        <v>40478</v>
      </c>
      <c r="B1233" s="2" t="s">
        <v>501</v>
      </c>
      <c r="C1233" s="2" t="s">
        <v>702</v>
      </c>
      <c r="D1233" s="2" t="s">
        <v>365</v>
      </c>
      <c r="E1233" s="2" t="s">
        <v>379</v>
      </c>
      <c r="F1233" s="2"/>
      <c r="G1233" s="2" t="s">
        <v>187</v>
      </c>
      <c r="H1233" s="2" t="str">
        <f aca="false">IF(LEFT(B1233,10)="Arsenal v ",MID(B1233,11,100),LEFT(B1233,FIND(" v ",B1233)-1))</f>
        <v>Newcastle United</v>
      </c>
      <c r="I1233" s="2" t="str">
        <f aca="false">IF(F1233&lt;&gt;"","N",IF(LEFT(B1233,10)="Arsenal v ","H","A"))</f>
        <v>A</v>
      </c>
      <c r="J1233" s="2"/>
    </row>
    <row r="1234" customFormat="false" ht="15" hidden="false" customHeight="false" outlineLevel="0" collapsed="false">
      <c r="A1234" s="3" t="n">
        <v>40481</v>
      </c>
      <c r="B1234" s="2" t="s">
        <v>712</v>
      </c>
      <c r="C1234" s="2" t="s">
        <v>702</v>
      </c>
      <c r="D1234" s="2" t="s">
        <v>348</v>
      </c>
      <c r="E1234" s="2" t="s">
        <v>356</v>
      </c>
      <c r="F1234" s="2"/>
      <c r="G1234" s="2" t="s">
        <v>187</v>
      </c>
      <c r="H1234" s="2" t="str">
        <f aca="false">IF(LEFT(B1234,10)="Arsenal v ",MID(B1234,11,100),LEFT(B1234,FIND(" v ",B1234)-1))</f>
        <v>West Ham United</v>
      </c>
      <c r="I1234" s="2" t="str">
        <f aca="false">IF(F1234&lt;&gt;"","N",IF(LEFT(B1234,10)="Arsenal v ","H","A"))</f>
        <v>H</v>
      </c>
      <c r="J1234" s="2"/>
    </row>
    <row r="1235" customFormat="false" ht="15" hidden="false" customHeight="false" outlineLevel="0" collapsed="false">
      <c r="A1235" s="3" t="n">
        <v>40485</v>
      </c>
      <c r="B1235" s="2" t="s">
        <v>540</v>
      </c>
      <c r="C1235" s="2" t="s">
        <v>704</v>
      </c>
      <c r="D1235" s="2" t="s">
        <v>359</v>
      </c>
      <c r="E1235" s="2" t="s">
        <v>352</v>
      </c>
      <c r="F1235" s="2"/>
      <c r="G1235" s="2" t="s">
        <v>187</v>
      </c>
      <c r="H1235" s="2" t="str">
        <f aca="false">IF(LEFT(B1235,10)="Arsenal v ",MID(B1235,11,100),LEFT(B1235,FIND(" v ",B1235)-1))</f>
        <v>Shakhtar Donetsk</v>
      </c>
      <c r="I1235" s="2" t="str">
        <f aca="false">IF(F1235&lt;&gt;"","N",IF(LEFT(B1235,10)="Arsenal v ","H","A"))</f>
        <v>A</v>
      </c>
      <c r="J1235" s="2"/>
    </row>
    <row r="1236" customFormat="false" ht="15" hidden="false" customHeight="false" outlineLevel="0" collapsed="false">
      <c r="A1236" s="3" t="n">
        <v>40489</v>
      </c>
      <c r="B1236" s="2" t="s">
        <v>719</v>
      </c>
      <c r="C1236" s="2" t="s">
        <v>704</v>
      </c>
      <c r="D1236" s="2" t="s">
        <v>383</v>
      </c>
      <c r="E1236" s="2" t="s">
        <v>356</v>
      </c>
      <c r="F1236" s="2"/>
      <c r="G1236" s="2" t="s">
        <v>187</v>
      </c>
      <c r="H1236" s="2" t="str">
        <f aca="false">IF(LEFT(B1236,10)="Arsenal v ",MID(B1236,11,100),LEFT(B1236,FIND(" v ",B1236)-1))</f>
        <v>Newcastle United</v>
      </c>
      <c r="I1236" s="2" t="str">
        <f aca="false">IF(F1236&lt;&gt;"","N",IF(LEFT(B1236,10)="Arsenal v ","H","A"))</f>
        <v>H</v>
      </c>
      <c r="J1236" s="2"/>
    </row>
    <row r="1237" customFormat="false" ht="15" hidden="false" customHeight="false" outlineLevel="0" collapsed="false">
      <c r="A1237" s="3" t="n">
        <v>40492</v>
      </c>
      <c r="B1237" s="2" t="s">
        <v>575</v>
      </c>
      <c r="C1237" s="2" t="s">
        <v>702</v>
      </c>
      <c r="D1237" s="2" t="s">
        <v>353</v>
      </c>
      <c r="E1237" s="2" t="s">
        <v>356</v>
      </c>
      <c r="F1237" s="2"/>
      <c r="G1237" s="2" t="s">
        <v>187</v>
      </c>
      <c r="H1237" s="2" t="str">
        <f aca="false">IF(LEFT(B1237,10)="Arsenal v ",MID(B1237,11,100),LEFT(B1237,FIND(" v ",B1237)-1))</f>
        <v>Wolverhampton Wanderers</v>
      </c>
      <c r="I1237" s="2" t="str">
        <f aca="false">IF(F1237&lt;&gt;"","N",IF(LEFT(B1237,10)="Arsenal v ","H","A"))</f>
        <v>A</v>
      </c>
      <c r="J1237" s="2"/>
    </row>
    <row r="1238" customFormat="false" ht="15" hidden="false" customHeight="false" outlineLevel="0" collapsed="false">
      <c r="A1238" s="3" t="n">
        <v>40496</v>
      </c>
      <c r="B1238" s="2" t="s">
        <v>448</v>
      </c>
      <c r="C1238" s="2" t="s">
        <v>702</v>
      </c>
      <c r="D1238" s="2" t="s">
        <v>360</v>
      </c>
      <c r="E1238" s="2" t="s">
        <v>356</v>
      </c>
      <c r="F1238" s="2"/>
      <c r="G1238" s="2" t="s">
        <v>187</v>
      </c>
      <c r="H1238" s="2" t="str">
        <f aca="false">IF(LEFT(B1238,10)="Arsenal v ",MID(B1238,11,100),LEFT(B1238,FIND(" v ",B1238)-1))</f>
        <v>Everton</v>
      </c>
      <c r="I1238" s="2" t="str">
        <f aca="false">IF(F1238&lt;&gt;"","N",IF(LEFT(B1238,10)="Arsenal v ","H","A"))</f>
        <v>A</v>
      </c>
      <c r="J1238" s="2"/>
    </row>
    <row r="1239" customFormat="false" ht="15" hidden="false" customHeight="false" outlineLevel="0" collapsed="false">
      <c r="A1239" s="3" t="n">
        <v>40502</v>
      </c>
      <c r="B1239" s="2" t="s">
        <v>655</v>
      </c>
      <c r="C1239" s="2" t="s">
        <v>704</v>
      </c>
      <c r="D1239" s="2" t="s">
        <v>366</v>
      </c>
      <c r="E1239" s="2" t="s">
        <v>356</v>
      </c>
      <c r="F1239" s="2"/>
      <c r="G1239" s="2" t="s">
        <v>187</v>
      </c>
      <c r="H1239" s="2" t="str">
        <f aca="false">IF(LEFT(B1239,10)="Arsenal v ",MID(B1239,11,100),LEFT(B1239,FIND(" v ",B1239)-1))</f>
        <v>Tottenham Hotspur</v>
      </c>
      <c r="I1239" s="2" t="str">
        <f aca="false">IF(F1239&lt;&gt;"","N",IF(LEFT(B1239,10)="Arsenal v ","H","A"))</f>
        <v>H</v>
      </c>
      <c r="J1239" s="2"/>
    </row>
    <row r="1240" customFormat="false" ht="15" hidden="false" customHeight="false" outlineLevel="0" collapsed="false">
      <c r="A1240" s="3" t="n">
        <v>40505</v>
      </c>
      <c r="B1240" s="2" t="s">
        <v>549</v>
      </c>
      <c r="C1240" s="2" t="s">
        <v>704</v>
      </c>
      <c r="D1240" s="2" t="s">
        <v>351</v>
      </c>
      <c r="E1240" s="2" t="s">
        <v>352</v>
      </c>
      <c r="F1240" s="2"/>
      <c r="G1240" s="2" t="s">
        <v>187</v>
      </c>
      <c r="H1240" s="2" t="str">
        <f aca="false">IF(LEFT(B1240,10)="Arsenal v ",MID(B1240,11,100),LEFT(B1240,FIND(" v ",B1240)-1))</f>
        <v>Sporting Braga</v>
      </c>
      <c r="I1240" s="2" t="str">
        <f aca="false">IF(F1240&lt;&gt;"","N",IF(LEFT(B1240,10)="Arsenal v ","H","A"))</f>
        <v>A</v>
      </c>
      <c r="J1240" s="2"/>
    </row>
    <row r="1241" customFormat="false" ht="15" hidden="false" customHeight="false" outlineLevel="0" collapsed="false">
      <c r="A1241" s="3" t="n">
        <v>40509</v>
      </c>
      <c r="B1241" s="2" t="s">
        <v>376</v>
      </c>
      <c r="C1241" s="2" t="s">
        <v>702</v>
      </c>
      <c r="D1241" s="2" t="s">
        <v>384</v>
      </c>
      <c r="E1241" s="2" t="s">
        <v>356</v>
      </c>
      <c r="F1241" s="2"/>
      <c r="G1241" s="2" t="s">
        <v>187</v>
      </c>
      <c r="H1241" s="2" t="str">
        <f aca="false">IF(LEFT(B1241,10)="Arsenal v ",MID(B1241,11,100),LEFT(B1241,FIND(" v ",B1241)-1))</f>
        <v>Aston Villa</v>
      </c>
      <c r="I1241" s="2" t="str">
        <f aca="false">IF(F1241&lt;&gt;"","N",IF(LEFT(B1241,10)="Arsenal v ","H","A"))</f>
        <v>A</v>
      </c>
      <c r="J1241" s="2"/>
    </row>
    <row r="1242" customFormat="false" ht="15" hidden="false" customHeight="false" outlineLevel="0" collapsed="false">
      <c r="A1242" s="3" t="n">
        <v>40512</v>
      </c>
      <c r="B1242" s="2" t="s">
        <v>808</v>
      </c>
      <c r="C1242" s="2" t="s">
        <v>702</v>
      </c>
      <c r="D1242" s="2" t="s">
        <v>351</v>
      </c>
      <c r="E1242" s="2" t="s">
        <v>379</v>
      </c>
      <c r="F1242" s="2"/>
      <c r="G1242" s="2" t="s">
        <v>187</v>
      </c>
      <c r="H1242" s="2" t="str">
        <f aca="false">IF(LEFT(B1242,10)="Arsenal v ",MID(B1242,11,100),LEFT(B1242,FIND(" v ",B1242)-1))</f>
        <v>Wigan Athletic</v>
      </c>
      <c r="I1242" s="2" t="str">
        <f aca="false">IF(F1242&lt;&gt;"","N",IF(LEFT(B1242,10)="Arsenal v ","H","A"))</f>
        <v>H</v>
      </c>
      <c r="J1242" s="2"/>
    </row>
    <row r="1243" customFormat="false" ht="15" hidden="false" customHeight="false" outlineLevel="0" collapsed="false">
      <c r="A1243" s="3" t="n">
        <v>40516</v>
      </c>
      <c r="B1243" s="2" t="s">
        <v>784</v>
      </c>
      <c r="C1243" s="2" t="s">
        <v>702</v>
      </c>
      <c r="D1243" s="2" t="s">
        <v>359</v>
      </c>
      <c r="E1243" s="2" t="s">
        <v>356</v>
      </c>
      <c r="F1243" s="2"/>
      <c r="G1243" s="2" t="s">
        <v>187</v>
      </c>
      <c r="H1243" s="2" t="str">
        <f aca="false">IF(LEFT(B1243,10)="Arsenal v ",MID(B1243,11,100),LEFT(B1243,FIND(" v ",B1243)-1))</f>
        <v>Fulham</v>
      </c>
      <c r="I1243" s="2" t="str">
        <f aca="false">IF(F1243&lt;&gt;"","N",IF(LEFT(B1243,10)="Arsenal v ","H","A"))</f>
        <v>H</v>
      </c>
      <c r="J1243" s="2"/>
    </row>
    <row r="1244" customFormat="false" ht="15" hidden="false" customHeight="false" outlineLevel="0" collapsed="false">
      <c r="A1244" s="3" t="n">
        <v>40520</v>
      </c>
      <c r="B1244" s="2" t="s">
        <v>828</v>
      </c>
      <c r="C1244" s="2" t="s">
        <v>702</v>
      </c>
      <c r="D1244" s="2" t="s">
        <v>377</v>
      </c>
      <c r="E1244" s="2" t="s">
        <v>352</v>
      </c>
      <c r="F1244" s="2"/>
      <c r="G1244" s="2" t="s">
        <v>187</v>
      </c>
      <c r="H1244" s="2" t="str">
        <f aca="false">IF(LEFT(B1244,10)="Arsenal v ",MID(B1244,11,100),LEFT(B1244,FIND(" v ",B1244)-1))</f>
        <v>Partizan Belgrade</v>
      </c>
      <c r="I1244" s="2" t="str">
        <f aca="false">IF(F1244&lt;&gt;"","N",IF(LEFT(B1244,10)="Arsenal v ","H","A"))</f>
        <v>H</v>
      </c>
      <c r="J1244" s="2"/>
    </row>
    <row r="1245" customFormat="false" ht="15" hidden="false" customHeight="false" outlineLevel="0" collapsed="false">
      <c r="A1245" s="3" t="n">
        <v>40525</v>
      </c>
      <c r="B1245" s="2" t="s">
        <v>490</v>
      </c>
      <c r="C1245" s="2" t="s">
        <v>704</v>
      </c>
      <c r="D1245" s="2" t="s">
        <v>348</v>
      </c>
      <c r="E1245" s="2" t="s">
        <v>356</v>
      </c>
      <c r="F1245" s="2"/>
      <c r="G1245" s="2" t="s">
        <v>187</v>
      </c>
      <c r="H1245" s="2" t="str">
        <f aca="false">IF(LEFT(B1245,10)="Arsenal v ",MID(B1245,11,100),LEFT(B1245,FIND(" v ",B1245)-1))</f>
        <v>Manchester United</v>
      </c>
      <c r="I1245" s="2" t="str">
        <f aca="false">IF(F1245&lt;&gt;"","N",IF(LEFT(B1245,10)="Arsenal v ","H","A"))</f>
        <v>A</v>
      </c>
      <c r="J1245" s="2"/>
    </row>
    <row r="1246" customFormat="false" ht="15" hidden="false" customHeight="false" outlineLevel="0" collapsed="false">
      <c r="A1246" s="3" t="n">
        <v>40539</v>
      </c>
      <c r="B1246" s="2" t="s">
        <v>725</v>
      </c>
      <c r="C1246" s="2" t="s">
        <v>702</v>
      </c>
      <c r="D1246" s="2" t="s">
        <v>377</v>
      </c>
      <c r="E1246" s="2" t="s">
        <v>356</v>
      </c>
      <c r="F1246" s="2"/>
      <c r="G1246" s="2" t="s">
        <v>187</v>
      </c>
      <c r="H1246" s="2" t="str">
        <f aca="false">IF(LEFT(B1246,10)="Arsenal v ",MID(B1246,11,100),LEFT(B1246,FIND(" v ",B1246)-1))</f>
        <v>Chelsea</v>
      </c>
      <c r="I1246" s="2" t="str">
        <f aca="false">IF(F1246&lt;&gt;"","N",IF(LEFT(B1246,10)="Arsenal v ","H","A"))</f>
        <v>H</v>
      </c>
      <c r="J1246" s="2"/>
    </row>
    <row r="1247" customFormat="false" ht="15" hidden="false" customHeight="false" outlineLevel="0" collapsed="false">
      <c r="A1247" s="3" t="n">
        <v>40541</v>
      </c>
      <c r="B1247" s="2" t="s">
        <v>573</v>
      </c>
      <c r="C1247" s="2" t="s">
        <v>706</v>
      </c>
      <c r="D1247" s="2" t="s">
        <v>380</v>
      </c>
      <c r="E1247" s="2" t="s">
        <v>356</v>
      </c>
      <c r="F1247" s="2"/>
      <c r="G1247" s="2" t="s">
        <v>187</v>
      </c>
      <c r="H1247" s="2" t="str">
        <f aca="false">IF(LEFT(B1247,10)="Arsenal v ",MID(B1247,11,100),LEFT(B1247,FIND(" v ",B1247)-1))</f>
        <v>Wigan Athletic</v>
      </c>
      <c r="I1247" s="2" t="str">
        <f aca="false">IF(F1247&lt;&gt;"","N",IF(LEFT(B1247,10)="Arsenal v ","H","A"))</f>
        <v>A</v>
      </c>
      <c r="J1247" s="2"/>
    </row>
    <row r="1248" customFormat="false" ht="15" hidden="false" customHeight="false" outlineLevel="0" collapsed="false">
      <c r="A1248" s="3" t="n">
        <v>40544</v>
      </c>
      <c r="B1248" s="2" t="s">
        <v>405</v>
      </c>
      <c r="C1248" s="2" t="s">
        <v>702</v>
      </c>
      <c r="D1248" s="2" t="s">
        <v>363</v>
      </c>
      <c r="E1248" s="2" t="s">
        <v>356</v>
      </c>
      <c r="F1248" s="2"/>
      <c r="G1248" s="2" t="s">
        <v>187</v>
      </c>
      <c r="H1248" s="2" t="str">
        <f aca="false">IF(LEFT(B1248,10)="Arsenal v ",MID(B1248,11,100),LEFT(B1248,FIND(" v ",B1248)-1))</f>
        <v>Birmingham City</v>
      </c>
      <c r="I1248" s="2" t="str">
        <f aca="false">IF(F1248&lt;&gt;"","N",IF(LEFT(B1248,10)="Arsenal v ","H","A"))</f>
        <v>A</v>
      </c>
      <c r="J1248" s="2"/>
    </row>
    <row r="1249" customFormat="false" ht="15" hidden="false" customHeight="false" outlineLevel="0" collapsed="false">
      <c r="A1249" s="3" t="n">
        <v>40548</v>
      </c>
      <c r="B1249" s="2" t="s">
        <v>657</v>
      </c>
      <c r="C1249" s="2" t="s">
        <v>706</v>
      </c>
      <c r="D1249" s="2" t="s">
        <v>369</v>
      </c>
      <c r="E1249" s="2" t="s">
        <v>356</v>
      </c>
      <c r="F1249" s="2"/>
      <c r="G1249" s="2" t="s">
        <v>187</v>
      </c>
      <c r="H1249" s="2" t="str">
        <f aca="false">IF(LEFT(B1249,10)="Arsenal v ",MID(B1249,11,100),LEFT(B1249,FIND(" v ",B1249)-1))</f>
        <v>Manchester City</v>
      </c>
      <c r="I1249" s="2" t="str">
        <f aca="false">IF(F1249&lt;&gt;"","N",IF(LEFT(B1249,10)="Arsenal v ","H","A"))</f>
        <v>H</v>
      </c>
      <c r="J1249" s="2"/>
    </row>
    <row r="1250" customFormat="false" ht="15" hidden="false" customHeight="false" outlineLevel="0" collapsed="false">
      <c r="A1250" s="3" t="n">
        <v>40551</v>
      </c>
      <c r="B1250" s="2" t="s">
        <v>729</v>
      </c>
      <c r="C1250" s="2" t="s">
        <v>706</v>
      </c>
      <c r="D1250" s="2" t="s">
        <v>361</v>
      </c>
      <c r="E1250" s="2" t="s">
        <v>362</v>
      </c>
      <c r="F1250" s="2"/>
      <c r="G1250" s="2" t="s">
        <v>187</v>
      </c>
      <c r="H1250" s="2" t="str">
        <f aca="false">IF(LEFT(B1250,10)="Arsenal v ",MID(B1250,11,100),LEFT(B1250,FIND(" v ",B1250)-1))</f>
        <v>Leeds United</v>
      </c>
      <c r="I1250" s="2" t="str">
        <f aca="false">IF(F1250&lt;&gt;"","N",IF(LEFT(B1250,10)="Arsenal v ","H","A"))</f>
        <v>H</v>
      </c>
      <c r="J1250" s="2"/>
    </row>
    <row r="1251" customFormat="false" ht="15" hidden="false" customHeight="false" outlineLevel="0" collapsed="false">
      <c r="A1251" s="3" t="n">
        <v>40555</v>
      </c>
      <c r="B1251" s="2" t="s">
        <v>470</v>
      </c>
      <c r="C1251" s="2" t="s">
        <v>704</v>
      </c>
      <c r="D1251" s="2" t="s">
        <v>348</v>
      </c>
      <c r="E1251" s="2" t="s">
        <v>379</v>
      </c>
      <c r="F1251" s="2"/>
      <c r="G1251" s="2" t="s">
        <v>187</v>
      </c>
      <c r="H1251" s="2" t="str">
        <f aca="false">IF(LEFT(B1251,10)="Arsenal v ",MID(B1251,11,100),LEFT(B1251,FIND(" v ",B1251)-1))</f>
        <v>Ipswich Town</v>
      </c>
      <c r="I1251" s="2" t="str">
        <f aca="false">IF(F1251&lt;&gt;"","N",IF(LEFT(B1251,10)="Arsenal v ","H","A"))</f>
        <v>A</v>
      </c>
      <c r="J1251" s="2"/>
    </row>
    <row r="1252" customFormat="false" ht="15" hidden="false" customHeight="false" outlineLevel="0" collapsed="false">
      <c r="A1252" s="3" t="n">
        <v>40558</v>
      </c>
      <c r="B1252" s="2" t="s">
        <v>572</v>
      </c>
      <c r="C1252" s="2" t="s">
        <v>702</v>
      </c>
      <c r="D1252" s="2" t="s">
        <v>363</v>
      </c>
      <c r="E1252" s="2" t="s">
        <v>356</v>
      </c>
      <c r="F1252" s="2"/>
      <c r="G1252" s="2" t="s">
        <v>187</v>
      </c>
      <c r="H1252" s="2" t="str">
        <f aca="false">IF(LEFT(B1252,10)="Arsenal v ",MID(B1252,11,100),LEFT(B1252,FIND(" v ",B1252)-1))</f>
        <v>West Ham United</v>
      </c>
      <c r="I1252" s="2" t="str">
        <f aca="false">IF(F1252&lt;&gt;"","N",IF(LEFT(B1252,10)="Arsenal v ","H","A"))</f>
        <v>A</v>
      </c>
      <c r="J1252" s="2"/>
    </row>
    <row r="1253" customFormat="false" ht="15" hidden="false" customHeight="false" outlineLevel="0" collapsed="false">
      <c r="A1253" s="3" t="n">
        <v>40562</v>
      </c>
      <c r="B1253" s="2" t="s">
        <v>473</v>
      </c>
      <c r="C1253" s="2" t="s">
        <v>702</v>
      </c>
      <c r="D1253" s="2" t="s">
        <v>373</v>
      </c>
      <c r="E1253" s="2" t="s">
        <v>362</v>
      </c>
      <c r="F1253" s="2"/>
      <c r="G1253" s="2" t="s">
        <v>187</v>
      </c>
      <c r="H1253" s="2" t="str">
        <f aca="false">IF(LEFT(B1253,10)="Arsenal v ",MID(B1253,11,100),LEFT(B1253,FIND(" v ",B1253)-1))</f>
        <v>Leeds United</v>
      </c>
      <c r="I1253" s="2" t="str">
        <f aca="false">IF(F1253&lt;&gt;"","N",IF(LEFT(B1253,10)="Arsenal v ","H","A"))</f>
        <v>A</v>
      </c>
      <c r="J1253" s="2"/>
    </row>
    <row r="1254" customFormat="false" ht="15" hidden="false" customHeight="false" outlineLevel="0" collapsed="false">
      <c r="A1254" s="3" t="n">
        <v>40565</v>
      </c>
      <c r="B1254" s="2" t="s">
        <v>808</v>
      </c>
      <c r="C1254" s="2" t="s">
        <v>702</v>
      </c>
      <c r="D1254" s="2" t="s">
        <v>434</v>
      </c>
      <c r="E1254" s="2" t="s">
        <v>356</v>
      </c>
      <c r="F1254" s="2"/>
      <c r="G1254" s="2" t="s">
        <v>187</v>
      </c>
      <c r="H1254" s="2" t="str">
        <f aca="false">IF(LEFT(B1254,10)="Arsenal v ",MID(B1254,11,100),LEFT(B1254,FIND(" v ",B1254)-1))</f>
        <v>Wigan Athletic</v>
      </c>
      <c r="I1254" s="2" t="str">
        <f aca="false">IF(F1254&lt;&gt;"","N",IF(LEFT(B1254,10)="Arsenal v ","H","A"))</f>
        <v>H</v>
      </c>
      <c r="J1254" s="2"/>
    </row>
    <row r="1255" customFormat="false" ht="15" hidden="false" customHeight="false" outlineLevel="0" collapsed="false">
      <c r="A1255" s="3" t="n">
        <v>40568</v>
      </c>
      <c r="B1255" s="2" t="s">
        <v>738</v>
      </c>
      <c r="C1255" s="2" t="s">
        <v>702</v>
      </c>
      <c r="D1255" s="2" t="s">
        <v>434</v>
      </c>
      <c r="E1255" s="2" t="s">
        <v>379</v>
      </c>
      <c r="F1255" s="2"/>
      <c r="G1255" s="2" t="s">
        <v>187</v>
      </c>
      <c r="H1255" s="2" t="str">
        <f aca="false">IF(LEFT(B1255,10)="Arsenal v ",MID(B1255,11,100),LEFT(B1255,FIND(" v ",B1255)-1))</f>
        <v>Ipswich Town</v>
      </c>
      <c r="I1255" s="2" t="str">
        <f aca="false">IF(F1255&lt;&gt;"","N",IF(LEFT(B1255,10)="Arsenal v ","H","A"))</f>
        <v>H</v>
      </c>
      <c r="J1255" s="2"/>
    </row>
    <row r="1256" customFormat="false" ht="15" hidden="false" customHeight="false" outlineLevel="0" collapsed="false">
      <c r="A1256" s="3" t="n">
        <v>40573</v>
      </c>
      <c r="B1256" s="2" t="s">
        <v>741</v>
      </c>
      <c r="C1256" s="2" t="s">
        <v>702</v>
      </c>
      <c r="D1256" s="2" t="s">
        <v>359</v>
      </c>
      <c r="E1256" s="2" t="s">
        <v>362</v>
      </c>
      <c r="F1256" s="2"/>
      <c r="G1256" s="2" t="s">
        <v>187</v>
      </c>
      <c r="H1256" s="2" t="str">
        <f aca="false">IF(LEFT(B1256,10)="Arsenal v ",MID(B1256,11,100),LEFT(B1256,FIND(" v ",B1256)-1))</f>
        <v>Huddersfield Town</v>
      </c>
      <c r="I1256" s="2" t="str">
        <f aca="false">IF(F1256&lt;&gt;"","N",IF(LEFT(B1256,10)="Arsenal v ","H","A"))</f>
        <v>H</v>
      </c>
      <c r="J1256" s="2"/>
    </row>
    <row r="1257" customFormat="false" ht="15" hidden="false" customHeight="false" outlineLevel="0" collapsed="false">
      <c r="A1257" s="3" t="n">
        <v>40575</v>
      </c>
      <c r="B1257" s="2" t="s">
        <v>718</v>
      </c>
      <c r="C1257" s="2" t="s">
        <v>702</v>
      </c>
      <c r="D1257" s="2" t="s">
        <v>359</v>
      </c>
      <c r="E1257" s="2" t="s">
        <v>356</v>
      </c>
      <c r="F1257" s="2"/>
      <c r="G1257" s="2" t="s">
        <v>187</v>
      </c>
      <c r="H1257" s="2" t="str">
        <f aca="false">IF(LEFT(B1257,10)="Arsenal v ",MID(B1257,11,100),LEFT(B1257,FIND(" v ",B1257)-1))</f>
        <v>Everton</v>
      </c>
      <c r="I1257" s="2" t="str">
        <f aca="false">IF(F1257&lt;&gt;"","N",IF(LEFT(B1257,10)="Arsenal v ","H","A"))</f>
        <v>H</v>
      </c>
      <c r="J1257" s="2"/>
    </row>
    <row r="1258" customFormat="false" ht="15" hidden="false" customHeight="false" outlineLevel="0" collapsed="false">
      <c r="A1258" s="3" t="n">
        <v>40579</v>
      </c>
      <c r="B1258" s="2" t="s">
        <v>501</v>
      </c>
      <c r="C1258" s="2" t="s">
        <v>706</v>
      </c>
      <c r="D1258" s="2" t="s">
        <v>481</v>
      </c>
      <c r="E1258" s="2" t="s">
        <v>356</v>
      </c>
      <c r="F1258" s="2"/>
      <c r="G1258" s="2" t="s">
        <v>187</v>
      </c>
      <c r="H1258" s="2" t="str">
        <f aca="false">IF(LEFT(B1258,10)="Arsenal v ",MID(B1258,11,100),LEFT(B1258,FIND(" v ",B1258)-1))</f>
        <v>Newcastle United</v>
      </c>
      <c r="I1258" s="2" t="str">
        <f aca="false">IF(F1258&lt;&gt;"","N",IF(LEFT(B1258,10)="Arsenal v ","H","A"))</f>
        <v>A</v>
      </c>
      <c r="J1258" s="2"/>
    </row>
    <row r="1259" customFormat="false" ht="15" hidden="false" customHeight="false" outlineLevel="0" collapsed="false">
      <c r="A1259" s="3" t="n">
        <v>40586</v>
      </c>
      <c r="B1259" s="2" t="s">
        <v>762</v>
      </c>
      <c r="C1259" s="2" t="s">
        <v>702</v>
      </c>
      <c r="D1259" s="2" t="s">
        <v>351</v>
      </c>
      <c r="E1259" s="2" t="s">
        <v>356</v>
      </c>
      <c r="F1259" s="2"/>
      <c r="G1259" s="2" t="s">
        <v>187</v>
      </c>
      <c r="H1259" s="2" t="str">
        <f aca="false">IF(LEFT(B1259,10)="Arsenal v ",MID(B1259,11,100),LEFT(B1259,FIND(" v ",B1259)-1))</f>
        <v>Wolverhampton Wanderers</v>
      </c>
      <c r="I1259" s="2" t="str">
        <f aca="false">IF(F1259&lt;&gt;"","N",IF(LEFT(B1259,10)="Arsenal v ","H","A"))</f>
        <v>H</v>
      </c>
      <c r="J1259" s="2"/>
    </row>
    <row r="1260" customFormat="false" ht="15" hidden="false" customHeight="false" outlineLevel="0" collapsed="false">
      <c r="A1260" s="3" t="n">
        <v>40590</v>
      </c>
      <c r="B1260" s="2" t="s">
        <v>664</v>
      </c>
      <c r="C1260" s="2" t="s">
        <v>702</v>
      </c>
      <c r="D1260" s="2" t="s">
        <v>359</v>
      </c>
      <c r="E1260" s="2" t="s">
        <v>352</v>
      </c>
      <c r="F1260" s="2"/>
      <c r="G1260" s="2" t="s">
        <v>187</v>
      </c>
      <c r="H1260" s="2" t="str">
        <f aca="false">IF(LEFT(B1260,10)="Arsenal v ",MID(B1260,11,100),LEFT(B1260,FIND(" v ",B1260)-1))</f>
        <v>Barcelona</v>
      </c>
      <c r="I1260" s="2" t="str">
        <f aca="false">IF(F1260&lt;&gt;"","N",IF(LEFT(B1260,10)="Arsenal v ","H","A"))</f>
        <v>H</v>
      </c>
      <c r="J1260" s="2"/>
    </row>
    <row r="1261" customFormat="false" ht="15" hidden="false" customHeight="false" outlineLevel="0" collapsed="false">
      <c r="A1261" s="3" t="n">
        <v>40594</v>
      </c>
      <c r="B1261" s="2" t="s">
        <v>476</v>
      </c>
      <c r="C1261" s="2" t="s">
        <v>706</v>
      </c>
      <c r="D1261" s="2" t="s">
        <v>361</v>
      </c>
      <c r="E1261" s="2" t="s">
        <v>362</v>
      </c>
      <c r="F1261" s="2"/>
      <c r="G1261" s="2" t="s">
        <v>187</v>
      </c>
      <c r="H1261" s="2" t="str">
        <f aca="false">IF(LEFT(B1261,10)="Arsenal v ",MID(B1261,11,100),LEFT(B1261,FIND(" v ",B1261)-1))</f>
        <v>Leyton Orient</v>
      </c>
      <c r="I1261" s="2" t="str">
        <f aca="false">IF(F1261&lt;&gt;"","N",IF(LEFT(B1261,10)="Arsenal v ","H","A"))</f>
        <v>A</v>
      </c>
      <c r="J1261" s="2"/>
    </row>
    <row r="1262" customFormat="false" ht="15" hidden="false" customHeight="false" outlineLevel="0" collapsed="false">
      <c r="A1262" s="3" t="n">
        <v>40597</v>
      </c>
      <c r="B1262" s="2" t="s">
        <v>757</v>
      </c>
      <c r="C1262" s="2" t="s">
        <v>702</v>
      </c>
      <c r="D1262" s="2" t="s">
        <v>348</v>
      </c>
      <c r="E1262" s="2" t="s">
        <v>356</v>
      </c>
      <c r="F1262" s="2"/>
      <c r="G1262" s="2" t="s">
        <v>187</v>
      </c>
      <c r="H1262" s="2" t="str">
        <f aca="false">IF(LEFT(B1262,10)="Arsenal v ",MID(B1262,11,100),LEFT(B1262,FIND(" v ",B1262)-1))</f>
        <v>Stoke City</v>
      </c>
      <c r="I1262" s="2" t="str">
        <f aca="false">IF(F1262&lt;&gt;"","N",IF(LEFT(B1262,10)="Arsenal v ","H","A"))</f>
        <v>H</v>
      </c>
      <c r="J1262" s="2"/>
    </row>
    <row r="1263" customFormat="false" ht="15" hidden="false" customHeight="false" outlineLevel="0" collapsed="false">
      <c r="A1263" s="3" t="n">
        <v>40601</v>
      </c>
      <c r="B1263" s="2" t="s">
        <v>760</v>
      </c>
      <c r="C1263" s="2" t="s">
        <v>704</v>
      </c>
      <c r="D1263" s="2" t="s">
        <v>360</v>
      </c>
      <c r="E1263" s="2" t="s">
        <v>379</v>
      </c>
      <c r="F1263" s="2" t="s">
        <v>652</v>
      </c>
      <c r="G1263" s="2" t="s">
        <v>187</v>
      </c>
      <c r="H1263" s="2" t="str">
        <f aca="false">IF(LEFT(B1263,10)="Arsenal v ",MID(B1263,11,100),LEFT(B1263,FIND(" v ",B1263)-1))</f>
        <v>Birmingham City</v>
      </c>
      <c r="I1263" s="2" t="str">
        <f aca="false">IF(F1263&lt;&gt;"","N",IF(LEFT(B1263,10)="Arsenal v ","H","A"))</f>
        <v>N</v>
      </c>
      <c r="J1263" s="2"/>
    </row>
    <row r="1264" customFormat="false" ht="15" hidden="false" customHeight="false" outlineLevel="0" collapsed="false">
      <c r="A1264" s="3" t="n">
        <v>40604</v>
      </c>
      <c r="B1264" s="2" t="s">
        <v>829</v>
      </c>
      <c r="C1264" s="2" t="s">
        <v>702</v>
      </c>
      <c r="D1264" s="2" t="s">
        <v>489</v>
      </c>
      <c r="E1264" s="2" t="s">
        <v>362</v>
      </c>
      <c r="F1264" s="2"/>
      <c r="G1264" s="2" t="s">
        <v>187</v>
      </c>
      <c r="H1264" s="2" t="str">
        <f aca="false">IF(LEFT(B1264,10)="Arsenal v ",MID(B1264,11,100),LEFT(B1264,FIND(" v ",B1264)-1))</f>
        <v>Leyton Orient</v>
      </c>
      <c r="I1264" s="2" t="str">
        <f aca="false">IF(F1264&lt;&gt;"","N",IF(LEFT(B1264,10)="Arsenal v ","H","A"))</f>
        <v>H</v>
      </c>
      <c r="J1264" s="2"/>
    </row>
    <row r="1265" customFormat="false" ht="15" hidden="false" customHeight="false" outlineLevel="0" collapsed="false">
      <c r="A1265" s="3" t="n">
        <v>40607</v>
      </c>
      <c r="B1265" s="2" t="s">
        <v>727</v>
      </c>
      <c r="C1265" s="2" t="s">
        <v>706</v>
      </c>
      <c r="D1265" s="2" t="s">
        <v>369</v>
      </c>
      <c r="E1265" s="2" t="s">
        <v>356</v>
      </c>
      <c r="F1265" s="2"/>
      <c r="G1265" s="2" t="s">
        <v>187</v>
      </c>
      <c r="H1265" s="2" t="str">
        <f aca="false">IF(LEFT(B1265,10)="Arsenal v ",MID(B1265,11,100),LEFT(B1265,FIND(" v ",B1265)-1))</f>
        <v>Sunderland</v>
      </c>
      <c r="I1265" s="2" t="str">
        <f aca="false">IF(F1265&lt;&gt;"","N",IF(LEFT(B1265,10)="Arsenal v ","H","A"))</f>
        <v>H</v>
      </c>
      <c r="J1265" s="2"/>
    </row>
    <row r="1266" customFormat="false" ht="15" hidden="false" customHeight="false" outlineLevel="0" collapsed="false">
      <c r="A1266" s="3" t="n">
        <v>40610</v>
      </c>
      <c r="B1266" s="2" t="s">
        <v>396</v>
      </c>
      <c r="C1266" s="2" t="s">
        <v>704</v>
      </c>
      <c r="D1266" s="2" t="s">
        <v>377</v>
      </c>
      <c r="E1266" s="2" t="s">
        <v>352</v>
      </c>
      <c r="F1266" s="2"/>
      <c r="G1266" s="2" t="s">
        <v>187</v>
      </c>
      <c r="H1266" s="2" t="str">
        <f aca="false">IF(LEFT(B1266,10)="Arsenal v ",MID(B1266,11,100),LEFT(B1266,FIND(" v ",B1266)-1))</f>
        <v>Barcelona</v>
      </c>
      <c r="I1266" s="2" t="str">
        <f aca="false">IF(F1266&lt;&gt;"","N",IF(LEFT(B1266,10)="Arsenal v ","H","A"))</f>
        <v>A</v>
      </c>
      <c r="J1266" s="2"/>
    </row>
    <row r="1267" customFormat="false" ht="15" hidden="false" customHeight="false" outlineLevel="0" collapsed="false">
      <c r="A1267" s="3" t="n">
        <v>40614</v>
      </c>
      <c r="B1267" s="2" t="s">
        <v>490</v>
      </c>
      <c r="C1267" s="2" t="s">
        <v>704</v>
      </c>
      <c r="D1267" s="2" t="s">
        <v>351</v>
      </c>
      <c r="E1267" s="2" t="s">
        <v>362</v>
      </c>
      <c r="F1267" s="2"/>
      <c r="G1267" s="2" t="s">
        <v>187</v>
      </c>
      <c r="H1267" s="2" t="str">
        <f aca="false">IF(LEFT(B1267,10)="Arsenal v ",MID(B1267,11,100),LEFT(B1267,FIND(" v ",B1267)-1))</f>
        <v>Manchester United</v>
      </c>
      <c r="I1267" s="2" t="str">
        <f aca="false">IF(F1267&lt;&gt;"","N",IF(LEFT(B1267,10)="Arsenal v ","H","A"))</f>
        <v>A</v>
      </c>
      <c r="J1267" s="2"/>
    </row>
    <row r="1268" customFormat="false" ht="15" hidden="false" customHeight="false" outlineLevel="0" collapsed="false">
      <c r="A1268" s="3" t="n">
        <v>40621</v>
      </c>
      <c r="B1268" s="2" t="s">
        <v>571</v>
      </c>
      <c r="C1268" s="2" t="s">
        <v>706</v>
      </c>
      <c r="D1268" s="2" t="s">
        <v>380</v>
      </c>
      <c r="E1268" s="2" t="s">
        <v>356</v>
      </c>
      <c r="F1268" s="2"/>
      <c r="G1268" s="2" t="s">
        <v>187</v>
      </c>
      <c r="H1268" s="2" t="str">
        <f aca="false">IF(LEFT(B1268,10)="Arsenal v ",MID(B1268,11,100),LEFT(B1268,FIND(" v ",B1268)-1))</f>
        <v>West Bromwich Albion</v>
      </c>
      <c r="I1268" s="2" t="str">
        <f aca="false">IF(F1268&lt;&gt;"","N",IF(LEFT(B1268,10)="Arsenal v ","H","A"))</f>
        <v>A</v>
      </c>
      <c r="J1268" s="2"/>
    </row>
    <row r="1269" customFormat="false" ht="15" hidden="false" customHeight="false" outlineLevel="0" collapsed="false">
      <c r="A1269" s="3" t="n">
        <v>40635</v>
      </c>
      <c r="B1269" s="2" t="s">
        <v>737</v>
      </c>
      <c r="C1269" s="2" t="s">
        <v>706</v>
      </c>
      <c r="D1269" s="2" t="s">
        <v>369</v>
      </c>
      <c r="E1269" s="2" t="s">
        <v>356</v>
      </c>
      <c r="F1269" s="2"/>
      <c r="G1269" s="2" t="s">
        <v>187</v>
      </c>
      <c r="H1269" s="2" t="str">
        <f aca="false">IF(LEFT(B1269,10)="Arsenal v ",MID(B1269,11,100),LEFT(B1269,FIND(" v ",B1269)-1))</f>
        <v>Blackburn Rovers</v>
      </c>
      <c r="I1269" s="2" t="str">
        <f aca="false">IF(F1269&lt;&gt;"","N",IF(LEFT(B1269,10)="Arsenal v ","H","A"))</f>
        <v>H</v>
      </c>
      <c r="J1269" s="2"/>
    </row>
    <row r="1270" customFormat="false" ht="15" hidden="false" customHeight="false" outlineLevel="0" collapsed="false">
      <c r="A1270" s="3" t="n">
        <v>40643</v>
      </c>
      <c r="B1270" s="2" t="s">
        <v>409</v>
      </c>
      <c r="C1270" s="2" t="s">
        <v>702</v>
      </c>
      <c r="D1270" s="2" t="s">
        <v>373</v>
      </c>
      <c r="E1270" s="2" t="s">
        <v>356</v>
      </c>
      <c r="F1270" s="2"/>
      <c r="G1270" s="2" t="s">
        <v>187</v>
      </c>
      <c r="H1270" s="2" t="str">
        <f aca="false">IF(LEFT(B1270,10)="Arsenal v ",MID(B1270,11,100),LEFT(B1270,FIND(" v ",B1270)-1))</f>
        <v>Blackpool</v>
      </c>
      <c r="I1270" s="2" t="str">
        <f aca="false">IF(F1270&lt;&gt;"","N",IF(LEFT(B1270,10)="Arsenal v ","H","A"))</f>
        <v>A</v>
      </c>
      <c r="J1270" s="2"/>
    </row>
    <row r="1271" customFormat="false" ht="15" hidden="false" customHeight="false" outlineLevel="0" collapsed="false">
      <c r="A1271" s="3" t="n">
        <v>40650</v>
      </c>
      <c r="B1271" s="2" t="s">
        <v>710</v>
      </c>
      <c r="C1271" s="2" t="s">
        <v>706</v>
      </c>
      <c r="D1271" s="2" t="s">
        <v>361</v>
      </c>
      <c r="E1271" s="2" t="s">
        <v>356</v>
      </c>
      <c r="F1271" s="2"/>
      <c r="G1271" s="2" t="s">
        <v>187</v>
      </c>
      <c r="H1271" s="2" t="str">
        <f aca="false">IF(LEFT(B1271,10)="Arsenal v ",MID(B1271,11,100),LEFT(B1271,FIND(" v ",B1271)-1))</f>
        <v>Liverpool</v>
      </c>
      <c r="I1271" s="2" t="str">
        <f aca="false">IF(F1271&lt;&gt;"","N",IF(LEFT(B1271,10)="Arsenal v ","H","A"))</f>
        <v>H</v>
      </c>
      <c r="J1271" s="2"/>
    </row>
    <row r="1272" customFormat="false" ht="15" hidden="false" customHeight="false" outlineLevel="0" collapsed="false">
      <c r="A1272" s="3" t="n">
        <v>40653</v>
      </c>
      <c r="B1272" s="2" t="s">
        <v>561</v>
      </c>
      <c r="C1272" s="2" t="s">
        <v>706</v>
      </c>
      <c r="D1272" s="2" t="s">
        <v>358</v>
      </c>
      <c r="E1272" s="2" t="s">
        <v>356</v>
      </c>
      <c r="F1272" s="2"/>
      <c r="G1272" s="2" t="s">
        <v>187</v>
      </c>
      <c r="H1272" s="2" t="str">
        <f aca="false">IF(LEFT(B1272,10)="Arsenal v ",MID(B1272,11,100),LEFT(B1272,FIND(" v ",B1272)-1))</f>
        <v>Tottenham Hotspur</v>
      </c>
      <c r="I1272" s="2" t="str">
        <f aca="false">IF(F1272&lt;&gt;"","N",IF(LEFT(B1272,10)="Arsenal v ","H","A"))</f>
        <v>A</v>
      </c>
      <c r="J1272" s="2"/>
    </row>
    <row r="1273" customFormat="false" ht="15" hidden="false" customHeight="false" outlineLevel="0" collapsed="false">
      <c r="A1273" s="3" t="n">
        <v>40657</v>
      </c>
      <c r="B1273" s="2" t="s">
        <v>410</v>
      </c>
      <c r="C1273" s="2" t="s">
        <v>704</v>
      </c>
      <c r="D1273" s="2" t="s">
        <v>359</v>
      </c>
      <c r="E1273" s="2" t="s">
        <v>356</v>
      </c>
      <c r="F1273" s="2"/>
      <c r="G1273" s="2" t="s">
        <v>187</v>
      </c>
      <c r="H1273" s="2" t="str">
        <f aca="false">IF(LEFT(B1273,10)="Arsenal v ",MID(B1273,11,100),LEFT(B1273,FIND(" v ",B1273)-1))</f>
        <v>Bolton Wanderers</v>
      </c>
      <c r="I1273" s="2" t="str">
        <f aca="false">IF(F1273&lt;&gt;"","N",IF(LEFT(B1273,10)="Arsenal v ","H","A"))</f>
        <v>A</v>
      </c>
      <c r="J1273" s="2"/>
    </row>
    <row r="1274" customFormat="false" ht="15" hidden="false" customHeight="false" outlineLevel="0" collapsed="false">
      <c r="A1274" s="3" t="n">
        <v>40664</v>
      </c>
      <c r="B1274" s="2" t="s">
        <v>656</v>
      </c>
      <c r="C1274" s="2" t="s">
        <v>702</v>
      </c>
      <c r="D1274" s="2" t="s">
        <v>348</v>
      </c>
      <c r="E1274" s="2" t="s">
        <v>356</v>
      </c>
      <c r="F1274" s="2"/>
      <c r="G1274" s="2" t="s">
        <v>187</v>
      </c>
      <c r="H1274" s="2" t="str">
        <f aca="false">IF(LEFT(B1274,10)="Arsenal v ",MID(B1274,11,100),LEFT(B1274,FIND(" v ",B1274)-1))</f>
        <v>Manchester United</v>
      </c>
      <c r="I1274" s="2" t="str">
        <f aca="false">IF(F1274&lt;&gt;"","N",IF(LEFT(B1274,10)="Arsenal v ","H","A"))</f>
        <v>H</v>
      </c>
      <c r="J1274" s="2"/>
    </row>
    <row r="1275" customFormat="false" ht="15" hidden="false" customHeight="false" outlineLevel="0" collapsed="false">
      <c r="A1275" s="3" t="n">
        <v>40671</v>
      </c>
      <c r="B1275" s="2" t="s">
        <v>555</v>
      </c>
      <c r="C1275" s="2" t="s">
        <v>704</v>
      </c>
      <c r="D1275" s="2" t="s">
        <v>377</v>
      </c>
      <c r="E1275" s="2" t="s">
        <v>356</v>
      </c>
      <c r="F1275" s="2"/>
      <c r="G1275" s="2" t="s">
        <v>187</v>
      </c>
      <c r="H1275" s="2" t="str">
        <f aca="false">IF(LEFT(B1275,10)="Arsenal v ",MID(B1275,11,100),LEFT(B1275,FIND(" v ",B1275)-1))</f>
        <v>Stoke City</v>
      </c>
      <c r="I1275" s="2" t="str">
        <f aca="false">IF(F1275&lt;&gt;"","N",IF(LEFT(B1275,10)="Arsenal v ","H","A"))</f>
        <v>A</v>
      </c>
      <c r="J1275" s="2"/>
    </row>
    <row r="1276" customFormat="false" ht="15" hidden="false" customHeight="false" outlineLevel="0" collapsed="false">
      <c r="A1276" s="3" t="n">
        <v>40678</v>
      </c>
      <c r="B1276" s="2" t="s">
        <v>703</v>
      </c>
      <c r="C1276" s="2" t="s">
        <v>704</v>
      </c>
      <c r="D1276" s="2" t="s">
        <v>360</v>
      </c>
      <c r="E1276" s="2" t="s">
        <v>356</v>
      </c>
      <c r="F1276" s="2"/>
      <c r="G1276" s="2" t="s">
        <v>187</v>
      </c>
      <c r="H1276" s="2" t="str">
        <f aca="false">IF(LEFT(B1276,10)="Arsenal v ",MID(B1276,11,100),LEFT(B1276,FIND(" v ",B1276)-1))</f>
        <v>Aston Villa</v>
      </c>
      <c r="I1276" s="2" t="str">
        <f aca="false">IF(F1276&lt;&gt;"","N",IF(LEFT(B1276,10)="Arsenal v ","H","A"))</f>
        <v>H</v>
      </c>
      <c r="J1276" s="2"/>
    </row>
    <row r="1277" customFormat="false" ht="15" hidden="false" customHeight="false" outlineLevel="0" collapsed="false">
      <c r="A1277" s="3" t="n">
        <v>40685</v>
      </c>
      <c r="B1277" s="2" t="s">
        <v>461</v>
      </c>
      <c r="C1277" s="2" t="s">
        <v>706</v>
      </c>
      <c r="D1277" s="2" t="s">
        <v>380</v>
      </c>
      <c r="E1277" s="2" t="s">
        <v>356</v>
      </c>
      <c r="F1277" s="2"/>
      <c r="G1277" s="2" t="s">
        <v>187</v>
      </c>
      <c r="H1277" s="2" t="str">
        <f aca="false">IF(LEFT(B1277,10)="Arsenal v ",MID(B1277,11,100),LEFT(B1277,FIND(" v ",B1277)-1))</f>
        <v>Fulham</v>
      </c>
      <c r="I1277" s="2" t="str">
        <f aca="false">IF(F1277&lt;&gt;"","N",IF(LEFT(B1277,10)="Arsenal v ","H","A"))</f>
        <v>A</v>
      </c>
      <c r="J1277" s="2"/>
    </row>
    <row r="1278" customFormat="false" ht="15" hidden="false" customHeight="false" outlineLevel="0" collapsed="false">
      <c r="A1278" s="3" t="n">
        <v>40768</v>
      </c>
      <c r="B1278" s="2" t="s">
        <v>501</v>
      </c>
      <c r="C1278" s="2" t="s">
        <v>706</v>
      </c>
      <c r="D1278" s="2" t="s">
        <v>369</v>
      </c>
      <c r="E1278" s="2" t="s">
        <v>356</v>
      </c>
      <c r="F1278" s="2"/>
      <c r="G1278" s="2" t="s">
        <v>314</v>
      </c>
      <c r="H1278" s="2" t="str">
        <f aca="false">IF(LEFT(B1278,10)="Arsenal v ",MID(B1278,11,100),LEFT(B1278,FIND(" v ",B1278)-1))</f>
        <v>Newcastle United</v>
      </c>
      <c r="I1278" s="2" t="str">
        <f aca="false">IF(F1278&lt;&gt;"","N",IF(LEFT(B1278,10)="Arsenal v ","H","A"))</f>
        <v>A</v>
      </c>
      <c r="J1278" s="2"/>
    </row>
    <row r="1279" customFormat="false" ht="15" hidden="false" customHeight="false" outlineLevel="0" collapsed="false">
      <c r="A1279" s="3" t="n">
        <v>40771</v>
      </c>
      <c r="B1279" s="2" t="s">
        <v>830</v>
      </c>
      <c r="C1279" s="2" t="s">
        <v>702</v>
      </c>
      <c r="D1279" s="2" t="s">
        <v>348</v>
      </c>
      <c r="E1279" s="2" t="s">
        <v>352</v>
      </c>
      <c r="F1279" s="2"/>
      <c r="G1279" s="2" t="s">
        <v>314</v>
      </c>
      <c r="H1279" s="2" t="str">
        <f aca="false">IF(LEFT(B1279,10)="Arsenal v ",MID(B1279,11,100),LEFT(B1279,FIND(" v ",B1279)-1))</f>
        <v>Udinese</v>
      </c>
      <c r="I1279" s="2" t="str">
        <f aca="false">IF(F1279&lt;&gt;"","N",IF(LEFT(B1279,10)="Arsenal v ","H","A"))</f>
        <v>H</v>
      </c>
      <c r="J1279" s="2"/>
    </row>
    <row r="1280" customFormat="false" ht="15" hidden="false" customHeight="false" outlineLevel="0" collapsed="false">
      <c r="A1280" s="3" t="n">
        <v>40775</v>
      </c>
      <c r="B1280" s="2" t="s">
        <v>710</v>
      </c>
      <c r="C1280" s="2" t="s">
        <v>704</v>
      </c>
      <c r="D1280" s="2" t="s">
        <v>353</v>
      </c>
      <c r="E1280" s="2" t="s">
        <v>356</v>
      </c>
      <c r="F1280" s="2"/>
      <c r="G1280" s="2" t="s">
        <v>314</v>
      </c>
      <c r="H1280" s="2" t="str">
        <f aca="false">IF(LEFT(B1280,10)="Arsenal v ",MID(B1280,11,100),LEFT(B1280,FIND(" v ",B1280)-1))</f>
        <v>Liverpool</v>
      </c>
      <c r="I1280" s="2" t="str">
        <f aca="false">IF(F1280&lt;&gt;"","N",IF(LEFT(B1280,10)="Arsenal v ","H","A"))</f>
        <v>H</v>
      </c>
      <c r="J1280" s="2"/>
    </row>
    <row r="1281" customFormat="false" ht="15" hidden="false" customHeight="false" outlineLevel="0" collapsed="false">
      <c r="A1281" s="3" t="n">
        <v>40779</v>
      </c>
      <c r="B1281" s="2" t="s">
        <v>564</v>
      </c>
      <c r="C1281" s="2" t="s">
        <v>702</v>
      </c>
      <c r="D1281" s="2" t="s">
        <v>360</v>
      </c>
      <c r="E1281" s="2" t="s">
        <v>352</v>
      </c>
      <c r="F1281" s="2"/>
      <c r="G1281" s="2" t="s">
        <v>314</v>
      </c>
      <c r="H1281" s="2" t="str">
        <f aca="false">IF(LEFT(B1281,10)="Arsenal v ",MID(B1281,11,100),LEFT(B1281,FIND(" v ",B1281)-1))</f>
        <v>Udinese</v>
      </c>
      <c r="I1281" s="2" t="str">
        <f aca="false">IF(F1281&lt;&gt;"","N",IF(LEFT(B1281,10)="Arsenal v ","H","A"))</f>
        <v>A</v>
      </c>
      <c r="J1281" s="2"/>
    </row>
    <row r="1282" customFormat="false" ht="15" hidden="false" customHeight="false" outlineLevel="0" collapsed="false">
      <c r="A1282" s="3" t="n">
        <v>40783</v>
      </c>
      <c r="B1282" s="2" t="s">
        <v>490</v>
      </c>
      <c r="C1282" s="2" t="s">
        <v>704</v>
      </c>
      <c r="D1282" s="2" t="s">
        <v>492</v>
      </c>
      <c r="E1282" s="2" t="s">
        <v>356</v>
      </c>
      <c r="F1282" s="2"/>
      <c r="G1282" s="2" t="s">
        <v>314</v>
      </c>
      <c r="H1282" s="2" t="str">
        <f aca="false">IF(LEFT(B1282,10)="Arsenal v ",MID(B1282,11,100),LEFT(B1282,FIND(" v ",B1282)-1))</f>
        <v>Manchester United</v>
      </c>
      <c r="I1282" s="2" t="str">
        <f aca="false">IF(F1282&lt;&gt;"","N",IF(LEFT(B1282,10)="Arsenal v ","H","A"))</f>
        <v>A</v>
      </c>
      <c r="J1282" s="2"/>
    </row>
    <row r="1283" customFormat="false" ht="15" hidden="false" customHeight="false" outlineLevel="0" collapsed="false">
      <c r="A1283" s="3" t="n">
        <v>40796</v>
      </c>
      <c r="B1283" s="2" t="s">
        <v>831</v>
      </c>
      <c r="C1283" s="2" t="s">
        <v>702</v>
      </c>
      <c r="D1283" s="2" t="s">
        <v>348</v>
      </c>
      <c r="E1283" s="2" t="s">
        <v>356</v>
      </c>
      <c r="F1283" s="2"/>
      <c r="G1283" s="2" t="s">
        <v>314</v>
      </c>
      <c r="H1283" s="2" t="str">
        <f aca="false">IF(LEFT(B1283,10)="Arsenal v ",MID(B1283,11,100),LEFT(B1283,FIND(" v ",B1283)-1))</f>
        <v>Swansea City</v>
      </c>
      <c r="I1283" s="2" t="str">
        <f aca="false">IF(F1283&lt;&gt;"","N",IF(LEFT(B1283,10)="Arsenal v ","H","A"))</f>
        <v>H</v>
      </c>
      <c r="J1283" s="2"/>
    </row>
    <row r="1284" customFormat="false" ht="15" hidden="false" customHeight="false" outlineLevel="0" collapsed="false">
      <c r="A1284" s="3" t="n">
        <v>40799</v>
      </c>
      <c r="B1284" s="2" t="s">
        <v>411</v>
      </c>
      <c r="C1284" s="2" t="s">
        <v>706</v>
      </c>
      <c r="D1284" s="2" t="s">
        <v>361</v>
      </c>
      <c r="E1284" s="2" t="s">
        <v>352</v>
      </c>
      <c r="F1284" s="2"/>
      <c r="G1284" s="2" t="s">
        <v>314</v>
      </c>
      <c r="H1284" s="2" t="str">
        <f aca="false">IF(LEFT(B1284,10)="Arsenal v ",MID(B1284,11,100),LEFT(B1284,FIND(" v ",B1284)-1))</f>
        <v>Borussia Dortmund</v>
      </c>
      <c r="I1284" s="2" t="str">
        <f aca="false">IF(F1284&lt;&gt;"","N",IF(LEFT(B1284,10)="Arsenal v ","H","A"))</f>
        <v>A</v>
      </c>
      <c r="J1284" s="2"/>
    </row>
    <row r="1285" customFormat="false" ht="15" hidden="false" customHeight="false" outlineLevel="0" collapsed="false">
      <c r="A1285" s="3" t="n">
        <v>40803</v>
      </c>
      <c r="B1285" s="2" t="s">
        <v>406</v>
      </c>
      <c r="C1285" s="2" t="s">
        <v>704</v>
      </c>
      <c r="D1285" s="2" t="s">
        <v>408</v>
      </c>
      <c r="E1285" s="2" t="s">
        <v>356</v>
      </c>
      <c r="F1285" s="2"/>
      <c r="G1285" s="2" t="s">
        <v>314</v>
      </c>
      <c r="H1285" s="2" t="str">
        <f aca="false">IF(LEFT(B1285,10)="Arsenal v ",MID(B1285,11,100),LEFT(B1285,FIND(" v ",B1285)-1))</f>
        <v>Blackburn Rovers</v>
      </c>
      <c r="I1285" s="2" t="str">
        <f aca="false">IF(F1285&lt;&gt;"","N",IF(LEFT(B1285,10)="Arsenal v ","H","A"))</f>
        <v>A</v>
      </c>
      <c r="J1285" s="2"/>
    </row>
    <row r="1286" customFormat="false" ht="15" hidden="false" customHeight="false" outlineLevel="0" collapsed="false">
      <c r="A1286" s="3" t="n">
        <v>40806</v>
      </c>
      <c r="B1286" s="2" t="s">
        <v>832</v>
      </c>
      <c r="C1286" s="2" t="s">
        <v>702</v>
      </c>
      <c r="D1286" s="2" t="s">
        <v>377</v>
      </c>
      <c r="E1286" s="2" t="s">
        <v>379</v>
      </c>
      <c r="F1286" s="2"/>
      <c r="G1286" s="2" t="s">
        <v>314</v>
      </c>
      <c r="H1286" s="2" t="str">
        <f aca="false">IF(LEFT(B1286,10)="Arsenal v ",MID(B1286,11,100),LEFT(B1286,FIND(" v ",B1286)-1))</f>
        <v>Shrewsbury Town</v>
      </c>
      <c r="I1286" s="2" t="str">
        <f aca="false">IF(F1286&lt;&gt;"","N",IF(LEFT(B1286,10)="Arsenal v ","H","A"))</f>
        <v>H</v>
      </c>
      <c r="J1286" s="2"/>
    </row>
    <row r="1287" customFormat="false" ht="15" hidden="false" customHeight="false" outlineLevel="0" collapsed="false">
      <c r="A1287" s="3" t="n">
        <v>40810</v>
      </c>
      <c r="B1287" s="2" t="s">
        <v>743</v>
      </c>
      <c r="C1287" s="2" t="s">
        <v>702</v>
      </c>
      <c r="D1287" s="2" t="s">
        <v>434</v>
      </c>
      <c r="E1287" s="2" t="s">
        <v>356</v>
      </c>
      <c r="F1287" s="2"/>
      <c r="G1287" s="2" t="s">
        <v>314</v>
      </c>
      <c r="H1287" s="2" t="str">
        <f aca="false">IF(LEFT(B1287,10)="Arsenal v ",MID(B1287,11,100),LEFT(B1287,FIND(" v ",B1287)-1))</f>
        <v>Bolton Wanderers</v>
      </c>
      <c r="I1287" s="2" t="str">
        <f aca="false">IF(F1287&lt;&gt;"","N",IF(LEFT(B1287,10)="Arsenal v ","H","A"))</f>
        <v>H</v>
      </c>
      <c r="J1287" s="2"/>
    </row>
    <row r="1288" customFormat="false" ht="15" hidden="false" customHeight="false" outlineLevel="0" collapsed="false">
      <c r="A1288" s="3" t="n">
        <v>40814</v>
      </c>
      <c r="B1288" s="2" t="s">
        <v>824</v>
      </c>
      <c r="C1288" s="2" t="s">
        <v>702</v>
      </c>
      <c r="D1288" s="2" t="s">
        <v>359</v>
      </c>
      <c r="E1288" s="2" t="s">
        <v>352</v>
      </c>
      <c r="F1288" s="2"/>
      <c r="G1288" s="2" t="s">
        <v>314</v>
      </c>
      <c r="H1288" s="2" t="str">
        <f aca="false">IF(LEFT(B1288,10)="Arsenal v ",MID(B1288,11,100),LEFT(B1288,FIND(" v ",B1288)-1))</f>
        <v>Olympiakos</v>
      </c>
      <c r="I1288" s="2" t="str">
        <f aca="false">IF(F1288&lt;&gt;"","N",IF(LEFT(B1288,10)="Arsenal v ","H","A"))</f>
        <v>H</v>
      </c>
      <c r="J1288" s="2"/>
    </row>
    <row r="1289" customFormat="false" ht="15" hidden="false" customHeight="false" outlineLevel="0" collapsed="false">
      <c r="A1289" s="3" t="n">
        <v>40818</v>
      </c>
      <c r="B1289" s="2" t="s">
        <v>561</v>
      </c>
      <c r="C1289" s="2" t="s">
        <v>704</v>
      </c>
      <c r="D1289" s="2" t="s">
        <v>359</v>
      </c>
      <c r="E1289" s="2" t="s">
        <v>356</v>
      </c>
      <c r="F1289" s="2"/>
      <c r="G1289" s="2" t="s">
        <v>314</v>
      </c>
      <c r="H1289" s="2" t="str">
        <f aca="false">IF(LEFT(B1289,10)="Arsenal v ",MID(B1289,11,100),LEFT(B1289,FIND(" v ",B1289)-1))</f>
        <v>Tottenham Hotspur</v>
      </c>
      <c r="I1289" s="2" t="str">
        <f aca="false">IF(F1289&lt;&gt;"","N",IF(LEFT(B1289,10)="Arsenal v ","H","A"))</f>
        <v>A</v>
      </c>
      <c r="J1289" s="2"/>
    </row>
    <row r="1290" customFormat="false" ht="15" hidden="false" customHeight="false" outlineLevel="0" collapsed="false">
      <c r="A1290" s="3" t="n">
        <v>40832</v>
      </c>
      <c r="B1290" s="2" t="s">
        <v>727</v>
      </c>
      <c r="C1290" s="2" t="s">
        <v>702</v>
      </c>
      <c r="D1290" s="2" t="s">
        <v>359</v>
      </c>
      <c r="E1290" s="2" t="s">
        <v>356</v>
      </c>
      <c r="F1290" s="2"/>
      <c r="G1290" s="2" t="s">
        <v>314</v>
      </c>
      <c r="H1290" s="2" t="str">
        <f aca="false">IF(LEFT(B1290,10)="Arsenal v ",MID(B1290,11,100),LEFT(B1290,FIND(" v ",B1290)-1))</f>
        <v>Sunderland</v>
      </c>
      <c r="I1290" s="2" t="str">
        <f aca="false">IF(F1290&lt;&gt;"","N",IF(LEFT(B1290,10)="Arsenal v ","H","A"))</f>
        <v>H</v>
      </c>
      <c r="J1290" s="2"/>
    </row>
    <row r="1291" customFormat="false" ht="15" hidden="false" customHeight="false" outlineLevel="0" collapsed="false">
      <c r="A1291" s="3" t="n">
        <v>40835</v>
      </c>
      <c r="B1291" s="2" t="s">
        <v>509</v>
      </c>
      <c r="C1291" s="2" t="s">
        <v>702</v>
      </c>
      <c r="D1291" s="2" t="s">
        <v>383</v>
      </c>
      <c r="E1291" s="2" t="s">
        <v>352</v>
      </c>
      <c r="F1291" s="2"/>
      <c r="G1291" s="2" t="s">
        <v>314</v>
      </c>
      <c r="H1291" s="2" t="str">
        <f aca="false">IF(LEFT(B1291,10)="Arsenal v ",MID(B1291,11,100),LEFT(B1291,FIND(" v ",B1291)-1))</f>
        <v>Olympique Marseille</v>
      </c>
      <c r="I1291" s="2" t="str">
        <f aca="false">IF(F1291&lt;&gt;"","N",IF(LEFT(B1291,10)="Arsenal v ","H","A"))</f>
        <v>A</v>
      </c>
      <c r="J1291" s="2"/>
    </row>
    <row r="1292" customFormat="false" ht="15" hidden="false" customHeight="false" outlineLevel="0" collapsed="false">
      <c r="A1292" s="3" t="n">
        <v>40839</v>
      </c>
      <c r="B1292" s="2" t="s">
        <v>757</v>
      </c>
      <c r="C1292" s="2" t="s">
        <v>702</v>
      </c>
      <c r="D1292" s="2" t="s">
        <v>377</v>
      </c>
      <c r="E1292" s="2" t="s">
        <v>356</v>
      </c>
      <c r="F1292" s="2"/>
      <c r="G1292" s="2" t="s">
        <v>314</v>
      </c>
      <c r="H1292" s="2" t="str">
        <f aca="false">IF(LEFT(B1292,10)="Arsenal v ",MID(B1292,11,100),LEFT(B1292,FIND(" v ",B1292)-1))</f>
        <v>Stoke City</v>
      </c>
      <c r="I1292" s="2" t="str">
        <f aca="false">IF(F1292&lt;&gt;"","N",IF(LEFT(B1292,10)="Arsenal v ","H","A"))</f>
        <v>H</v>
      </c>
      <c r="J1292" s="2"/>
    </row>
    <row r="1293" customFormat="false" ht="15" hidden="false" customHeight="false" outlineLevel="0" collapsed="false">
      <c r="A1293" s="3" t="n">
        <v>40841</v>
      </c>
      <c r="B1293" s="2" t="s">
        <v>743</v>
      </c>
      <c r="C1293" s="2" t="s">
        <v>702</v>
      </c>
      <c r="D1293" s="2" t="s">
        <v>359</v>
      </c>
      <c r="E1293" s="2" t="s">
        <v>379</v>
      </c>
      <c r="F1293" s="2"/>
      <c r="G1293" s="2" t="s">
        <v>314</v>
      </c>
      <c r="H1293" s="2" t="str">
        <f aca="false">IF(LEFT(B1293,10)="Arsenal v ",MID(B1293,11,100),LEFT(B1293,FIND(" v ",B1293)-1))</f>
        <v>Bolton Wanderers</v>
      </c>
      <c r="I1293" s="2" t="str">
        <f aca="false">IF(F1293&lt;&gt;"","N",IF(LEFT(B1293,10)="Arsenal v ","H","A"))</f>
        <v>H</v>
      </c>
      <c r="J1293" s="2"/>
    </row>
    <row r="1294" customFormat="false" ht="15" hidden="false" customHeight="false" outlineLevel="0" collapsed="false">
      <c r="A1294" s="3" t="n">
        <v>40845</v>
      </c>
      <c r="B1294" s="2" t="s">
        <v>426</v>
      </c>
      <c r="C1294" s="2" t="s">
        <v>702</v>
      </c>
      <c r="D1294" s="2" t="s">
        <v>427</v>
      </c>
      <c r="E1294" s="2" t="s">
        <v>356</v>
      </c>
      <c r="F1294" s="2"/>
      <c r="G1294" s="2" t="s">
        <v>314</v>
      </c>
      <c r="H1294" s="2" t="str">
        <f aca="false">IF(LEFT(B1294,10)="Arsenal v ",MID(B1294,11,100),LEFT(B1294,FIND(" v ",B1294)-1))</f>
        <v>Chelsea</v>
      </c>
      <c r="I1294" s="2" t="str">
        <f aca="false">IF(F1294&lt;&gt;"","N",IF(LEFT(B1294,10)="Arsenal v ","H","A"))</f>
        <v>A</v>
      </c>
      <c r="J1294" s="2"/>
    </row>
    <row r="1295" customFormat="false" ht="15" hidden="false" customHeight="false" outlineLevel="0" collapsed="false">
      <c r="A1295" s="3" t="n">
        <v>40848</v>
      </c>
      <c r="B1295" s="2" t="s">
        <v>833</v>
      </c>
      <c r="C1295" s="2" t="s">
        <v>706</v>
      </c>
      <c r="D1295" s="2" t="s">
        <v>369</v>
      </c>
      <c r="E1295" s="2" t="s">
        <v>352</v>
      </c>
      <c r="F1295" s="2"/>
      <c r="G1295" s="2" t="s">
        <v>314</v>
      </c>
      <c r="H1295" s="2" t="str">
        <f aca="false">IF(LEFT(B1295,10)="Arsenal v ",MID(B1295,11,100),LEFT(B1295,FIND(" v ",B1295)-1))</f>
        <v>Olympique Marseille</v>
      </c>
      <c r="I1295" s="2" t="str">
        <f aca="false">IF(F1295&lt;&gt;"","N",IF(LEFT(B1295,10)="Arsenal v ","H","A"))</f>
        <v>H</v>
      </c>
      <c r="J1295" s="2"/>
    </row>
    <row r="1296" customFormat="false" ht="15" hidden="false" customHeight="false" outlineLevel="0" collapsed="false">
      <c r="A1296" s="3" t="n">
        <v>40852</v>
      </c>
      <c r="B1296" s="2" t="s">
        <v>788</v>
      </c>
      <c r="C1296" s="2" t="s">
        <v>702</v>
      </c>
      <c r="D1296" s="2" t="s">
        <v>434</v>
      </c>
      <c r="E1296" s="2" t="s">
        <v>356</v>
      </c>
      <c r="F1296" s="2"/>
      <c r="G1296" s="2" t="s">
        <v>314</v>
      </c>
      <c r="H1296" s="2" t="str">
        <f aca="false">IF(LEFT(B1296,10)="Arsenal v ",MID(B1296,11,100),LEFT(B1296,FIND(" v ",B1296)-1))</f>
        <v>West Bromwich Albion</v>
      </c>
      <c r="I1296" s="2" t="str">
        <f aca="false">IF(F1296&lt;&gt;"","N",IF(LEFT(B1296,10)="Arsenal v ","H","A"))</f>
        <v>H</v>
      </c>
      <c r="J1296" s="2"/>
    </row>
    <row r="1297" customFormat="false" ht="15" hidden="false" customHeight="false" outlineLevel="0" collapsed="false">
      <c r="A1297" s="3" t="n">
        <v>40866</v>
      </c>
      <c r="B1297" s="2" t="s">
        <v>502</v>
      </c>
      <c r="C1297" s="2" t="s">
        <v>702</v>
      </c>
      <c r="D1297" s="2" t="s">
        <v>360</v>
      </c>
      <c r="E1297" s="2" t="s">
        <v>356</v>
      </c>
      <c r="F1297" s="2"/>
      <c r="G1297" s="2" t="s">
        <v>314</v>
      </c>
      <c r="H1297" s="2" t="str">
        <f aca="false">IF(LEFT(B1297,10)="Arsenal v ",MID(B1297,11,100),LEFT(B1297,FIND(" v ",B1297)-1))</f>
        <v>Norwich City</v>
      </c>
      <c r="I1297" s="2" t="str">
        <f aca="false">IF(F1297&lt;&gt;"","N",IF(LEFT(B1297,10)="Arsenal v ","H","A"))</f>
        <v>A</v>
      </c>
      <c r="J1297" s="2"/>
    </row>
    <row r="1298" customFormat="false" ht="15" hidden="false" customHeight="false" outlineLevel="0" collapsed="false">
      <c r="A1298" s="3" t="n">
        <v>40870</v>
      </c>
      <c r="B1298" s="2" t="s">
        <v>789</v>
      </c>
      <c r="C1298" s="2" t="s">
        <v>702</v>
      </c>
      <c r="D1298" s="2" t="s">
        <v>359</v>
      </c>
      <c r="E1298" s="2" t="s">
        <v>352</v>
      </c>
      <c r="F1298" s="2"/>
      <c r="G1298" s="2" t="s">
        <v>314</v>
      </c>
      <c r="H1298" s="2" t="str">
        <f aca="false">IF(LEFT(B1298,10)="Arsenal v ",MID(B1298,11,100),LEFT(B1298,FIND(" v ",B1298)-1))</f>
        <v>Borussia Dortmund</v>
      </c>
      <c r="I1298" s="2" t="str">
        <f aca="false">IF(F1298&lt;&gt;"","N",IF(LEFT(B1298,10)="Arsenal v ","H","A"))</f>
        <v>H</v>
      </c>
      <c r="J1298" s="2"/>
    </row>
    <row r="1299" customFormat="false" ht="15" hidden="false" customHeight="false" outlineLevel="0" collapsed="false">
      <c r="A1299" s="3" t="n">
        <v>40873</v>
      </c>
      <c r="B1299" s="2" t="s">
        <v>784</v>
      </c>
      <c r="C1299" s="2" t="s">
        <v>706</v>
      </c>
      <c r="D1299" s="2" t="s">
        <v>361</v>
      </c>
      <c r="E1299" s="2" t="s">
        <v>356</v>
      </c>
      <c r="F1299" s="2"/>
      <c r="G1299" s="2" t="s">
        <v>314</v>
      </c>
      <c r="H1299" s="2" t="str">
        <f aca="false">IF(LEFT(B1299,10)="Arsenal v ",MID(B1299,11,100),LEFT(B1299,FIND(" v ",B1299)-1))</f>
        <v>Fulham</v>
      </c>
      <c r="I1299" s="2" t="str">
        <f aca="false">IF(F1299&lt;&gt;"","N",IF(LEFT(B1299,10)="Arsenal v ","H","A"))</f>
        <v>H</v>
      </c>
      <c r="J1299" s="2"/>
    </row>
    <row r="1300" customFormat="false" ht="15" hidden="false" customHeight="false" outlineLevel="0" collapsed="false">
      <c r="A1300" s="3" t="n">
        <v>40876</v>
      </c>
      <c r="B1300" s="2" t="s">
        <v>657</v>
      </c>
      <c r="C1300" s="2" t="s">
        <v>704</v>
      </c>
      <c r="D1300" s="2" t="s">
        <v>383</v>
      </c>
      <c r="E1300" s="2" t="s">
        <v>379</v>
      </c>
      <c r="F1300" s="2"/>
      <c r="G1300" s="2" t="s">
        <v>314</v>
      </c>
      <c r="H1300" s="2" t="str">
        <f aca="false">IF(LEFT(B1300,10)="Arsenal v ",MID(B1300,11,100),LEFT(B1300,FIND(" v ",B1300)-1))</f>
        <v>Manchester City</v>
      </c>
      <c r="I1300" s="2" t="str">
        <f aca="false">IF(F1300&lt;&gt;"","N",IF(LEFT(B1300,10)="Arsenal v ","H","A"))</f>
        <v>H</v>
      </c>
      <c r="J1300" s="2"/>
    </row>
    <row r="1301" customFormat="false" ht="15" hidden="false" customHeight="false" outlineLevel="0" collapsed="false">
      <c r="A1301" s="3" t="n">
        <v>40880</v>
      </c>
      <c r="B1301" s="2" t="s">
        <v>573</v>
      </c>
      <c r="C1301" s="2" t="s">
        <v>702</v>
      </c>
      <c r="D1301" s="2" t="s">
        <v>365</v>
      </c>
      <c r="E1301" s="2" t="s">
        <v>356</v>
      </c>
      <c r="F1301" s="2"/>
      <c r="G1301" s="2" t="s">
        <v>314</v>
      </c>
      <c r="H1301" s="2" t="str">
        <f aca="false">IF(LEFT(B1301,10)="Arsenal v ",MID(B1301,11,100),LEFT(B1301,FIND(" v ",B1301)-1))</f>
        <v>Wigan Athletic</v>
      </c>
      <c r="I1301" s="2" t="str">
        <f aca="false">IF(F1301&lt;&gt;"","N",IF(LEFT(B1301,10)="Arsenal v ","H","A"))</f>
        <v>A</v>
      </c>
      <c r="J1301" s="2"/>
    </row>
    <row r="1302" customFormat="false" ht="15" hidden="false" customHeight="false" outlineLevel="0" collapsed="false">
      <c r="A1302" s="3" t="n">
        <v>40883</v>
      </c>
      <c r="B1302" s="2" t="s">
        <v>507</v>
      </c>
      <c r="C1302" s="2" t="s">
        <v>704</v>
      </c>
      <c r="D1302" s="2" t="s">
        <v>377</v>
      </c>
      <c r="E1302" s="2" t="s">
        <v>352</v>
      </c>
      <c r="F1302" s="2"/>
      <c r="G1302" s="2" t="s">
        <v>314</v>
      </c>
      <c r="H1302" s="2" t="str">
        <f aca="false">IF(LEFT(B1302,10)="Arsenal v ",MID(B1302,11,100),LEFT(B1302,FIND(" v ",B1302)-1))</f>
        <v>Olympiakos</v>
      </c>
      <c r="I1302" s="2" t="str">
        <f aca="false">IF(F1302&lt;&gt;"","N",IF(LEFT(B1302,10)="Arsenal v ","H","A"))</f>
        <v>A</v>
      </c>
      <c r="J1302" s="2"/>
    </row>
    <row r="1303" customFormat="false" ht="15" hidden="false" customHeight="false" outlineLevel="0" collapsed="false">
      <c r="A1303" s="3" t="n">
        <v>40887</v>
      </c>
      <c r="B1303" s="2" t="s">
        <v>718</v>
      </c>
      <c r="C1303" s="2" t="s">
        <v>702</v>
      </c>
      <c r="D1303" s="2" t="s">
        <v>348</v>
      </c>
      <c r="E1303" s="2" t="s">
        <v>356</v>
      </c>
      <c r="F1303" s="2"/>
      <c r="G1303" s="2" t="s">
        <v>314</v>
      </c>
      <c r="H1303" s="2" t="str">
        <f aca="false">IF(LEFT(B1303,10)="Arsenal v ",MID(B1303,11,100),LEFT(B1303,FIND(" v ",B1303)-1))</f>
        <v>Everton</v>
      </c>
      <c r="I1303" s="2" t="str">
        <f aca="false">IF(F1303&lt;&gt;"","N",IF(LEFT(B1303,10)="Arsenal v ","H","A"))</f>
        <v>H</v>
      </c>
      <c r="J1303" s="2"/>
    </row>
    <row r="1304" customFormat="false" ht="15" hidden="false" customHeight="false" outlineLevel="0" collapsed="false">
      <c r="A1304" s="3" t="n">
        <v>40895</v>
      </c>
      <c r="B1304" s="2" t="s">
        <v>487</v>
      </c>
      <c r="C1304" s="2" t="s">
        <v>704</v>
      </c>
      <c r="D1304" s="2" t="s">
        <v>348</v>
      </c>
      <c r="E1304" s="2" t="s">
        <v>356</v>
      </c>
      <c r="F1304" s="2"/>
      <c r="G1304" s="2" t="s">
        <v>314</v>
      </c>
      <c r="H1304" s="2" t="str">
        <f aca="false">IF(LEFT(B1304,10)="Arsenal v ",MID(B1304,11,100),LEFT(B1304,FIND(" v ",B1304)-1))</f>
        <v>Manchester City</v>
      </c>
      <c r="I1304" s="2" t="str">
        <f aca="false">IF(F1304&lt;&gt;"","N",IF(LEFT(B1304,10)="Arsenal v ","H","A"))</f>
        <v>A</v>
      </c>
      <c r="J1304" s="2"/>
    </row>
    <row r="1305" customFormat="false" ht="15" hidden="false" customHeight="false" outlineLevel="0" collapsed="false">
      <c r="A1305" s="3" t="n">
        <v>40898</v>
      </c>
      <c r="B1305" s="2" t="s">
        <v>376</v>
      </c>
      <c r="C1305" s="2" t="s">
        <v>702</v>
      </c>
      <c r="D1305" s="2" t="s">
        <v>360</v>
      </c>
      <c r="E1305" s="2" t="s">
        <v>356</v>
      </c>
      <c r="F1305" s="2"/>
      <c r="G1305" s="2" t="s">
        <v>314</v>
      </c>
      <c r="H1305" s="2" t="str">
        <f aca="false">IF(LEFT(B1305,10)="Arsenal v ",MID(B1305,11,100),LEFT(B1305,FIND(" v ",B1305)-1))</f>
        <v>Aston Villa</v>
      </c>
      <c r="I1305" s="2" t="str">
        <f aca="false">IF(F1305&lt;&gt;"","N",IF(LEFT(B1305,10)="Arsenal v ","H","A"))</f>
        <v>A</v>
      </c>
      <c r="J1305" s="2"/>
    </row>
    <row r="1306" customFormat="false" ht="15" hidden="false" customHeight="false" outlineLevel="0" collapsed="false">
      <c r="A1306" s="3" t="n">
        <v>40904</v>
      </c>
      <c r="B1306" s="2" t="s">
        <v>762</v>
      </c>
      <c r="C1306" s="2" t="s">
        <v>706</v>
      </c>
      <c r="D1306" s="2" t="s">
        <v>361</v>
      </c>
      <c r="E1306" s="2" t="s">
        <v>356</v>
      </c>
      <c r="F1306" s="2"/>
      <c r="G1306" s="2" t="s">
        <v>314</v>
      </c>
      <c r="H1306" s="2" t="str">
        <f aca="false">IF(LEFT(B1306,10)="Arsenal v ",MID(B1306,11,100),LEFT(B1306,FIND(" v ",B1306)-1))</f>
        <v>Wolverhampton Wanderers</v>
      </c>
      <c r="I1306" s="2" t="str">
        <f aca="false">IF(F1306&lt;&gt;"","N",IF(LEFT(B1306,10)="Arsenal v ","H","A"))</f>
        <v>H</v>
      </c>
      <c r="J1306" s="2"/>
    </row>
    <row r="1307" customFormat="false" ht="15" hidden="false" customHeight="false" outlineLevel="0" collapsed="false">
      <c r="A1307" s="3" t="n">
        <v>40908</v>
      </c>
      <c r="B1307" s="2" t="s">
        <v>708</v>
      </c>
      <c r="C1307" s="2" t="s">
        <v>702</v>
      </c>
      <c r="D1307" s="2" t="s">
        <v>348</v>
      </c>
      <c r="E1307" s="2" t="s">
        <v>356</v>
      </c>
      <c r="F1307" s="2"/>
      <c r="G1307" s="2" t="s">
        <v>314</v>
      </c>
      <c r="H1307" s="2" t="str">
        <f aca="false">IF(LEFT(B1307,10)="Arsenal v ",MID(B1307,11,100),LEFT(B1307,FIND(" v ",B1307)-1))</f>
        <v>Queens Park Rangers</v>
      </c>
      <c r="I1307" s="2" t="str">
        <f aca="false">IF(F1307&lt;&gt;"","N",IF(LEFT(B1307,10)="Arsenal v ","H","A"))</f>
        <v>H</v>
      </c>
      <c r="J1307" s="2"/>
    </row>
    <row r="1308" customFormat="false" ht="15" hidden="false" customHeight="false" outlineLevel="0" collapsed="false">
      <c r="A1308" s="3" t="n">
        <v>40910</v>
      </c>
      <c r="B1308" s="2" t="s">
        <v>461</v>
      </c>
      <c r="C1308" s="2" t="s">
        <v>704</v>
      </c>
      <c r="D1308" s="2" t="s">
        <v>359</v>
      </c>
      <c r="E1308" s="2" t="s">
        <v>356</v>
      </c>
      <c r="F1308" s="2"/>
      <c r="G1308" s="2" t="s">
        <v>314</v>
      </c>
      <c r="H1308" s="2" t="str">
        <f aca="false">IF(LEFT(B1308,10)="Arsenal v ",MID(B1308,11,100),LEFT(B1308,FIND(" v ",B1308)-1))</f>
        <v>Fulham</v>
      </c>
      <c r="I1308" s="2" t="str">
        <f aca="false">IF(F1308&lt;&gt;"","N",IF(LEFT(B1308,10)="Arsenal v ","H","A"))</f>
        <v>A</v>
      </c>
      <c r="J1308" s="2"/>
    </row>
    <row r="1309" customFormat="false" ht="15" hidden="false" customHeight="false" outlineLevel="0" collapsed="false">
      <c r="A1309" s="3" t="n">
        <v>40917</v>
      </c>
      <c r="B1309" s="2" t="s">
        <v>729</v>
      </c>
      <c r="C1309" s="2" t="s">
        <v>702</v>
      </c>
      <c r="D1309" s="2" t="s">
        <v>348</v>
      </c>
      <c r="E1309" s="2" t="s">
        <v>362</v>
      </c>
      <c r="F1309" s="2"/>
      <c r="G1309" s="2" t="s">
        <v>314</v>
      </c>
      <c r="H1309" s="2" t="str">
        <f aca="false">IF(LEFT(B1309,10)="Arsenal v ",MID(B1309,11,100),LEFT(B1309,FIND(" v ",B1309)-1))</f>
        <v>Leeds United</v>
      </c>
      <c r="I1309" s="2" t="str">
        <f aca="false">IF(F1309&lt;&gt;"","N",IF(LEFT(B1309,10)="Arsenal v ","H","A"))</f>
        <v>H</v>
      </c>
      <c r="J1309" s="2"/>
    </row>
    <row r="1310" customFormat="false" ht="15" hidden="false" customHeight="false" outlineLevel="0" collapsed="false">
      <c r="A1310" s="3" t="n">
        <v>40923</v>
      </c>
      <c r="B1310" s="2" t="s">
        <v>558</v>
      </c>
      <c r="C1310" s="2" t="s">
        <v>704</v>
      </c>
      <c r="D1310" s="2" t="s">
        <v>382</v>
      </c>
      <c r="E1310" s="2" t="s">
        <v>356</v>
      </c>
      <c r="F1310" s="2"/>
      <c r="G1310" s="2" t="s">
        <v>314</v>
      </c>
      <c r="H1310" s="2" t="str">
        <f aca="false">IF(LEFT(B1310,10)="Arsenal v ",MID(B1310,11,100),LEFT(B1310,FIND(" v ",B1310)-1))</f>
        <v>Swansea City</v>
      </c>
      <c r="I1310" s="2" t="str">
        <f aca="false">IF(F1310&lt;&gt;"","N",IF(LEFT(B1310,10)="Arsenal v ","H","A"))</f>
        <v>A</v>
      </c>
      <c r="J1310" s="2"/>
    </row>
    <row r="1311" customFormat="false" ht="15" hidden="false" customHeight="false" outlineLevel="0" collapsed="false">
      <c r="A1311" s="3" t="n">
        <v>40930</v>
      </c>
      <c r="B1311" s="2" t="s">
        <v>656</v>
      </c>
      <c r="C1311" s="2" t="s">
        <v>704</v>
      </c>
      <c r="D1311" s="2" t="s">
        <v>360</v>
      </c>
      <c r="E1311" s="2" t="s">
        <v>356</v>
      </c>
      <c r="F1311" s="2"/>
      <c r="G1311" s="2" t="s">
        <v>314</v>
      </c>
      <c r="H1311" s="2" t="str">
        <f aca="false">IF(LEFT(B1311,10)="Arsenal v ",MID(B1311,11,100),LEFT(B1311,FIND(" v ",B1311)-1))</f>
        <v>Manchester United</v>
      </c>
      <c r="I1311" s="2" t="str">
        <f aca="false">IF(F1311&lt;&gt;"","N",IF(LEFT(B1311,10)="Arsenal v ","H","A"))</f>
        <v>H</v>
      </c>
      <c r="J1311" s="2"/>
    </row>
    <row r="1312" customFormat="false" ht="15" hidden="false" customHeight="false" outlineLevel="0" collapsed="false">
      <c r="A1312" s="3" t="n">
        <v>40937</v>
      </c>
      <c r="B1312" s="2" t="s">
        <v>703</v>
      </c>
      <c r="C1312" s="2" t="s">
        <v>702</v>
      </c>
      <c r="D1312" s="2" t="s">
        <v>382</v>
      </c>
      <c r="E1312" s="2" t="s">
        <v>362</v>
      </c>
      <c r="F1312" s="2"/>
      <c r="G1312" s="2" t="s">
        <v>314</v>
      </c>
      <c r="H1312" s="2" t="str">
        <f aca="false">IF(LEFT(B1312,10)="Arsenal v ",MID(B1312,11,100),LEFT(B1312,FIND(" v ",B1312)-1))</f>
        <v>Aston Villa</v>
      </c>
      <c r="I1312" s="2" t="str">
        <f aca="false">IF(F1312&lt;&gt;"","N",IF(LEFT(B1312,10)="Arsenal v ","H","A"))</f>
        <v>H</v>
      </c>
      <c r="J1312" s="2"/>
    </row>
    <row r="1313" customFormat="false" ht="15" hidden="false" customHeight="false" outlineLevel="0" collapsed="false">
      <c r="A1313" s="3" t="n">
        <v>40940</v>
      </c>
      <c r="B1313" s="2" t="s">
        <v>410</v>
      </c>
      <c r="C1313" s="2" t="s">
        <v>706</v>
      </c>
      <c r="D1313" s="2" t="s">
        <v>369</v>
      </c>
      <c r="E1313" s="2" t="s">
        <v>356</v>
      </c>
      <c r="F1313" s="2"/>
      <c r="G1313" s="2" t="s">
        <v>314</v>
      </c>
      <c r="H1313" s="2" t="str">
        <f aca="false">IF(LEFT(B1313,10)="Arsenal v ",MID(B1313,11,100),LEFT(B1313,FIND(" v ",B1313)-1))</f>
        <v>Bolton Wanderers</v>
      </c>
      <c r="I1313" s="2" t="str">
        <f aca="false">IF(F1313&lt;&gt;"","N",IF(LEFT(B1313,10)="Arsenal v ","H","A"))</f>
        <v>A</v>
      </c>
      <c r="J1313" s="2"/>
    </row>
    <row r="1314" customFormat="false" ht="15" hidden="false" customHeight="false" outlineLevel="0" collapsed="false">
      <c r="A1314" s="3" t="n">
        <v>40943</v>
      </c>
      <c r="B1314" s="2" t="s">
        <v>737</v>
      </c>
      <c r="C1314" s="2" t="s">
        <v>702</v>
      </c>
      <c r="D1314" s="2" t="s">
        <v>735</v>
      </c>
      <c r="E1314" s="2" t="s">
        <v>356</v>
      </c>
      <c r="F1314" s="2"/>
      <c r="G1314" s="2" t="s">
        <v>314</v>
      </c>
      <c r="H1314" s="2" t="str">
        <f aca="false">IF(LEFT(B1314,10)="Arsenal v ",MID(B1314,11,100),LEFT(B1314,FIND(" v ",B1314)-1))</f>
        <v>Blackburn Rovers</v>
      </c>
      <c r="I1314" s="2" t="str">
        <f aca="false">IF(F1314&lt;&gt;"","N",IF(LEFT(B1314,10)="Arsenal v ","H","A"))</f>
        <v>H</v>
      </c>
      <c r="J1314" s="2"/>
    </row>
    <row r="1315" customFormat="false" ht="15" hidden="false" customHeight="false" outlineLevel="0" collapsed="false">
      <c r="A1315" s="3" t="n">
        <v>40950</v>
      </c>
      <c r="B1315" s="2" t="s">
        <v>556</v>
      </c>
      <c r="C1315" s="2" t="s">
        <v>702</v>
      </c>
      <c r="D1315" s="2" t="s">
        <v>360</v>
      </c>
      <c r="E1315" s="2" t="s">
        <v>356</v>
      </c>
      <c r="F1315" s="2"/>
      <c r="G1315" s="2" t="s">
        <v>314</v>
      </c>
      <c r="H1315" s="2" t="str">
        <f aca="false">IF(LEFT(B1315,10)="Arsenal v ",MID(B1315,11,100),LEFT(B1315,FIND(" v ",B1315)-1))</f>
        <v>Sunderland</v>
      </c>
      <c r="I1315" s="2" t="str">
        <f aca="false">IF(F1315&lt;&gt;"","N",IF(LEFT(B1315,10)="Arsenal v ","H","A"))</f>
        <v>A</v>
      </c>
      <c r="J1315" s="2"/>
    </row>
    <row r="1316" customFormat="false" ht="15" hidden="false" customHeight="false" outlineLevel="0" collapsed="false">
      <c r="A1316" s="3" t="n">
        <v>40954</v>
      </c>
      <c r="B1316" s="2" t="s">
        <v>350</v>
      </c>
      <c r="C1316" s="2" t="s">
        <v>704</v>
      </c>
      <c r="D1316" s="2" t="s">
        <v>354</v>
      </c>
      <c r="E1316" s="2" t="s">
        <v>352</v>
      </c>
      <c r="F1316" s="2"/>
      <c r="G1316" s="2" t="s">
        <v>314</v>
      </c>
      <c r="H1316" s="2" t="str">
        <f aca="false">IF(LEFT(B1316,10)="Arsenal v ",MID(B1316,11,100),LEFT(B1316,FIND(" v ",B1316)-1))</f>
        <v>AC Milan</v>
      </c>
      <c r="I1316" s="2" t="str">
        <f aca="false">IF(F1316&lt;&gt;"","N",IF(LEFT(B1316,10)="Arsenal v ","H","A"))</f>
        <v>A</v>
      </c>
      <c r="J1316" s="2"/>
    </row>
    <row r="1317" customFormat="false" ht="15" hidden="false" customHeight="false" outlineLevel="0" collapsed="false">
      <c r="A1317" s="3" t="n">
        <v>40957</v>
      </c>
      <c r="B1317" s="2" t="s">
        <v>556</v>
      </c>
      <c r="C1317" s="2" t="s">
        <v>704</v>
      </c>
      <c r="D1317" s="2" t="s">
        <v>351</v>
      </c>
      <c r="E1317" s="2" t="s">
        <v>362</v>
      </c>
      <c r="F1317" s="2"/>
      <c r="G1317" s="2" t="s">
        <v>314</v>
      </c>
      <c r="H1317" s="2" t="str">
        <f aca="false">IF(LEFT(B1317,10)="Arsenal v ",MID(B1317,11,100),LEFT(B1317,FIND(" v ",B1317)-1))</f>
        <v>Sunderland</v>
      </c>
      <c r="I1317" s="2" t="str">
        <f aca="false">IF(F1317&lt;&gt;"","N",IF(LEFT(B1317,10)="Arsenal v ","H","A"))</f>
        <v>A</v>
      </c>
      <c r="J1317" s="2"/>
    </row>
    <row r="1318" customFormat="false" ht="15" hidden="false" customHeight="false" outlineLevel="0" collapsed="false">
      <c r="A1318" s="3" t="n">
        <v>40965</v>
      </c>
      <c r="B1318" s="2" t="s">
        <v>655</v>
      </c>
      <c r="C1318" s="2" t="s">
        <v>702</v>
      </c>
      <c r="D1318" s="2" t="s">
        <v>732</v>
      </c>
      <c r="E1318" s="2" t="s">
        <v>356</v>
      </c>
      <c r="F1318" s="2"/>
      <c r="G1318" s="2" t="s">
        <v>314</v>
      </c>
      <c r="H1318" s="2" t="str">
        <f aca="false">IF(LEFT(B1318,10)="Arsenal v ",MID(B1318,11,100),LEFT(B1318,FIND(" v ",B1318)-1))</f>
        <v>Tottenham Hotspur</v>
      </c>
      <c r="I1318" s="2" t="str">
        <f aca="false">IF(F1318&lt;&gt;"","N",IF(LEFT(B1318,10)="Arsenal v ","H","A"))</f>
        <v>H</v>
      </c>
      <c r="J1318" s="2"/>
    </row>
    <row r="1319" customFormat="false" ht="15" hidden="false" customHeight="false" outlineLevel="0" collapsed="false">
      <c r="A1319" s="3" t="n">
        <v>40971</v>
      </c>
      <c r="B1319" s="2" t="s">
        <v>477</v>
      </c>
      <c r="C1319" s="2" t="s">
        <v>702</v>
      </c>
      <c r="D1319" s="2" t="s">
        <v>360</v>
      </c>
      <c r="E1319" s="2" t="s">
        <v>356</v>
      </c>
      <c r="F1319" s="2"/>
      <c r="G1319" s="2" t="s">
        <v>314</v>
      </c>
      <c r="H1319" s="2" t="str">
        <f aca="false">IF(LEFT(B1319,10)="Arsenal v ",MID(B1319,11,100),LEFT(B1319,FIND(" v ",B1319)-1))</f>
        <v>Liverpool</v>
      </c>
      <c r="I1319" s="2" t="str">
        <f aca="false">IF(F1319&lt;&gt;"","N",IF(LEFT(B1319,10)="Arsenal v ","H","A"))</f>
        <v>A</v>
      </c>
      <c r="J1319" s="2"/>
    </row>
    <row r="1320" customFormat="false" ht="15" hidden="false" customHeight="false" outlineLevel="0" collapsed="false">
      <c r="A1320" s="3" t="n">
        <v>40974</v>
      </c>
      <c r="B1320" s="2" t="s">
        <v>751</v>
      </c>
      <c r="C1320" s="2" t="s">
        <v>702</v>
      </c>
      <c r="D1320" s="2" t="s">
        <v>434</v>
      </c>
      <c r="E1320" s="2" t="s">
        <v>352</v>
      </c>
      <c r="F1320" s="2"/>
      <c r="G1320" s="2" t="s">
        <v>314</v>
      </c>
      <c r="H1320" s="2" t="str">
        <f aca="false">IF(LEFT(B1320,10)="Arsenal v ",MID(B1320,11,100),LEFT(B1320,FIND(" v ",B1320)-1))</f>
        <v>AC Milan</v>
      </c>
      <c r="I1320" s="2" t="str">
        <f aca="false">IF(F1320&lt;&gt;"","N",IF(LEFT(B1320,10)="Arsenal v ","H","A"))</f>
        <v>H</v>
      </c>
      <c r="J1320" s="2"/>
    </row>
    <row r="1321" customFormat="false" ht="15" hidden="false" customHeight="false" outlineLevel="0" collapsed="false">
      <c r="A1321" s="3" t="n">
        <v>40980</v>
      </c>
      <c r="B1321" s="2" t="s">
        <v>719</v>
      </c>
      <c r="C1321" s="2" t="s">
        <v>702</v>
      </c>
      <c r="D1321" s="2" t="s">
        <v>359</v>
      </c>
      <c r="E1321" s="2" t="s">
        <v>356</v>
      </c>
      <c r="F1321" s="2"/>
      <c r="G1321" s="2" t="s">
        <v>314</v>
      </c>
      <c r="H1321" s="2" t="str">
        <f aca="false">IF(LEFT(B1321,10)="Arsenal v ",MID(B1321,11,100),LEFT(B1321,FIND(" v ",B1321)-1))</f>
        <v>Newcastle United</v>
      </c>
      <c r="I1321" s="2" t="str">
        <f aca="false">IF(F1321&lt;&gt;"","N",IF(LEFT(B1321,10)="Arsenal v ","H","A"))</f>
        <v>H</v>
      </c>
      <c r="J1321" s="2"/>
    </row>
    <row r="1322" customFormat="false" ht="15" hidden="false" customHeight="false" outlineLevel="0" collapsed="false">
      <c r="A1322" s="3" t="n">
        <v>40989</v>
      </c>
      <c r="B1322" s="2" t="s">
        <v>448</v>
      </c>
      <c r="C1322" s="2" t="s">
        <v>702</v>
      </c>
      <c r="D1322" s="2" t="s">
        <v>383</v>
      </c>
      <c r="E1322" s="2" t="s">
        <v>356</v>
      </c>
      <c r="F1322" s="2"/>
      <c r="G1322" s="2" t="s">
        <v>314</v>
      </c>
      <c r="H1322" s="2" t="str">
        <f aca="false">IF(LEFT(B1322,10)="Arsenal v ",MID(B1322,11,100),LEFT(B1322,FIND(" v ",B1322)-1))</f>
        <v>Everton</v>
      </c>
      <c r="I1322" s="2" t="str">
        <f aca="false">IF(F1322&lt;&gt;"","N",IF(LEFT(B1322,10)="Arsenal v ","H","A"))</f>
        <v>A</v>
      </c>
      <c r="J1322" s="2"/>
    </row>
    <row r="1323" customFormat="false" ht="15" hidden="false" customHeight="false" outlineLevel="0" collapsed="false">
      <c r="A1323" s="3" t="n">
        <v>40992</v>
      </c>
      <c r="B1323" s="2" t="s">
        <v>703</v>
      </c>
      <c r="C1323" s="2" t="s">
        <v>702</v>
      </c>
      <c r="D1323" s="2" t="s">
        <v>434</v>
      </c>
      <c r="E1323" s="2" t="s">
        <v>356</v>
      </c>
      <c r="F1323" s="2"/>
      <c r="G1323" s="2" t="s">
        <v>314</v>
      </c>
      <c r="H1323" s="2" t="str">
        <f aca="false">IF(LEFT(B1323,10)="Arsenal v ",MID(B1323,11,100),LEFT(B1323,FIND(" v ",B1323)-1))</f>
        <v>Aston Villa</v>
      </c>
      <c r="I1323" s="2" t="str">
        <f aca="false">IF(F1323&lt;&gt;"","N",IF(LEFT(B1323,10)="Arsenal v ","H","A"))</f>
        <v>H</v>
      </c>
      <c r="J1323" s="2"/>
    </row>
    <row r="1324" customFormat="false" ht="15" hidden="false" customHeight="false" outlineLevel="0" collapsed="false">
      <c r="A1324" s="3" t="n">
        <v>40999</v>
      </c>
      <c r="B1324" s="2" t="s">
        <v>524</v>
      </c>
      <c r="C1324" s="2" t="s">
        <v>704</v>
      </c>
      <c r="D1324" s="2" t="s">
        <v>359</v>
      </c>
      <c r="E1324" s="2" t="s">
        <v>356</v>
      </c>
      <c r="F1324" s="2"/>
      <c r="G1324" s="2" t="s">
        <v>314</v>
      </c>
      <c r="H1324" s="2" t="str">
        <f aca="false">IF(LEFT(B1324,10)="Arsenal v ",MID(B1324,11,100),LEFT(B1324,FIND(" v ",B1324)-1))</f>
        <v>Queens Park Rangers</v>
      </c>
      <c r="I1324" s="2" t="str">
        <f aca="false">IF(F1324&lt;&gt;"","N",IF(LEFT(B1324,10)="Arsenal v ","H","A"))</f>
        <v>A</v>
      </c>
      <c r="J1324" s="2"/>
    </row>
    <row r="1325" customFormat="false" ht="15" hidden="false" customHeight="false" outlineLevel="0" collapsed="false">
      <c r="A1325" s="3" t="n">
        <v>41007</v>
      </c>
      <c r="B1325" s="2" t="s">
        <v>657</v>
      </c>
      <c r="C1325" s="2" t="s">
        <v>702</v>
      </c>
      <c r="D1325" s="2" t="s">
        <v>348</v>
      </c>
      <c r="E1325" s="2" t="s">
        <v>356</v>
      </c>
      <c r="F1325" s="2"/>
      <c r="G1325" s="2" t="s">
        <v>314</v>
      </c>
      <c r="H1325" s="2" t="str">
        <f aca="false">IF(LEFT(B1325,10)="Arsenal v ",MID(B1325,11,100),LEFT(B1325,FIND(" v ",B1325)-1))</f>
        <v>Manchester City</v>
      </c>
      <c r="I1325" s="2" t="str">
        <f aca="false">IF(F1325&lt;&gt;"","N",IF(LEFT(B1325,10)="Arsenal v ","H","A"))</f>
        <v>H</v>
      </c>
      <c r="J1325" s="2"/>
    </row>
    <row r="1326" customFormat="false" ht="15" hidden="false" customHeight="false" outlineLevel="0" collapsed="false">
      <c r="A1326" s="3" t="n">
        <v>41010</v>
      </c>
      <c r="B1326" s="2" t="s">
        <v>575</v>
      </c>
      <c r="C1326" s="2" t="s">
        <v>702</v>
      </c>
      <c r="D1326" s="2" t="s">
        <v>363</v>
      </c>
      <c r="E1326" s="2" t="s">
        <v>356</v>
      </c>
      <c r="F1326" s="2"/>
      <c r="G1326" s="2" t="s">
        <v>314</v>
      </c>
      <c r="H1326" s="2" t="str">
        <f aca="false">IF(LEFT(B1326,10)="Arsenal v ",MID(B1326,11,100),LEFT(B1326,FIND(" v ",B1326)-1))</f>
        <v>Wolverhampton Wanderers</v>
      </c>
      <c r="I1326" s="2" t="str">
        <f aca="false">IF(F1326&lt;&gt;"","N",IF(LEFT(B1326,10)="Arsenal v ","H","A"))</f>
        <v>A</v>
      </c>
      <c r="J1326" s="2"/>
    </row>
    <row r="1327" customFormat="false" ht="15" hidden="false" customHeight="false" outlineLevel="0" collapsed="false">
      <c r="A1327" s="3" t="n">
        <v>41015</v>
      </c>
      <c r="B1327" s="2" t="s">
        <v>808</v>
      </c>
      <c r="C1327" s="2" t="s">
        <v>704</v>
      </c>
      <c r="D1327" s="2" t="s">
        <v>360</v>
      </c>
      <c r="E1327" s="2" t="s">
        <v>356</v>
      </c>
      <c r="F1327" s="2"/>
      <c r="G1327" s="2" t="s">
        <v>314</v>
      </c>
      <c r="H1327" s="2" t="str">
        <f aca="false">IF(LEFT(B1327,10)="Arsenal v ",MID(B1327,11,100),LEFT(B1327,FIND(" v ",B1327)-1))</f>
        <v>Wigan Athletic</v>
      </c>
      <c r="I1327" s="2" t="str">
        <f aca="false">IF(F1327&lt;&gt;"","N",IF(LEFT(B1327,10)="Arsenal v ","H","A"))</f>
        <v>H</v>
      </c>
      <c r="J1327" s="2"/>
    </row>
    <row r="1328" customFormat="false" ht="15" hidden="false" customHeight="false" outlineLevel="0" collapsed="false">
      <c r="A1328" s="3" t="n">
        <v>41020</v>
      </c>
      <c r="B1328" s="2" t="s">
        <v>725</v>
      </c>
      <c r="C1328" s="2" t="s">
        <v>706</v>
      </c>
      <c r="D1328" s="2" t="s">
        <v>369</v>
      </c>
      <c r="E1328" s="2" t="s">
        <v>356</v>
      </c>
      <c r="F1328" s="2"/>
      <c r="G1328" s="2" t="s">
        <v>314</v>
      </c>
      <c r="H1328" s="2" t="str">
        <f aca="false">IF(LEFT(B1328,10)="Arsenal v ",MID(B1328,11,100),LEFT(B1328,FIND(" v ",B1328)-1))</f>
        <v>Chelsea</v>
      </c>
      <c r="I1328" s="2" t="str">
        <f aca="false">IF(F1328&lt;&gt;"","N",IF(LEFT(B1328,10)="Arsenal v ","H","A"))</f>
        <v>H</v>
      </c>
      <c r="J1328" s="2"/>
    </row>
    <row r="1329" customFormat="false" ht="15" hidden="false" customHeight="false" outlineLevel="0" collapsed="false">
      <c r="A1329" s="3" t="n">
        <v>41027</v>
      </c>
      <c r="B1329" s="2" t="s">
        <v>555</v>
      </c>
      <c r="C1329" s="2" t="s">
        <v>706</v>
      </c>
      <c r="D1329" s="2" t="s">
        <v>361</v>
      </c>
      <c r="E1329" s="2" t="s">
        <v>356</v>
      </c>
      <c r="F1329" s="2"/>
      <c r="G1329" s="2" t="s">
        <v>314</v>
      </c>
      <c r="H1329" s="2" t="str">
        <f aca="false">IF(LEFT(B1329,10)="Arsenal v ",MID(B1329,11,100),LEFT(B1329,FIND(" v ",B1329)-1))</f>
        <v>Stoke City</v>
      </c>
      <c r="I1329" s="2" t="str">
        <f aca="false">IF(F1329&lt;&gt;"","N",IF(LEFT(B1329,10)="Arsenal v ","H","A"))</f>
        <v>A</v>
      </c>
      <c r="J1329" s="2"/>
    </row>
    <row r="1330" customFormat="false" ht="15" hidden="false" customHeight="false" outlineLevel="0" collapsed="false">
      <c r="A1330" s="3" t="n">
        <v>41034</v>
      </c>
      <c r="B1330" s="2" t="s">
        <v>720</v>
      </c>
      <c r="C1330" s="2" t="s">
        <v>706</v>
      </c>
      <c r="D1330" s="2" t="s">
        <v>358</v>
      </c>
      <c r="E1330" s="2" t="s">
        <v>356</v>
      </c>
      <c r="F1330" s="2"/>
      <c r="G1330" s="2" t="s">
        <v>314</v>
      </c>
      <c r="H1330" s="2" t="str">
        <f aca="false">IF(LEFT(B1330,10)="Arsenal v ",MID(B1330,11,100),LEFT(B1330,FIND(" v ",B1330)-1))</f>
        <v>Norwich City</v>
      </c>
      <c r="I1330" s="2" t="str">
        <f aca="false">IF(F1330&lt;&gt;"","N",IF(LEFT(B1330,10)="Arsenal v ","H","A"))</f>
        <v>H</v>
      </c>
      <c r="J1330" s="2"/>
    </row>
    <row r="1331" customFormat="false" ht="15" hidden="false" customHeight="false" outlineLevel="0" collapsed="false">
      <c r="A1331" s="3" t="n">
        <v>41042</v>
      </c>
      <c r="B1331" s="2" t="s">
        <v>571</v>
      </c>
      <c r="C1331" s="2" t="s">
        <v>702</v>
      </c>
      <c r="D1331" s="2" t="s">
        <v>366</v>
      </c>
      <c r="E1331" s="2" t="s">
        <v>356</v>
      </c>
      <c r="F1331" s="2"/>
      <c r="G1331" s="2" t="s">
        <v>314</v>
      </c>
      <c r="H1331" s="2" t="str">
        <f aca="false">IF(LEFT(B1331,10)="Arsenal v ",MID(B1331,11,100),LEFT(B1331,FIND(" v ",B1331)-1))</f>
        <v>West Bromwich Albion</v>
      </c>
      <c r="I1331" s="2" t="str">
        <f aca="false">IF(F1331&lt;&gt;"","N",IF(LEFT(B1331,10)="Arsenal v ","H","A"))</f>
        <v>A</v>
      </c>
      <c r="J1331" s="2"/>
    </row>
    <row r="1332" customFormat="false" ht="15" hidden="false" customHeight="false" outlineLevel="0" collapsed="false">
      <c r="A1332" s="3" t="n">
        <v>41139</v>
      </c>
      <c r="B1332" s="2" t="s">
        <v>727</v>
      </c>
      <c r="C1332" s="2" t="s">
        <v>706</v>
      </c>
      <c r="D1332" s="2" t="s">
        <v>369</v>
      </c>
      <c r="E1332" s="2" t="s">
        <v>356</v>
      </c>
      <c r="F1332" s="2"/>
      <c r="G1332" s="2" t="s">
        <v>206</v>
      </c>
      <c r="H1332" s="2" t="str">
        <f aca="false">IF(LEFT(B1332,10)="Arsenal v ",MID(B1332,11,100),LEFT(B1332,FIND(" v ",B1332)-1))</f>
        <v>Sunderland</v>
      </c>
      <c r="I1332" s="2" t="str">
        <f aca="false">IF(F1332&lt;&gt;"","N",IF(LEFT(B1332,10)="Arsenal v ","H","A"))</f>
        <v>H</v>
      </c>
      <c r="J1332" s="2"/>
    </row>
    <row r="1333" customFormat="false" ht="15" hidden="false" customHeight="false" outlineLevel="0" collapsed="false">
      <c r="A1333" s="3" t="n">
        <v>41147</v>
      </c>
      <c r="B1333" s="2" t="s">
        <v>555</v>
      </c>
      <c r="C1333" s="2" t="s">
        <v>706</v>
      </c>
      <c r="D1333" s="2" t="s">
        <v>369</v>
      </c>
      <c r="E1333" s="2" t="s">
        <v>356</v>
      </c>
      <c r="F1333" s="2"/>
      <c r="G1333" s="2" t="s">
        <v>206</v>
      </c>
      <c r="H1333" s="2" t="str">
        <f aca="false">IF(LEFT(B1333,10)="Arsenal v ",MID(B1333,11,100),LEFT(B1333,FIND(" v ",B1333)-1))</f>
        <v>Stoke City</v>
      </c>
      <c r="I1333" s="2" t="str">
        <f aca="false">IF(F1333&lt;&gt;"","N",IF(LEFT(B1333,10)="Arsenal v ","H","A"))</f>
        <v>A</v>
      </c>
      <c r="J1333" s="2"/>
    </row>
    <row r="1334" customFormat="false" ht="15" hidden="false" customHeight="false" outlineLevel="0" collapsed="false">
      <c r="A1334" s="3" t="n">
        <v>41154</v>
      </c>
      <c r="B1334" s="2" t="s">
        <v>477</v>
      </c>
      <c r="C1334" s="2" t="s">
        <v>702</v>
      </c>
      <c r="D1334" s="2" t="s">
        <v>353</v>
      </c>
      <c r="E1334" s="2" t="s">
        <v>356</v>
      </c>
      <c r="F1334" s="2"/>
      <c r="G1334" s="2" t="s">
        <v>206</v>
      </c>
      <c r="H1334" s="2" t="str">
        <f aca="false">IF(LEFT(B1334,10)="Arsenal v ",MID(B1334,11,100),LEFT(B1334,FIND(" v ",B1334)-1))</f>
        <v>Liverpool</v>
      </c>
      <c r="I1334" s="2" t="str">
        <f aca="false">IF(F1334&lt;&gt;"","N",IF(LEFT(B1334,10)="Arsenal v ","H","A"))</f>
        <v>A</v>
      </c>
      <c r="J1334" s="2"/>
    </row>
    <row r="1335" customFormat="false" ht="15" hidden="false" customHeight="false" outlineLevel="0" collapsed="false">
      <c r="A1335" s="3" t="n">
        <v>41167</v>
      </c>
      <c r="B1335" s="2" t="s">
        <v>705</v>
      </c>
      <c r="C1335" s="2" t="s">
        <v>702</v>
      </c>
      <c r="D1335" s="2" t="s">
        <v>491</v>
      </c>
      <c r="E1335" s="2" t="s">
        <v>356</v>
      </c>
      <c r="F1335" s="2"/>
      <c r="G1335" s="2" t="s">
        <v>206</v>
      </c>
      <c r="H1335" s="2" t="str">
        <f aca="false">IF(LEFT(B1335,10)="Arsenal v ",MID(B1335,11,100),LEFT(B1335,FIND(" v ",B1335)-1))</f>
        <v>Southampton</v>
      </c>
      <c r="I1335" s="2" t="str">
        <f aca="false">IF(F1335&lt;&gt;"","N",IF(LEFT(B1335,10)="Arsenal v ","H","A"))</f>
        <v>H</v>
      </c>
      <c r="J1335" s="2"/>
    </row>
    <row r="1336" customFormat="false" ht="15" hidden="false" customHeight="false" outlineLevel="0" collapsed="false">
      <c r="A1336" s="3" t="n">
        <v>41170</v>
      </c>
      <c r="B1336" s="2" t="s">
        <v>498</v>
      </c>
      <c r="C1336" s="2" t="s">
        <v>702</v>
      </c>
      <c r="D1336" s="2" t="s">
        <v>360</v>
      </c>
      <c r="E1336" s="2" t="s">
        <v>352</v>
      </c>
      <c r="F1336" s="2"/>
      <c r="G1336" s="2" t="s">
        <v>206</v>
      </c>
      <c r="H1336" s="2" t="str">
        <f aca="false">IF(LEFT(B1336,10)="Arsenal v ",MID(B1336,11,100),LEFT(B1336,FIND(" v ",B1336)-1))</f>
        <v>Montpellier</v>
      </c>
      <c r="I1336" s="2" t="str">
        <f aca="false">IF(F1336&lt;&gt;"","N",IF(LEFT(B1336,10)="Arsenal v ","H","A"))</f>
        <v>A</v>
      </c>
      <c r="J1336" s="2"/>
    </row>
    <row r="1337" customFormat="false" ht="15" hidden="false" customHeight="false" outlineLevel="0" collapsed="false">
      <c r="A1337" s="3" t="n">
        <v>41175</v>
      </c>
      <c r="B1337" s="2" t="s">
        <v>487</v>
      </c>
      <c r="C1337" s="2" t="s">
        <v>706</v>
      </c>
      <c r="D1337" s="2" t="s">
        <v>361</v>
      </c>
      <c r="E1337" s="2" t="s">
        <v>356</v>
      </c>
      <c r="F1337" s="2"/>
      <c r="G1337" s="2" t="s">
        <v>206</v>
      </c>
      <c r="H1337" s="2" t="str">
        <f aca="false">IF(LEFT(B1337,10)="Arsenal v ",MID(B1337,11,100),LEFT(B1337,FIND(" v ",B1337)-1))</f>
        <v>Manchester City</v>
      </c>
      <c r="I1337" s="2" t="str">
        <f aca="false">IF(F1337&lt;&gt;"","N",IF(LEFT(B1337,10)="Arsenal v ","H","A"))</f>
        <v>A</v>
      </c>
      <c r="J1337" s="2"/>
    </row>
    <row r="1338" customFormat="false" ht="15" hidden="false" customHeight="false" outlineLevel="0" collapsed="false">
      <c r="A1338" s="3" t="n">
        <v>41178</v>
      </c>
      <c r="B1338" s="2" t="s">
        <v>709</v>
      </c>
      <c r="C1338" s="2" t="s">
        <v>702</v>
      </c>
      <c r="D1338" s="2" t="s">
        <v>491</v>
      </c>
      <c r="E1338" s="2" t="s">
        <v>379</v>
      </c>
      <c r="F1338" s="2"/>
      <c r="G1338" s="2" t="s">
        <v>206</v>
      </c>
      <c r="H1338" s="2" t="str">
        <f aca="false">IF(LEFT(B1338,10)="Arsenal v ",MID(B1338,11,100),LEFT(B1338,FIND(" v ",B1338)-1))</f>
        <v>Coventry City</v>
      </c>
      <c r="I1338" s="2" t="str">
        <f aca="false">IF(F1338&lt;&gt;"","N",IF(LEFT(B1338,10)="Arsenal v ","H","A"))</f>
        <v>H</v>
      </c>
      <c r="J1338" s="2"/>
    </row>
    <row r="1339" customFormat="false" ht="15" hidden="false" customHeight="false" outlineLevel="0" collapsed="false">
      <c r="A1339" s="3" t="n">
        <v>41181</v>
      </c>
      <c r="B1339" s="2" t="s">
        <v>725</v>
      </c>
      <c r="C1339" s="2" t="s">
        <v>704</v>
      </c>
      <c r="D1339" s="2" t="s">
        <v>360</v>
      </c>
      <c r="E1339" s="2" t="s">
        <v>356</v>
      </c>
      <c r="F1339" s="2"/>
      <c r="G1339" s="2" t="s">
        <v>206</v>
      </c>
      <c r="H1339" s="2" t="str">
        <f aca="false">IF(LEFT(B1339,10)="Arsenal v ",MID(B1339,11,100),LEFT(B1339,FIND(" v ",B1339)-1))</f>
        <v>Chelsea</v>
      </c>
      <c r="I1339" s="2" t="str">
        <f aca="false">IF(F1339&lt;&gt;"","N",IF(LEFT(B1339,10)="Arsenal v ","H","A"))</f>
        <v>H</v>
      </c>
      <c r="J1339" s="2"/>
    </row>
    <row r="1340" customFormat="false" ht="15" hidden="false" customHeight="false" outlineLevel="0" collapsed="false">
      <c r="A1340" s="3" t="n">
        <v>41185</v>
      </c>
      <c r="B1340" s="2" t="s">
        <v>824</v>
      </c>
      <c r="C1340" s="2" t="s">
        <v>702</v>
      </c>
      <c r="D1340" s="2" t="s">
        <v>377</v>
      </c>
      <c r="E1340" s="2" t="s">
        <v>352</v>
      </c>
      <c r="F1340" s="2"/>
      <c r="G1340" s="2" t="s">
        <v>206</v>
      </c>
      <c r="H1340" s="2" t="str">
        <f aca="false">IF(LEFT(B1340,10)="Arsenal v ",MID(B1340,11,100),LEFT(B1340,FIND(" v ",B1340)-1))</f>
        <v>Olympiakos</v>
      </c>
      <c r="I1340" s="2" t="str">
        <f aca="false">IF(F1340&lt;&gt;"","N",IF(LEFT(B1340,10)="Arsenal v ","H","A"))</f>
        <v>H</v>
      </c>
      <c r="J1340" s="2"/>
    </row>
    <row r="1341" customFormat="false" ht="15" hidden="false" customHeight="false" outlineLevel="0" collapsed="false">
      <c r="A1341" s="3" t="n">
        <v>41188</v>
      </c>
      <c r="B1341" s="2" t="s">
        <v>572</v>
      </c>
      <c r="C1341" s="2" t="s">
        <v>702</v>
      </c>
      <c r="D1341" s="2" t="s">
        <v>373</v>
      </c>
      <c r="E1341" s="2" t="s">
        <v>356</v>
      </c>
      <c r="F1341" s="2"/>
      <c r="G1341" s="2" t="s">
        <v>206</v>
      </c>
      <c r="H1341" s="2" t="str">
        <f aca="false">IF(LEFT(B1341,10)="Arsenal v ",MID(B1341,11,100),LEFT(B1341,FIND(" v ",B1341)-1))</f>
        <v>West Ham United</v>
      </c>
      <c r="I1341" s="2" t="str">
        <f aca="false">IF(F1341&lt;&gt;"","N",IF(LEFT(B1341,10)="Arsenal v ","H","A"))</f>
        <v>A</v>
      </c>
      <c r="J1341" s="2"/>
    </row>
    <row r="1342" customFormat="false" ht="15" hidden="false" customHeight="false" outlineLevel="0" collapsed="false">
      <c r="A1342" s="3" t="n">
        <v>41202</v>
      </c>
      <c r="B1342" s="2" t="s">
        <v>502</v>
      </c>
      <c r="C1342" s="2" t="s">
        <v>704</v>
      </c>
      <c r="D1342" s="2" t="s">
        <v>348</v>
      </c>
      <c r="E1342" s="2" t="s">
        <v>356</v>
      </c>
      <c r="F1342" s="2"/>
      <c r="G1342" s="2" t="s">
        <v>206</v>
      </c>
      <c r="H1342" s="2" t="str">
        <f aca="false">IF(LEFT(B1342,10)="Arsenal v ",MID(B1342,11,100),LEFT(B1342,FIND(" v ",B1342)-1))</f>
        <v>Norwich City</v>
      </c>
      <c r="I1342" s="2" t="str">
        <f aca="false">IF(F1342&lt;&gt;"","N",IF(LEFT(B1342,10)="Arsenal v ","H","A"))</f>
        <v>A</v>
      </c>
      <c r="J1342" s="2"/>
    </row>
    <row r="1343" customFormat="false" ht="15" hidden="false" customHeight="false" outlineLevel="0" collapsed="false">
      <c r="A1343" s="3" t="n">
        <v>41206</v>
      </c>
      <c r="B1343" s="2" t="s">
        <v>779</v>
      </c>
      <c r="C1343" s="2" t="s">
        <v>704</v>
      </c>
      <c r="D1343" s="2" t="s">
        <v>353</v>
      </c>
      <c r="E1343" s="2" t="s">
        <v>352</v>
      </c>
      <c r="F1343" s="2"/>
      <c r="G1343" s="2" t="s">
        <v>206</v>
      </c>
      <c r="H1343" s="2" t="str">
        <f aca="false">IF(LEFT(B1343,10)="Arsenal v ",MID(B1343,11,100),LEFT(B1343,FIND(" v ",B1343)-1))</f>
        <v>Schalke 04</v>
      </c>
      <c r="I1343" s="2" t="str">
        <f aca="false">IF(F1343&lt;&gt;"","N",IF(LEFT(B1343,10)="Arsenal v ","H","A"))</f>
        <v>H</v>
      </c>
      <c r="J1343" s="2"/>
    </row>
    <row r="1344" customFormat="false" ht="15" hidden="false" customHeight="false" outlineLevel="0" collapsed="false">
      <c r="A1344" s="3" t="n">
        <v>41209</v>
      </c>
      <c r="B1344" s="2" t="s">
        <v>708</v>
      </c>
      <c r="C1344" s="2" t="s">
        <v>702</v>
      </c>
      <c r="D1344" s="2" t="s">
        <v>348</v>
      </c>
      <c r="E1344" s="2" t="s">
        <v>356</v>
      </c>
      <c r="F1344" s="2"/>
      <c r="G1344" s="2" t="s">
        <v>206</v>
      </c>
      <c r="H1344" s="2" t="str">
        <f aca="false">IF(LEFT(B1344,10)="Arsenal v ",MID(B1344,11,100),LEFT(B1344,FIND(" v ",B1344)-1))</f>
        <v>Queens Park Rangers</v>
      </c>
      <c r="I1344" s="2" t="str">
        <f aca="false">IF(F1344&lt;&gt;"","N",IF(LEFT(B1344,10)="Arsenal v ","H","A"))</f>
        <v>H</v>
      </c>
      <c r="J1344" s="2"/>
    </row>
    <row r="1345" customFormat="false" ht="15" hidden="false" customHeight="false" outlineLevel="0" collapsed="false">
      <c r="A1345" s="3" t="n">
        <v>41212</v>
      </c>
      <c r="B1345" s="2" t="s">
        <v>530</v>
      </c>
      <c r="C1345" s="2" t="s">
        <v>702</v>
      </c>
      <c r="D1345" s="2" t="s">
        <v>531</v>
      </c>
      <c r="E1345" s="2" t="s">
        <v>379</v>
      </c>
      <c r="F1345" s="2"/>
      <c r="G1345" s="2" t="s">
        <v>206</v>
      </c>
      <c r="H1345" s="2" t="str">
        <f aca="false">IF(LEFT(B1345,10)="Arsenal v ",MID(B1345,11,100),LEFT(B1345,FIND(" v ",B1345)-1))</f>
        <v>Reading</v>
      </c>
      <c r="I1345" s="2" t="str">
        <f aca="false">IF(F1345&lt;&gt;"","N",IF(LEFT(B1345,10)="Arsenal v ","H","A"))</f>
        <v>A</v>
      </c>
      <c r="J1345" s="2"/>
    </row>
    <row r="1346" customFormat="false" ht="15" hidden="false" customHeight="false" outlineLevel="0" collapsed="false">
      <c r="A1346" s="3" t="n">
        <v>41216</v>
      </c>
      <c r="B1346" s="2" t="s">
        <v>490</v>
      </c>
      <c r="C1346" s="2" t="s">
        <v>704</v>
      </c>
      <c r="D1346" s="2" t="s">
        <v>359</v>
      </c>
      <c r="E1346" s="2" t="s">
        <v>356</v>
      </c>
      <c r="F1346" s="2"/>
      <c r="G1346" s="2" t="s">
        <v>206</v>
      </c>
      <c r="H1346" s="2" t="str">
        <f aca="false">IF(LEFT(B1346,10)="Arsenal v ",MID(B1346,11,100),LEFT(B1346,FIND(" v ",B1346)-1))</f>
        <v>Manchester United</v>
      </c>
      <c r="I1346" s="2" t="str">
        <f aca="false">IF(F1346&lt;&gt;"","N",IF(LEFT(B1346,10)="Arsenal v ","H","A"))</f>
        <v>A</v>
      </c>
      <c r="J1346" s="2"/>
    </row>
    <row r="1347" customFormat="false" ht="15" hidden="false" customHeight="false" outlineLevel="0" collapsed="false">
      <c r="A1347" s="3" t="n">
        <v>41219</v>
      </c>
      <c r="B1347" s="2" t="s">
        <v>538</v>
      </c>
      <c r="C1347" s="2" t="s">
        <v>706</v>
      </c>
      <c r="D1347" s="2" t="s">
        <v>380</v>
      </c>
      <c r="E1347" s="2" t="s">
        <v>352</v>
      </c>
      <c r="F1347" s="2"/>
      <c r="G1347" s="2" t="s">
        <v>206</v>
      </c>
      <c r="H1347" s="2" t="str">
        <f aca="false">IF(LEFT(B1347,10)="Arsenal v ",MID(B1347,11,100),LEFT(B1347,FIND(" v ",B1347)-1))</f>
        <v>Schalke 04</v>
      </c>
      <c r="I1347" s="2" t="str">
        <f aca="false">IF(F1347&lt;&gt;"","N",IF(LEFT(B1347,10)="Arsenal v ","H","A"))</f>
        <v>A</v>
      </c>
      <c r="J1347" s="2"/>
    </row>
    <row r="1348" customFormat="false" ht="15" hidden="false" customHeight="false" outlineLevel="0" collapsed="false">
      <c r="A1348" s="3" t="n">
        <v>41223</v>
      </c>
      <c r="B1348" s="2" t="s">
        <v>784</v>
      </c>
      <c r="C1348" s="2" t="s">
        <v>706</v>
      </c>
      <c r="D1348" s="2" t="s">
        <v>358</v>
      </c>
      <c r="E1348" s="2" t="s">
        <v>356</v>
      </c>
      <c r="F1348" s="2"/>
      <c r="G1348" s="2" t="s">
        <v>206</v>
      </c>
      <c r="H1348" s="2" t="str">
        <f aca="false">IF(LEFT(B1348,10)="Arsenal v ",MID(B1348,11,100),LEFT(B1348,FIND(" v ",B1348)-1))</f>
        <v>Fulham</v>
      </c>
      <c r="I1348" s="2" t="str">
        <f aca="false">IF(F1348&lt;&gt;"","N",IF(LEFT(B1348,10)="Arsenal v ","H","A"))</f>
        <v>H</v>
      </c>
      <c r="J1348" s="2"/>
    </row>
    <row r="1349" customFormat="false" ht="15" hidden="false" customHeight="false" outlineLevel="0" collapsed="false">
      <c r="A1349" s="3" t="n">
        <v>41230</v>
      </c>
      <c r="B1349" s="2" t="s">
        <v>655</v>
      </c>
      <c r="C1349" s="2" t="s">
        <v>702</v>
      </c>
      <c r="D1349" s="2" t="s">
        <v>732</v>
      </c>
      <c r="E1349" s="2" t="s">
        <v>356</v>
      </c>
      <c r="F1349" s="2"/>
      <c r="G1349" s="2" t="s">
        <v>206</v>
      </c>
      <c r="H1349" s="2" t="str">
        <f aca="false">IF(LEFT(B1349,10)="Arsenal v ",MID(B1349,11,100),LEFT(B1349,FIND(" v ",B1349)-1))</f>
        <v>Tottenham Hotspur</v>
      </c>
      <c r="I1349" s="2" t="str">
        <f aca="false">IF(F1349&lt;&gt;"","N",IF(LEFT(B1349,10)="Arsenal v ","H","A"))</f>
        <v>H</v>
      </c>
      <c r="J1349" s="2"/>
    </row>
    <row r="1350" customFormat="false" ht="15" hidden="false" customHeight="false" outlineLevel="0" collapsed="false">
      <c r="A1350" s="3" t="n">
        <v>41234</v>
      </c>
      <c r="B1350" s="2" t="s">
        <v>834</v>
      </c>
      <c r="C1350" s="2" t="s">
        <v>702</v>
      </c>
      <c r="D1350" s="2" t="s">
        <v>351</v>
      </c>
      <c r="E1350" s="2" t="s">
        <v>352</v>
      </c>
      <c r="F1350" s="2"/>
      <c r="G1350" s="2" t="s">
        <v>206</v>
      </c>
      <c r="H1350" s="2" t="str">
        <f aca="false">IF(LEFT(B1350,10)="Arsenal v ",MID(B1350,11,100),LEFT(B1350,FIND(" v ",B1350)-1))</f>
        <v>Montpellier</v>
      </c>
      <c r="I1350" s="2" t="str">
        <f aca="false">IF(F1350&lt;&gt;"","N",IF(LEFT(B1350,10)="Arsenal v ","H","A"))</f>
        <v>H</v>
      </c>
      <c r="J1350" s="2"/>
    </row>
    <row r="1351" customFormat="false" ht="15" hidden="false" customHeight="false" outlineLevel="0" collapsed="false">
      <c r="A1351" s="3" t="n">
        <v>41237</v>
      </c>
      <c r="B1351" s="2" t="s">
        <v>376</v>
      </c>
      <c r="C1351" s="2" t="s">
        <v>706</v>
      </c>
      <c r="D1351" s="2" t="s">
        <v>369</v>
      </c>
      <c r="E1351" s="2" t="s">
        <v>356</v>
      </c>
      <c r="F1351" s="2"/>
      <c r="G1351" s="2" t="s">
        <v>206</v>
      </c>
      <c r="H1351" s="2" t="str">
        <f aca="false">IF(LEFT(B1351,10)="Arsenal v ",MID(B1351,11,100),LEFT(B1351,FIND(" v ",B1351)-1))</f>
        <v>Aston Villa</v>
      </c>
      <c r="I1351" s="2" t="str">
        <f aca="false">IF(F1351&lt;&gt;"","N",IF(LEFT(B1351,10)="Arsenal v ","H","A"))</f>
        <v>A</v>
      </c>
      <c r="J1351" s="2"/>
    </row>
    <row r="1352" customFormat="false" ht="15" hidden="false" customHeight="false" outlineLevel="0" collapsed="false">
      <c r="A1352" s="3" t="n">
        <v>41241</v>
      </c>
      <c r="B1352" s="2" t="s">
        <v>448</v>
      </c>
      <c r="C1352" s="2" t="s">
        <v>706</v>
      </c>
      <c r="D1352" s="2" t="s">
        <v>361</v>
      </c>
      <c r="E1352" s="2" t="s">
        <v>356</v>
      </c>
      <c r="F1352" s="2"/>
      <c r="G1352" s="2" t="s">
        <v>206</v>
      </c>
      <c r="H1352" s="2" t="str">
        <f aca="false">IF(LEFT(B1352,10)="Arsenal v ",MID(B1352,11,100),LEFT(B1352,FIND(" v ",B1352)-1))</f>
        <v>Everton</v>
      </c>
      <c r="I1352" s="2" t="str">
        <f aca="false">IF(F1352&lt;&gt;"","N",IF(LEFT(B1352,10)="Arsenal v ","H","A"))</f>
        <v>A</v>
      </c>
      <c r="J1352" s="2"/>
    </row>
    <row r="1353" customFormat="false" ht="15" hidden="false" customHeight="false" outlineLevel="0" collapsed="false">
      <c r="A1353" s="3" t="n">
        <v>41244</v>
      </c>
      <c r="B1353" s="2" t="s">
        <v>831</v>
      </c>
      <c r="C1353" s="2" t="s">
        <v>704</v>
      </c>
      <c r="D1353" s="2" t="s">
        <v>353</v>
      </c>
      <c r="E1353" s="2" t="s">
        <v>356</v>
      </c>
      <c r="F1353" s="2"/>
      <c r="G1353" s="2" t="s">
        <v>206</v>
      </c>
      <c r="H1353" s="2" t="str">
        <f aca="false">IF(LEFT(B1353,10)="Arsenal v ",MID(B1353,11,100),LEFT(B1353,FIND(" v ",B1353)-1))</f>
        <v>Swansea City</v>
      </c>
      <c r="I1353" s="2" t="str">
        <f aca="false">IF(F1353&lt;&gt;"","N",IF(LEFT(B1353,10)="Arsenal v ","H","A"))</f>
        <v>H</v>
      </c>
      <c r="J1353" s="2"/>
    </row>
    <row r="1354" customFormat="false" ht="15" hidden="false" customHeight="false" outlineLevel="0" collapsed="false">
      <c r="A1354" s="3" t="n">
        <v>41247</v>
      </c>
      <c r="B1354" s="2" t="s">
        <v>507</v>
      </c>
      <c r="C1354" s="2" t="s">
        <v>704</v>
      </c>
      <c r="D1354" s="2" t="s">
        <v>359</v>
      </c>
      <c r="E1354" s="2" t="s">
        <v>352</v>
      </c>
      <c r="F1354" s="2"/>
      <c r="G1354" s="2" t="s">
        <v>206</v>
      </c>
      <c r="H1354" s="2" t="str">
        <f aca="false">IF(LEFT(B1354,10)="Arsenal v ",MID(B1354,11,100),LEFT(B1354,FIND(" v ",B1354)-1))</f>
        <v>Olympiakos</v>
      </c>
      <c r="I1354" s="2" t="str">
        <f aca="false">IF(F1354&lt;&gt;"","N",IF(LEFT(B1354,10)="Arsenal v ","H","A"))</f>
        <v>A</v>
      </c>
      <c r="J1354" s="2"/>
    </row>
    <row r="1355" customFormat="false" ht="15" hidden="false" customHeight="false" outlineLevel="0" collapsed="false">
      <c r="A1355" s="3" t="n">
        <v>41251</v>
      </c>
      <c r="B1355" s="2" t="s">
        <v>788</v>
      </c>
      <c r="C1355" s="2" t="s">
        <v>702</v>
      </c>
      <c r="D1355" s="2" t="s">
        <v>351</v>
      </c>
      <c r="E1355" s="2" t="s">
        <v>356</v>
      </c>
      <c r="F1355" s="2"/>
      <c r="G1355" s="2" t="s">
        <v>206</v>
      </c>
      <c r="H1355" s="2" t="str">
        <f aca="false">IF(LEFT(B1355,10)="Arsenal v ",MID(B1355,11,100),LEFT(B1355,FIND(" v ",B1355)-1))</f>
        <v>West Bromwich Albion</v>
      </c>
      <c r="I1355" s="2" t="str">
        <f aca="false">IF(F1355&lt;&gt;"","N",IF(LEFT(B1355,10)="Arsenal v ","H","A"))</f>
        <v>H</v>
      </c>
      <c r="J1355" s="2"/>
    </row>
    <row r="1356" customFormat="false" ht="15" hidden="false" customHeight="false" outlineLevel="0" collapsed="false">
      <c r="A1356" s="3" t="n">
        <v>41254</v>
      </c>
      <c r="B1356" s="2" t="s">
        <v>414</v>
      </c>
      <c r="C1356" s="2" t="s">
        <v>704</v>
      </c>
      <c r="D1356" s="2" t="s">
        <v>415</v>
      </c>
      <c r="E1356" s="2" t="s">
        <v>379</v>
      </c>
      <c r="F1356" s="2"/>
      <c r="G1356" s="2" t="s">
        <v>206</v>
      </c>
      <c r="H1356" s="2" t="str">
        <f aca="false">IF(LEFT(B1356,10)="Arsenal v ",MID(B1356,11,100),LEFT(B1356,FIND(" v ",B1356)-1))</f>
        <v>Bradford City</v>
      </c>
      <c r="I1356" s="2" t="str">
        <f aca="false">IF(F1356&lt;&gt;"","N",IF(LEFT(B1356,10)="Arsenal v ","H","A"))</f>
        <v>A</v>
      </c>
      <c r="J1356" s="2"/>
    </row>
    <row r="1357" customFormat="false" ht="15" hidden="false" customHeight="false" outlineLevel="0" collapsed="false">
      <c r="A1357" s="3" t="n">
        <v>41260</v>
      </c>
      <c r="B1357" s="2" t="s">
        <v>530</v>
      </c>
      <c r="C1357" s="2" t="s">
        <v>702</v>
      </c>
      <c r="D1357" s="2" t="s">
        <v>450</v>
      </c>
      <c r="E1357" s="2" t="s">
        <v>356</v>
      </c>
      <c r="F1357" s="2"/>
      <c r="G1357" s="2" t="s">
        <v>206</v>
      </c>
      <c r="H1357" s="2" t="str">
        <f aca="false">IF(LEFT(B1357,10)="Arsenal v ",MID(B1357,11,100),LEFT(B1357,FIND(" v ",B1357)-1))</f>
        <v>Reading</v>
      </c>
      <c r="I1357" s="2" t="str">
        <f aca="false">IF(F1357&lt;&gt;"","N",IF(LEFT(B1357,10)="Arsenal v ","H","A"))</f>
        <v>A</v>
      </c>
      <c r="J1357" s="2"/>
    </row>
    <row r="1358" customFormat="false" ht="15" hidden="false" customHeight="false" outlineLevel="0" collapsed="false">
      <c r="A1358" s="3" t="n">
        <v>41265</v>
      </c>
      <c r="B1358" s="2" t="s">
        <v>573</v>
      </c>
      <c r="C1358" s="2" t="s">
        <v>702</v>
      </c>
      <c r="D1358" s="2" t="s">
        <v>383</v>
      </c>
      <c r="E1358" s="2" t="s">
        <v>356</v>
      </c>
      <c r="F1358" s="2"/>
      <c r="G1358" s="2" t="s">
        <v>206</v>
      </c>
      <c r="H1358" s="2" t="str">
        <f aca="false">IF(LEFT(B1358,10)="Arsenal v ",MID(B1358,11,100),LEFT(B1358,FIND(" v ",B1358)-1))</f>
        <v>Wigan Athletic</v>
      </c>
      <c r="I1358" s="2" t="str">
        <f aca="false">IF(F1358&lt;&gt;"","N",IF(LEFT(B1358,10)="Arsenal v ","H","A"))</f>
        <v>A</v>
      </c>
      <c r="J1358" s="2"/>
    </row>
    <row r="1359" customFormat="false" ht="15" hidden="false" customHeight="false" outlineLevel="0" collapsed="false">
      <c r="A1359" s="3" t="n">
        <v>41272</v>
      </c>
      <c r="B1359" s="2" t="s">
        <v>719</v>
      </c>
      <c r="C1359" s="2" t="s">
        <v>702</v>
      </c>
      <c r="D1359" s="2" t="s">
        <v>835</v>
      </c>
      <c r="E1359" s="2" t="s">
        <v>356</v>
      </c>
      <c r="F1359" s="2"/>
      <c r="G1359" s="2" t="s">
        <v>206</v>
      </c>
      <c r="H1359" s="2" t="str">
        <f aca="false">IF(LEFT(B1359,10)="Arsenal v ",MID(B1359,11,100),LEFT(B1359,FIND(" v ",B1359)-1))</f>
        <v>Newcastle United</v>
      </c>
      <c r="I1359" s="2" t="str">
        <f aca="false">IF(F1359&lt;&gt;"","N",IF(LEFT(B1359,10)="Arsenal v ","H","A"))</f>
        <v>H</v>
      </c>
      <c r="J1359" s="2"/>
    </row>
    <row r="1360" customFormat="false" ht="15" hidden="false" customHeight="false" outlineLevel="0" collapsed="false">
      <c r="A1360" s="3" t="n">
        <v>41275</v>
      </c>
      <c r="B1360" s="2" t="s">
        <v>546</v>
      </c>
      <c r="C1360" s="2" t="s">
        <v>706</v>
      </c>
      <c r="D1360" s="2" t="s">
        <v>361</v>
      </c>
      <c r="E1360" s="2" t="s">
        <v>356</v>
      </c>
      <c r="F1360" s="2"/>
      <c r="G1360" s="2" t="s">
        <v>206</v>
      </c>
      <c r="H1360" s="2" t="str">
        <f aca="false">IF(LEFT(B1360,10)="Arsenal v ",MID(B1360,11,100),LEFT(B1360,FIND(" v ",B1360)-1))</f>
        <v>Southampton</v>
      </c>
      <c r="I1360" s="2" t="str">
        <f aca="false">IF(F1360&lt;&gt;"","N",IF(LEFT(B1360,10)="Arsenal v ","H","A"))</f>
        <v>A</v>
      </c>
      <c r="J1360" s="2"/>
    </row>
    <row r="1361" customFormat="false" ht="15" hidden="false" customHeight="false" outlineLevel="0" collapsed="false">
      <c r="A1361" s="3" t="n">
        <v>41280</v>
      </c>
      <c r="B1361" s="2" t="s">
        <v>558</v>
      </c>
      <c r="C1361" s="2" t="s">
        <v>706</v>
      </c>
      <c r="D1361" s="2" t="s">
        <v>380</v>
      </c>
      <c r="E1361" s="2" t="s">
        <v>362</v>
      </c>
      <c r="F1361" s="2"/>
      <c r="G1361" s="2" t="s">
        <v>206</v>
      </c>
      <c r="H1361" s="2" t="str">
        <f aca="false">IF(LEFT(B1361,10)="Arsenal v ",MID(B1361,11,100),LEFT(B1361,FIND(" v ",B1361)-1))</f>
        <v>Swansea City</v>
      </c>
      <c r="I1361" s="2" t="str">
        <f aca="false">IF(F1361&lt;&gt;"","N",IF(LEFT(B1361,10)="Arsenal v ","H","A"))</f>
        <v>A</v>
      </c>
      <c r="J1361" s="2"/>
    </row>
    <row r="1362" customFormat="false" ht="15" hidden="false" customHeight="false" outlineLevel="0" collapsed="false">
      <c r="A1362" s="3" t="n">
        <v>41287</v>
      </c>
      <c r="B1362" s="2" t="s">
        <v>657</v>
      </c>
      <c r="C1362" s="2" t="s">
        <v>704</v>
      </c>
      <c r="D1362" s="2" t="s">
        <v>353</v>
      </c>
      <c r="E1362" s="2" t="s">
        <v>356</v>
      </c>
      <c r="F1362" s="2"/>
      <c r="G1362" s="2" t="s">
        <v>206</v>
      </c>
      <c r="H1362" s="2" t="str">
        <f aca="false">IF(LEFT(B1362,10)="Arsenal v ",MID(B1362,11,100),LEFT(B1362,FIND(" v ",B1362)-1))</f>
        <v>Manchester City</v>
      </c>
      <c r="I1362" s="2" t="str">
        <f aca="false">IF(F1362&lt;&gt;"","N",IF(LEFT(B1362,10)="Arsenal v ","H","A"))</f>
        <v>H</v>
      </c>
      <c r="J1362" s="2"/>
    </row>
    <row r="1363" customFormat="false" ht="15" hidden="false" customHeight="false" outlineLevel="0" collapsed="false">
      <c r="A1363" s="3" t="n">
        <v>41290</v>
      </c>
      <c r="B1363" s="2" t="s">
        <v>831</v>
      </c>
      <c r="C1363" s="2" t="s">
        <v>702</v>
      </c>
      <c r="D1363" s="2" t="s">
        <v>348</v>
      </c>
      <c r="E1363" s="2" t="s">
        <v>362</v>
      </c>
      <c r="F1363" s="2"/>
      <c r="G1363" s="2" t="s">
        <v>206</v>
      </c>
      <c r="H1363" s="2" t="str">
        <f aca="false">IF(LEFT(B1363,10)="Arsenal v ",MID(B1363,11,100),LEFT(B1363,FIND(" v ",B1363)-1))</f>
        <v>Swansea City</v>
      </c>
      <c r="I1363" s="2" t="str">
        <f aca="false">IF(F1363&lt;&gt;"","N",IF(LEFT(B1363,10)="Arsenal v ","H","A"))</f>
        <v>H</v>
      </c>
      <c r="J1363" s="2"/>
    </row>
    <row r="1364" customFormat="false" ht="15" hidden="false" customHeight="false" outlineLevel="0" collapsed="false">
      <c r="A1364" s="3" t="n">
        <v>41294</v>
      </c>
      <c r="B1364" s="2" t="s">
        <v>426</v>
      </c>
      <c r="C1364" s="2" t="s">
        <v>704</v>
      </c>
      <c r="D1364" s="2" t="s">
        <v>359</v>
      </c>
      <c r="E1364" s="2" t="s">
        <v>356</v>
      </c>
      <c r="F1364" s="2"/>
      <c r="G1364" s="2" t="s">
        <v>206</v>
      </c>
      <c r="H1364" s="2" t="str">
        <f aca="false">IF(LEFT(B1364,10)="Arsenal v ",MID(B1364,11,100),LEFT(B1364,FIND(" v ",B1364)-1))</f>
        <v>Chelsea</v>
      </c>
      <c r="I1364" s="2" t="str">
        <f aca="false">IF(F1364&lt;&gt;"","N",IF(LEFT(B1364,10)="Arsenal v ","H","A"))</f>
        <v>A</v>
      </c>
      <c r="J1364" s="2"/>
    </row>
    <row r="1365" customFormat="false" ht="15" hidden="false" customHeight="false" outlineLevel="0" collapsed="false">
      <c r="A1365" s="3" t="n">
        <v>41297</v>
      </c>
      <c r="B1365" s="2" t="s">
        <v>712</v>
      </c>
      <c r="C1365" s="2" t="s">
        <v>702</v>
      </c>
      <c r="D1365" s="2" t="s">
        <v>401</v>
      </c>
      <c r="E1365" s="2" t="s">
        <v>356</v>
      </c>
      <c r="F1365" s="2"/>
      <c r="G1365" s="2" t="s">
        <v>206</v>
      </c>
      <c r="H1365" s="2" t="str">
        <f aca="false">IF(LEFT(B1365,10)="Arsenal v ",MID(B1365,11,100),LEFT(B1365,FIND(" v ",B1365)-1))</f>
        <v>West Ham United</v>
      </c>
      <c r="I1365" s="2" t="str">
        <f aca="false">IF(F1365&lt;&gt;"","N",IF(LEFT(B1365,10)="Arsenal v ","H","A"))</f>
        <v>H</v>
      </c>
      <c r="J1365" s="2"/>
    </row>
    <row r="1366" customFormat="false" ht="15" hidden="false" customHeight="false" outlineLevel="0" collapsed="false">
      <c r="A1366" s="3" t="n">
        <v>41300</v>
      </c>
      <c r="B1366" s="2" t="s">
        <v>417</v>
      </c>
      <c r="C1366" s="2" t="s">
        <v>702</v>
      </c>
      <c r="D1366" s="2" t="s">
        <v>366</v>
      </c>
      <c r="E1366" s="2" t="s">
        <v>362</v>
      </c>
      <c r="F1366" s="2"/>
      <c r="G1366" s="2" t="s">
        <v>206</v>
      </c>
      <c r="H1366" s="2" t="str">
        <f aca="false">IF(LEFT(B1366,10)="Arsenal v ",MID(B1366,11,100),LEFT(B1366,FIND(" v ",B1366)-1))</f>
        <v>Brighton and Hove Albion</v>
      </c>
      <c r="I1366" s="2" t="str">
        <f aca="false">IF(F1366&lt;&gt;"","N",IF(LEFT(B1366,10)="Arsenal v ","H","A"))</f>
        <v>A</v>
      </c>
      <c r="J1366" s="2"/>
    </row>
    <row r="1367" customFormat="false" ht="15" hidden="false" customHeight="false" outlineLevel="0" collapsed="false">
      <c r="A1367" s="3" t="n">
        <v>41304</v>
      </c>
      <c r="B1367" s="2" t="s">
        <v>710</v>
      </c>
      <c r="C1367" s="2" t="s">
        <v>706</v>
      </c>
      <c r="D1367" s="2" t="s">
        <v>380</v>
      </c>
      <c r="E1367" s="2" t="s">
        <v>356</v>
      </c>
      <c r="F1367" s="2"/>
      <c r="G1367" s="2" t="s">
        <v>206</v>
      </c>
      <c r="H1367" s="2" t="str">
        <f aca="false">IF(LEFT(B1367,10)="Arsenal v ",MID(B1367,11,100),LEFT(B1367,FIND(" v ",B1367)-1))</f>
        <v>Liverpool</v>
      </c>
      <c r="I1367" s="2" t="str">
        <f aca="false">IF(F1367&lt;&gt;"","N",IF(LEFT(B1367,10)="Arsenal v ","H","A"))</f>
        <v>H</v>
      </c>
      <c r="J1367" s="2"/>
    </row>
    <row r="1368" customFormat="false" ht="15" hidden="false" customHeight="false" outlineLevel="0" collapsed="false">
      <c r="A1368" s="3" t="n">
        <v>41307</v>
      </c>
      <c r="B1368" s="2" t="s">
        <v>757</v>
      </c>
      <c r="C1368" s="2" t="s">
        <v>702</v>
      </c>
      <c r="D1368" s="2" t="s">
        <v>348</v>
      </c>
      <c r="E1368" s="2" t="s">
        <v>356</v>
      </c>
      <c r="F1368" s="2"/>
      <c r="G1368" s="2" t="s">
        <v>206</v>
      </c>
      <c r="H1368" s="2" t="str">
        <f aca="false">IF(LEFT(B1368,10)="Arsenal v ",MID(B1368,11,100),LEFT(B1368,FIND(" v ",B1368)-1))</f>
        <v>Stoke City</v>
      </c>
      <c r="I1368" s="2" t="str">
        <f aca="false">IF(F1368&lt;&gt;"","N",IF(LEFT(B1368,10)="Arsenal v ","H","A"))</f>
        <v>H</v>
      </c>
      <c r="J1368" s="2"/>
    </row>
    <row r="1369" customFormat="false" ht="15" hidden="false" customHeight="false" outlineLevel="0" collapsed="false">
      <c r="A1369" s="3" t="n">
        <v>41314</v>
      </c>
      <c r="B1369" s="2" t="s">
        <v>556</v>
      </c>
      <c r="C1369" s="2" t="s">
        <v>702</v>
      </c>
      <c r="D1369" s="2" t="s">
        <v>383</v>
      </c>
      <c r="E1369" s="2" t="s">
        <v>356</v>
      </c>
      <c r="F1369" s="2"/>
      <c r="G1369" s="2" t="s">
        <v>206</v>
      </c>
      <c r="H1369" s="2" t="str">
        <f aca="false">IF(LEFT(B1369,10)="Arsenal v ",MID(B1369,11,100),LEFT(B1369,FIND(" v ",B1369)-1))</f>
        <v>Sunderland</v>
      </c>
      <c r="I1369" s="2" t="str">
        <f aca="false">IF(F1369&lt;&gt;"","N",IF(LEFT(B1369,10)="Arsenal v ","H","A"))</f>
        <v>A</v>
      </c>
      <c r="J1369" s="2"/>
    </row>
    <row r="1370" customFormat="false" ht="15" hidden="false" customHeight="false" outlineLevel="0" collapsed="false">
      <c r="A1370" s="3" t="n">
        <v>41321</v>
      </c>
      <c r="B1370" s="2" t="s">
        <v>737</v>
      </c>
      <c r="C1370" s="2" t="s">
        <v>704</v>
      </c>
      <c r="D1370" s="2" t="s">
        <v>383</v>
      </c>
      <c r="E1370" s="2" t="s">
        <v>362</v>
      </c>
      <c r="F1370" s="2"/>
      <c r="G1370" s="2" t="s">
        <v>206</v>
      </c>
      <c r="H1370" s="2" t="str">
        <f aca="false">IF(LEFT(B1370,10)="Arsenal v ",MID(B1370,11,100),LEFT(B1370,FIND(" v ",B1370)-1))</f>
        <v>Blackburn Rovers</v>
      </c>
      <c r="I1370" s="2" t="str">
        <f aca="false">IF(F1370&lt;&gt;"","N",IF(LEFT(B1370,10)="Arsenal v ","H","A"))</f>
        <v>H</v>
      </c>
      <c r="J1370" s="2"/>
    </row>
    <row r="1371" customFormat="false" ht="15" hidden="false" customHeight="false" outlineLevel="0" collapsed="false">
      <c r="A1371" s="3" t="n">
        <v>41324</v>
      </c>
      <c r="B1371" s="2" t="s">
        <v>802</v>
      </c>
      <c r="C1371" s="2" t="s">
        <v>704</v>
      </c>
      <c r="D1371" s="2" t="s">
        <v>373</v>
      </c>
      <c r="E1371" s="2" t="s">
        <v>352</v>
      </c>
      <c r="F1371" s="2"/>
      <c r="G1371" s="2" t="s">
        <v>206</v>
      </c>
      <c r="H1371" s="2" t="str">
        <f aca="false">IF(LEFT(B1371,10)="Arsenal v ",MID(B1371,11,100),LEFT(B1371,FIND(" v ",B1371)-1))</f>
        <v>Bayern Munchen</v>
      </c>
      <c r="I1371" s="2" t="str">
        <f aca="false">IF(F1371&lt;&gt;"","N",IF(LEFT(B1371,10)="Arsenal v ","H","A"))</f>
        <v>H</v>
      </c>
      <c r="J1371" s="2"/>
    </row>
    <row r="1372" customFormat="false" ht="15" hidden="false" customHeight="false" outlineLevel="0" collapsed="false">
      <c r="A1372" s="3" t="n">
        <v>41328</v>
      </c>
      <c r="B1372" s="2" t="s">
        <v>703</v>
      </c>
      <c r="C1372" s="2" t="s">
        <v>702</v>
      </c>
      <c r="D1372" s="2" t="s">
        <v>359</v>
      </c>
      <c r="E1372" s="2" t="s">
        <v>356</v>
      </c>
      <c r="F1372" s="2"/>
      <c r="G1372" s="2" t="s">
        <v>206</v>
      </c>
      <c r="H1372" s="2" t="str">
        <f aca="false">IF(LEFT(B1372,10)="Arsenal v ",MID(B1372,11,100),LEFT(B1372,FIND(" v ",B1372)-1))</f>
        <v>Aston Villa</v>
      </c>
      <c r="I1372" s="2" t="str">
        <f aca="false">IF(F1372&lt;&gt;"","N",IF(LEFT(B1372,10)="Arsenal v ","H","A"))</f>
        <v>H</v>
      </c>
      <c r="J1372" s="2"/>
    </row>
    <row r="1373" customFormat="false" ht="15" hidden="false" customHeight="false" outlineLevel="0" collapsed="false">
      <c r="A1373" s="3" t="n">
        <v>41336</v>
      </c>
      <c r="B1373" s="2" t="s">
        <v>561</v>
      </c>
      <c r="C1373" s="2" t="s">
        <v>704</v>
      </c>
      <c r="D1373" s="2" t="s">
        <v>359</v>
      </c>
      <c r="E1373" s="2" t="s">
        <v>356</v>
      </c>
      <c r="F1373" s="2"/>
      <c r="G1373" s="2" t="s">
        <v>206</v>
      </c>
      <c r="H1373" s="2" t="str">
        <f aca="false">IF(LEFT(B1373,10)="Arsenal v ",MID(B1373,11,100),LEFT(B1373,FIND(" v ",B1373)-1))</f>
        <v>Tottenham Hotspur</v>
      </c>
      <c r="I1373" s="2" t="str">
        <f aca="false">IF(F1373&lt;&gt;"","N",IF(LEFT(B1373,10)="Arsenal v ","H","A"))</f>
        <v>A</v>
      </c>
      <c r="J1373" s="2"/>
    </row>
    <row r="1374" customFormat="false" ht="15" hidden="false" customHeight="false" outlineLevel="0" collapsed="false">
      <c r="A1374" s="3" t="n">
        <v>41346</v>
      </c>
      <c r="B1374" s="2" t="s">
        <v>400</v>
      </c>
      <c r="C1374" s="2" t="s">
        <v>702</v>
      </c>
      <c r="D1374" s="2" t="s">
        <v>353</v>
      </c>
      <c r="E1374" s="2" t="s">
        <v>352</v>
      </c>
      <c r="F1374" s="2"/>
      <c r="G1374" s="2" t="s">
        <v>206</v>
      </c>
      <c r="H1374" s="2" t="str">
        <f aca="false">IF(LEFT(B1374,10)="Arsenal v ",MID(B1374,11,100),LEFT(B1374,FIND(" v ",B1374)-1))</f>
        <v>Bayern Munchen</v>
      </c>
      <c r="I1374" s="2" t="str">
        <f aca="false">IF(F1374&lt;&gt;"","N",IF(LEFT(B1374,10)="Arsenal v ","H","A"))</f>
        <v>A</v>
      </c>
      <c r="J1374" s="2"/>
    </row>
    <row r="1375" customFormat="false" ht="15" hidden="false" customHeight="false" outlineLevel="0" collapsed="false">
      <c r="A1375" s="3" t="n">
        <v>41349</v>
      </c>
      <c r="B1375" s="2" t="s">
        <v>558</v>
      </c>
      <c r="C1375" s="2" t="s">
        <v>702</v>
      </c>
      <c r="D1375" s="2" t="s">
        <v>353</v>
      </c>
      <c r="E1375" s="2" t="s">
        <v>356</v>
      </c>
      <c r="F1375" s="2"/>
      <c r="G1375" s="2" t="s">
        <v>206</v>
      </c>
      <c r="H1375" s="2" t="str">
        <f aca="false">IF(LEFT(B1375,10)="Arsenal v ",MID(B1375,11,100),LEFT(B1375,FIND(" v ",B1375)-1))</f>
        <v>Swansea City</v>
      </c>
      <c r="I1375" s="2" t="str">
        <f aca="false">IF(F1375&lt;&gt;"","N",IF(LEFT(B1375,10)="Arsenal v ","H","A"))</f>
        <v>A</v>
      </c>
      <c r="J1375" s="2"/>
    </row>
    <row r="1376" customFormat="false" ht="15" hidden="false" customHeight="false" outlineLevel="0" collapsed="false">
      <c r="A1376" s="3" t="n">
        <v>41363</v>
      </c>
      <c r="B1376" s="2" t="s">
        <v>806</v>
      </c>
      <c r="C1376" s="2" t="s">
        <v>702</v>
      </c>
      <c r="D1376" s="2" t="s">
        <v>397</v>
      </c>
      <c r="E1376" s="2" t="s">
        <v>356</v>
      </c>
      <c r="F1376" s="2"/>
      <c r="G1376" s="2" t="s">
        <v>206</v>
      </c>
      <c r="H1376" s="2" t="str">
        <f aca="false">IF(LEFT(B1376,10)="Arsenal v ",MID(B1376,11,100),LEFT(B1376,FIND(" v ",B1376)-1))</f>
        <v>Reading</v>
      </c>
      <c r="I1376" s="2" t="str">
        <f aca="false">IF(F1376&lt;&gt;"","N",IF(LEFT(B1376,10)="Arsenal v ","H","A"))</f>
        <v>H</v>
      </c>
      <c r="J1376" s="2"/>
    </row>
    <row r="1377" customFormat="false" ht="15" hidden="false" customHeight="false" outlineLevel="0" collapsed="false">
      <c r="A1377" s="3" t="n">
        <v>41370</v>
      </c>
      <c r="B1377" s="2" t="s">
        <v>571</v>
      </c>
      <c r="C1377" s="2" t="s">
        <v>702</v>
      </c>
      <c r="D1377" s="2" t="s">
        <v>360</v>
      </c>
      <c r="E1377" s="2" t="s">
        <v>356</v>
      </c>
      <c r="F1377" s="2"/>
      <c r="G1377" s="2" t="s">
        <v>206</v>
      </c>
      <c r="H1377" s="2" t="str">
        <f aca="false">IF(LEFT(B1377,10)="Arsenal v ",MID(B1377,11,100),LEFT(B1377,FIND(" v ",B1377)-1))</f>
        <v>West Bromwich Albion</v>
      </c>
      <c r="I1377" s="2" t="str">
        <f aca="false">IF(F1377&lt;&gt;"","N",IF(LEFT(B1377,10)="Arsenal v ","H","A"))</f>
        <v>A</v>
      </c>
      <c r="J1377" s="2"/>
    </row>
    <row r="1378" customFormat="false" ht="15" hidden="false" customHeight="false" outlineLevel="0" collapsed="false">
      <c r="A1378" s="3" t="n">
        <v>41377</v>
      </c>
      <c r="B1378" s="2" t="s">
        <v>720</v>
      </c>
      <c r="C1378" s="2" t="s">
        <v>702</v>
      </c>
      <c r="D1378" s="2" t="s">
        <v>377</v>
      </c>
      <c r="E1378" s="2" t="s">
        <v>356</v>
      </c>
      <c r="F1378" s="2"/>
      <c r="G1378" s="2" t="s">
        <v>206</v>
      </c>
      <c r="H1378" s="2" t="str">
        <f aca="false">IF(LEFT(B1378,10)="Arsenal v ",MID(B1378,11,100),LEFT(B1378,FIND(" v ",B1378)-1))</f>
        <v>Norwich City</v>
      </c>
      <c r="I1378" s="2" t="str">
        <f aca="false">IF(F1378&lt;&gt;"","N",IF(LEFT(B1378,10)="Arsenal v ","H","A"))</f>
        <v>H</v>
      </c>
      <c r="J1378" s="2"/>
    </row>
    <row r="1379" customFormat="false" ht="15" hidden="false" customHeight="false" outlineLevel="0" collapsed="false">
      <c r="A1379" s="3" t="n">
        <v>41380</v>
      </c>
      <c r="B1379" s="2" t="s">
        <v>718</v>
      </c>
      <c r="C1379" s="2" t="s">
        <v>706</v>
      </c>
      <c r="D1379" s="2" t="s">
        <v>369</v>
      </c>
      <c r="E1379" s="2" t="s">
        <v>356</v>
      </c>
      <c r="F1379" s="2"/>
      <c r="G1379" s="2" t="s">
        <v>206</v>
      </c>
      <c r="H1379" s="2" t="str">
        <f aca="false">IF(LEFT(B1379,10)="Arsenal v ",MID(B1379,11,100),LEFT(B1379,FIND(" v ",B1379)-1))</f>
        <v>Everton</v>
      </c>
      <c r="I1379" s="2" t="str">
        <f aca="false">IF(F1379&lt;&gt;"","N",IF(LEFT(B1379,10)="Arsenal v ","H","A"))</f>
        <v>H</v>
      </c>
      <c r="J1379" s="2"/>
    </row>
    <row r="1380" customFormat="false" ht="15" hidden="false" customHeight="false" outlineLevel="0" collapsed="false">
      <c r="A1380" s="3" t="n">
        <v>41384</v>
      </c>
      <c r="B1380" s="2" t="s">
        <v>461</v>
      </c>
      <c r="C1380" s="2" t="s">
        <v>702</v>
      </c>
      <c r="D1380" s="2" t="s">
        <v>383</v>
      </c>
      <c r="E1380" s="2" t="s">
        <v>356</v>
      </c>
      <c r="F1380" s="2"/>
      <c r="G1380" s="2" t="s">
        <v>206</v>
      </c>
      <c r="H1380" s="2" t="str">
        <f aca="false">IF(LEFT(B1380,10)="Arsenal v ",MID(B1380,11,100),LEFT(B1380,FIND(" v ",B1380)-1))</f>
        <v>Fulham</v>
      </c>
      <c r="I1380" s="2" t="str">
        <f aca="false">IF(F1380&lt;&gt;"","N",IF(LEFT(B1380,10)="Arsenal v ","H","A"))</f>
        <v>A</v>
      </c>
      <c r="J1380" s="2"/>
    </row>
    <row r="1381" customFormat="false" ht="15" hidden="false" customHeight="false" outlineLevel="0" collapsed="false">
      <c r="A1381" s="3" t="n">
        <v>41392</v>
      </c>
      <c r="B1381" s="2" t="s">
        <v>656</v>
      </c>
      <c r="C1381" s="2" t="s">
        <v>706</v>
      </c>
      <c r="D1381" s="2" t="s">
        <v>361</v>
      </c>
      <c r="E1381" s="2" t="s">
        <v>356</v>
      </c>
      <c r="F1381" s="2"/>
      <c r="G1381" s="2" t="s">
        <v>206</v>
      </c>
      <c r="H1381" s="2" t="str">
        <f aca="false">IF(LEFT(B1381,10)="Arsenal v ",MID(B1381,11,100),LEFT(B1381,FIND(" v ",B1381)-1))</f>
        <v>Manchester United</v>
      </c>
      <c r="I1381" s="2" t="str">
        <f aca="false">IF(F1381&lt;&gt;"","N",IF(LEFT(B1381,10)="Arsenal v ","H","A"))</f>
        <v>H</v>
      </c>
      <c r="J1381" s="2"/>
    </row>
    <row r="1382" customFormat="false" ht="15" hidden="false" customHeight="false" outlineLevel="0" collapsed="false">
      <c r="A1382" s="3" t="n">
        <v>41398</v>
      </c>
      <c r="B1382" s="2" t="s">
        <v>524</v>
      </c>
      <c r="C1382" s="2" t="s">
        <v>702</v>
      </c>
      <c r="D1382" s="2" t="s">
        <v>383</v>
      </c>
      <c r="E1382" s="2" t="s">
        <v>356</v>
      </c>
      <c r="F1382" s="2"/>
      <c r="G1382" s="2" t="s">
        <v>206</v>
      </c>
      <c r="H1382" s="2" t="str">
        <f aca="false">IF(LEFT(B1382,10)="Arsenal v ",MID(B1382,11,100),LEFT(B1382,FIND(" v ",B1382)-1))</f>
        <v>Queens Park Rangers</v>
      </c>
      <c r="I1382" s="2" t="str">
        <f aca="false">IF(F1382&lt;&gt;"","N",IF(LEFT(B1382,10)="Arsenal v ","H","A"))</f>
        <v>A</v>
      </c>
      <c r="J1382" s="2"/>
    </row>
    <row r="1383" customFormat="false" ht="15" hidden="false" customHeight="false" outlineLevel="0" collapsed="false">
      <c r="A1383" s="3" t="n">
        <v>41408</v>
      </c>
      <c r="B1383" s="2" t="s">
        <v>808</v>
      </c>
      <c r="C1383" s="2" t="s">
        <v>702</v>
      </c>
      <c r="D1383" s="2" t="s">
        <v>397</v>
      </c>
      <c r="E1383" s="2" t="s">
        <v>356</v>
      </c>
      <c r="F1383" s="2"/>
      <c r="G1383" s="2" t="s">
        <v>206</v>
      </c>
      <c r="H1383" s="2" t="str">
        <f aca="false">IF(LEFT(B1383,10)="Arsenal v ",MID(B1383,11,100),LEFT(B1383,FIND(" v ",B1383)-1))</f>
        <v>Wigan Athletic</v>
      </c>
      <c r="I1383" s="2" t="str">
        <f aca="false">IF(F1383&lt;&gt;"","N",IF(LEFT(B1383,10)="Arsenal v ","H","A"))</f>
        <v>H</v>
      </c>
      <c r="J1383" s="2"/>
    </row>
    <row r="1384" customFormat="false" ht="15" hidden="false" customHeight="false" outlineLevel="0" collapsed="false">
      <c r="A1384" s="3" t="n">
        <v>41413</v>
      </c>
      <c r="B1384" s="2" t="s">
        <v>501</v>
      </c>
      <c r="C1384" s="2" t="s">
        <v>702</v>
      </c>
      <c r="D1384" s="2" t="s">
        <v>383</v>
      </c>
      <c r="E1384" s="2" t="s">
        <v>356</v>
      </c>
      <c r="F1384" s="2"/>
      <c r="G1384" s="2" t="s">
        <v>206</v>
      </c>
      <c r="H1384" s="2" t="str">
        <f aca="false">IF(LEFT(B1384,10)="Arsenal v ",MID(B1384,11,100),LEFT(B1384,FIND(" v ",B1384)-1))</f>
        <v>Newcastle United</v>
      </c>
      <c r="I1384" s="2" t="str">
        <f aca="false">IF(F1384&lt;&gt;"","N",IF(LEFT(B1384,10)="Arsenal v ","H","A"))</f>
        <v>A</v>
      </c>
      <c r="J1384" s="2"/>
    </row>
    <row r="1385" customFormat="false" ht="15" hidden="false" customHeight="false" outlineLevel="0" collapsed="false">
      <c r="A1385" s="3" t="n">
        <v>41503</v>
      </c>
      <c r="B1385" s="2" t="s">
        <v>703</v>
      </c>
      <c r="C1385" s="2" t="s">
        <v>704</v>
      </c>
      <c r="D1385" s="2" t="s">
        <v>373</v>
      </c>
      <c r="E1385" s="2" t="s">
        <v>356</v>
      </c>
      <c r="F1385" s="2"/>
      <c r="G1385" s="2" t="s">
        <v>385</v>
      </c>
      <c r="H1385" s="2" t="str">
        <f aca="false">IF(LEFT(B1385,10)="Arsenal v ",MID(B1385,11,100),LEFT(B1385,FIND(" v ",B1385)-1))</f>
        <v>Aston Villa</v>
      </c>
      <c r="I1385" s="2" t="str">
        <f aca="false">IF(F1385&lt;&gt;"","N",IF(LEFT(B1385,10)="Arsenal v ","H","A"))</f>
        <v>H</v>
      </c>
      <c r="J1385" s="2"/>
    </row>
    <row r="1386" customFormat="false" ht="15" hidden="false" customHeight="false" outlineLevel="0" collapsed="false">
      <c r="A1386" s="3" t="n">
        <v>41507</v>
      </c>
      <c r="B1386" s="2" t="s">
        <v>457</v>
      </c>
      <c r="C1386" s="2" t="s">
        <v>702</v>
      </c>
      <c r="D1386" s="2" t="s">
        <v>363</v>
      </c>
      <c r="E1386" s="2" t="s">
        <v>352</v>
      </c>
      <c r="F1386" s="2"/>
      <c r="G1386" s="2" t="s">
        <v>385</v>
      </c>
      <c r="H1386" s="2" t="str">
        <f aca="false">IF(LEFT(B1386,10)="Arsenal v ",MID(B1386,11,100),LEFT(B1386,FIND(" v ",B1386)-1))</f>
        <v>Fenerbahce</v>
      </c>
      <c r="I1386" s="2" t="str">
        <f aca="false">IF(F1386&lt;&gt;"","N",IF(LEFT(B1386,10)="Arsenal v ","H","A"))</f>
        <v>A</v>
      </c>
      <c r="J1386" s="2"/>
    </row>
    <row r="1387" customFormat="false" ht="15" hidden="false" customHeight="false" outlineLevel="0" collapsed="false">
      <c r="A1387" s="3" t="n">
        <v>41510</v>
      </c>
      <c r="B1387" s="2" t="s">
        <v>461</v>
      </c>
      <c r="C1387" s="2" t="s">
        <v>702</v>
      </c>
      <c r="D1387" s="2" t="s">
        <v>373</v>
      </c>
      <c r="E1387" s="2" t="s">
        <v>356</v>
      </c>
      <c r="F1387" s="2"/>
      <c r="G1387" s="2" t="s">
        <v>385</v>
      </c>
      <c r="H1387" s="2" t="str">
        <f aca="false">IF(LEFT(B1387,10)="Arsenal v ",MID(B1387,11,100),LEFT(B1387,FIND(" v ",B1387)-1))</f>
        <v>Fulham</v>
      </c>
      <c r="I1387" s="2" t="str">
        <f aca="false">IF(F1387&lt;&gt;"","N",IF(LEFT(B1387,10)="Arsenal v ","H","A"))</f>
        <v>A</v>
      </c>
      <c r="J1387" s="2"/>
    </row>
    <row r="1388" customFormat="false" ht="15" hidden="false" customHeight="false" outlineLevel="0" collapsed="false">
      <c r="A1388" s="3" t="n">
        <v>41513</v>
      </c>
      <c r="B1388" s="2" t="s">
        <v>821</v>
      </c>
      <c r="C1388" s="2" t="s">
        <v>702</v>
      </c>
      <c r="D1388" s="2" t="s">
        <v>351</v>
      </c>
      <c r="E1388" s="2" t="s">
        <v>352</v>
      </c>
      <c r="F1388" s="2"/>
      <c r="G1388" s="2" t="s">
        <v>385</v>
      </c>
      <c r="H1388" s="2" t="str">
        <f aca="false">IF(LEFT(B1388,10)="Arsenal v ",MID(B1388,11,100),LEFT(B1388,FIND(" v ",B1388)-1))</f>
        <v>Fenerbahce</v>
      </c>
      <c r="I1388" s="2" t="str">
        <f aca="false">IF(F1388&lt;&gt;"","N",IF(LEFT(B1388,10)="Arsenal v ","H","A"))</f>
        <v>H</v>
      </c>
      <c r="J1388" s="2"/>
    </row>
    <row r="1389" customFormat="false" ht="15" hidden="false" customHeight="false" outlineLevel="0" collapsed="false">
      <c r="A1389" s="3" t="n">
        <v>41518</v>
      </c>
      <c r="B1389" s="2" t="s">
        <v>655</v>
      </c>
      <c r="C1389" s="2" t="s">
        <v>702</v>
      </c>
      <c r="D1389" s="2" t="s">
        <v>348</v>
      </c>
      <c r="E1389" s="2" t="s">
        <v>356</v>
      </c>
      <c r="F1389" s="2"/>
      <c r="G1389" s="2" t="s">
        <v>385</v>
      </c>
      <c r="H1389" s="2" t="str">
        <f aca="false">IF(LEFT(B1389,10)="Arsenal v ",MID(B1389,11,100),LEFT(B1389,FIND(" v ",B1389)-1))</f>
        <v>Tottenham Hotspur</v>
      </c>
      <c r="I1389" s="2" t="str">
        <f aca="false">IF(F1389&lt;&gt;"","N",IF(LEFT(B1389,10)="Arsenal v ","H","A"))</f>
        <v>H</v>
      </c>
      <c r="J1389" s="2"/>
    </row>
    <row r="1390" customFormat="false" ht="15" hidden="false" customHeight="false" outlineLevel="0" collapsed="false">
      <c r="A1390" s="3" t="n">
        <v>41531</v>
      </c>
      <c r="B1390" s="2" t="s">
        <v>556</v>
      </c>
      <c r="C1390" s="2" t="s">
        <v>702</v>
      </c>
      <c r="D1390" s="2" t="s">
        <v>373</v>
      </c>
      <c r="E1390" s="2" t="s">
        <v>356</v>
      </c>
      <c r="F1390" s="2"/>
      <c r="G1390" s="2" t="s">
        <v>385</v>
      </c>
      <c r="H1390" s="2" t="str">
        <f aca="false">IF(LEFT(B1390,10)="Arsenal v ",MID(B1390,11,100),LEFT(B1390,FIND(" v ",B1390)-1))</f>
        <v>Sunderland</v>
      </c>
      <c r="I1390" s="2" t="str">
        <f aca="false">IF(F1390&lt;&gt;"","N",IF(LEFT(B1390,10)="Arsenal v ","H","A"))</f>
        <v>A</v>
      </c>
      <c r="J1390" s="2"/>
    </row>
    <row r="1391" customFormat="false" ht="15" hidden="false" customHeight="false" outlineLevel="0" collapsed="false">
      <c r="A1391" s="3" t="n">
        <v>41535</v>
      </c>
      <c r="B1391" s="2" t="s">
        <v>509</v>
      </c>
      <c r="C1391" s="2" t="s">
        <v>702</v>
      </c>
      <c r="D1391" s="2" t="s">
        <v>360</v>
      </c>
      <c r="E1391" s="2" t="s">
        <v>352</v>
      </c>
      <c r="F1391" s="2"/>
      <c r="G1391" s="2" t="s">
        <v>385</v>
      </c>
      <c r="H1391" s="2" t="str">
        <f aca="false">IF(LEFT(B1391,10)="Arsenal v ",MID(B1391,11,100),LEFT(B1391,FIND(" v ",B1391)-1))</f>
        <v>Olympique Marseille</v>
      </c>
      <c r="I1391" s="2" t="str">
        <f aca="false">IF(F1391&lt;&gt;"","N",IF(LEFT(B1391,10)="Arsenal v ","H","A"))</f>
        <v>A</v>
      </c>
      <c r="J1391" s="2"/>
    </row>
    <row r="1392" customFormat="false" ht="15" hidden="false" customHeight="false" outlineLevel="0" collapsed="false">
      <c r="A1392" s="3" t="n">
        <v>41539</v>
      </c>
      <c r="B1392" s="2" t="s">
        <v>757</v>
      </c>
      <c r="C1392" s="2" t="s">
        <v>702</v>
      </c>
      <c r="D1392" s="2" t="s">
        <v>377</v>
      </c>
      <c r="E1392" s="2" t="s">
        <v>356</v>
      </c>
      <c r="F1392" s="2"/>
      <c r="G1392" s="2" t="s">
        <v>385</v>
      </c>
      <c r="H1392" s="2" t="str">
        <f aca="false">IF(LEFT(B1392,10)="Arsenal v ",MID(B1392,11,100),LEFT(B1392,FIND(" v ",B1392)-1))</f>
        <v>Stoke City</v>
      </c>
      <c r="I1392" s="2" t="str">
        <f aca="false">IF(F1392&lt;&gt;"","N",IF(LEFT(B1392,10)="Arsenal v ","H","A"))</f>
        <v>H</v>
      </c>
      <c r="J1392" s="2"/>
    </row>
    <row r="1393" customFormat="false" ht="15" hidden="false" customHeight="false" outlineLevel="0" collapsed="false">
      <c r="A1393" s="3" t="n">
        <v>41542</v>
      </c>
      <c r="B1393" s="2" t="s">
        <v>571</v>
      </c>
      <c r="C1393" s="2" t="s">
        <v>702</v>
      </c>
      <c r="D1393" s="2" t="s">
        <v>519</v>
      </c>
      <c r="E1393" s="2" t="s">
        <v>379</v>
      </c>
      <c r="F1393" s="2"/>
      <c r="G1393" s="2" t="s">
        <v>385</v>
      </c>
      <c r="H1393" s="2" t="str">
        <f aca="false">IF(LEFT(B1393,10)="Arsenal v ",MID(B1393,11,100),LEFT(B1393,FIND(" v ",B1393)-1))</f>
        <v>West Bromwich Albion</v>
      </c>
      <c r="I1393" s="2" t="str">
        <f aca="false">IF(F1393&lt;&gt;"","N",IF(LEFT(B1393,10)="Arsenal v ","H","A"))</f>
        <v>A</v>
      </c>
      <c r="J1393" s="2"/>
    </row>
    <row r="1394" customFormat="false" ht="15" hidden="false" customHeight="false" outlineLevel="0" collapsed="false">
      <c r="A1394" s="3" t="n">
        <v>41545</v>
      </c>
      <c r="B1394" s="2" t="s">
        <v>558</v>
      </c>
      <c r="C1394" s="2" t="s">
        <v>702</v>
      </c>
      <c r="D1394" s="2" t="s">
        <v>360</v>
      </c>
      <c r="E1394" s="2" t="s">
        <v>356</v>
      </c>
      <c r="F1394" s="2"/>
      <c r="G1394" s="2" t="s">
        <v>385</v>
      </c>
      <c r="H1394" s="2" t="str">
        <f aca="false">IF(LEFT(B1394,10)="Arsenal v ",MID(B1394,11,100),LEFT(B1394,FIND(" v ",B1394)-1))</f>
        <v>Swansea City</v>
      </c>
      <c r="I1394" s="2" t="str">
        <f aca="false">IF(F1394&lt;&gt;"","N",IF(LEFT(B1394,10)="Arsenal v ","H","A"))</f>
        <v>A</v>
      </c>
      <c r="J1394" s="2"/>
    </row>
    <row r="1395" customFormat="false" ht="15" hidden="false" customHeight="false" outlineLevel="0" collapsed="false">
      <c r="A1395" s="3" t="n">
        <v>41548</v>
      </c>
      <c r="B1395" s="2" t="s">
        <v>836</v>
      </c>
      <c r="C1395" s="2" t="s">
        <v>702</v>
      </c>
      <c r="D1395" s="2" t="s">
        <v>351</v>
      </c>
      <c r="E1395" s="2" t="s">
        <v>352</v>
      </c>
      <c r="F1395" s="2"/>
      <c r="G1395" s="2" t="s">
        <v>385</v>
      </c>
      <c r="H1395" s="2" t="str">
        <f aca="false">IF(LEFT(B1395,10)="Arsenal v ",MID(B1395,11,100),LEFT(B1395,FIND(" v ",B1395)-1))</f>
        <v>Napoli</v>
      </c>
      <c r="I1395" s="2" t="str">
        <f aca="false">IF(F1395&lt;&gt;"","N",IF(LEFT(B1395,10)="Arsenal v ","H","A"))</f>
        <v>H</v>
      </c>
      <c r="J1395" s="2"/>
    </row>
    <row r="1396" customFormat="false" ht="15" hidden="false" customHeight="false" outlineLevel="0" collapsed="false">
      <c r="A1396" s="3" t="n">
        <v>41553</v>
      </c>
      <c r="B1396" s="2" t="s">
        <v>571</v>
      </c>
      <c r="C1396" s="2" t="s">
        <v>706</v>
      </c>
      <c r="D1396" s="2" t="s">
        <v>361</v>
      </c>
      <c r="E1396" s="2" t="s">
        <v>356</v>
      </c>
      <c r="F1396" s="2"/>
      <c r="G1396" s="2" t="s">
        <v>385</v>
      </c>
      <c r="H1396" s="2" t="str">
        <f aca="false">IF(LEFT(B1396,10)="Arsenal v ",MID(B1396,11,100),LEFT(B1396,FIND(" v ",B1396)-1))</f>
        <v>West Bromwich Albion</v>
      </c>
      <c r="I1396" s="2" t="str">
        <f aca="false">IF(F1396&lt;&gt;"","N",IF(LEFT(B1396,10)="Arsenal v ","H","A"))</f>
        <v>A</v>
      </c>
      <c r="J1396" s="2"/>
    </row>
    <row r="1397" customFormat="false" ht="15" hidden="false" customHeight="false" outlineLevel="0" collapsed="false">
      <c r="A1397" s="3" t="n">
        <v>41566</v>
      </c>
      <c r="B1397" s="2" t="s">
        <v>720</v>
      </c>
      <c r="C1397" s="2" t="s">
        <v>702</v>
      </c>
      <c r="D1397" s="2" t="s">
        <v>397</v>
      </c>
      <c r="E1397" s="2" t="s">
        <v>356</v>
      </c>
      <c r="F1397" s="2"/>
      <c r="G1397" s="2" t="s">
        <v>385</v>
      </c>
      <c r="H1397" s="2" t="str">
        <f aca="false">IF(LEFT(B1397,10)="Arsenal v ",MID(B1397,11,100),LEFT(B1397,FIND(" v ",B1397)-1))</f>
        <v>Norwich City</v>
      </c>
      <c r="I1397" s="2" t="str">
        <f aca="false">IF(F1397&lt;&gt;"","N",IF(LEFT(B1397,10)="Arsenal v ","H","A"))</f>
        <v>H</v>
      </c>
      <c r="J1397" s="2"/>
    </row>
    <row r="1398" customFormat="false" ht="15" hidden="false" customHeight="false" outlineLevel="0" collapsed="false">
      <c r="A1398" s="3" t="n">
        <v>41569</v>
      </c>
      <c r="B1398" s="2" t="s">
        <v>789</v>
      </c>
      <c r="C1398" s="2" t="s">
        <v>704</v>
      </c>
      <c r="D1398" s="2" t="s">
        <v>360</v>
      </c>
      <c r="E1398" s="2" t="s">
        <v>352</v>
      </c>
      <c r="F1398" s="2"/>
      <c r="G1398" s="2" t="s">
        <v>385</v>
      </c>
      <c r="H1398" s="2" t="str">
        <f aca="false">IF(LEFT(B1398,10)="Arsenal v ",MID(B1398,11,100),LEFT(B1398,FIND(" v ",B1398)-1))</f>
        <v>Borussia Dortmund</v>
      </c>
      <c r="I1398" s="2" t="str">
        <f aca="false">IF(F1398&lt;&gt;"","N",IF(LEFT(B1398,10)="Arsenal v ","H","A"))</f>
        <v>H</v>
      </c>
      <c r="J1398" s="2"/>
    </row>
    <row r="1399" customFormat="false" ht="15" hidden="false" customHeight="false" outlineLevel="0" collapsed="false">
      <c r="A1399" s="3" t="n">
        <v>41573</v>
      </c>
      <c r="B1399" s="2" t="s">
        <v>433</v>
      </c>
      <c r="C1399" s="2" t="s">
        <v>702</v>
      </c>
      <c r="D1399" s="2" t="s">
        <v>353</v>
      </c>
      <c r="E1399" s="2" t="s">
        <v>356</v>
      </c>
      <c r="F1399" s="2"/>
      <c r="G1399" s="2" t="s">
        <v>385</v>
      </c>
      <c r="H1399" s="2" t="str">
        <f aca="false">IF(LEFT(B1399,10)="Arsenal v ",MID(B1399,11,100),LEFT(B1399,FIND(" v ",B1399)-1))</f>
        <v>Crystal Palace</v>
      </c>
      <c r="I1399" s="2" t="str">
        <f aca="false">IF(F1399&lt;&gt;"","N",IF(LEFT(B1399,10)="Arsenal v ","H","A"))</f>
        <v>A</v>
      </c>
      <c r="J1399" s="2"/>
    </row>
    <row r="1400" customFormat="false" ht="15" hidden="false" customHeight="false" outlineLevel="0" collapsed="false">
      <c r="A1400" s="3" t="n">
        <v>41576</v>
      </c>
      <c r="B1400" s="2" t="s">
        <v>725</v>
      </c>
      <c r="C1400" s="2" t="s">
        <v>704</v>
      </c>
      <c r="D1400" s="2" t="s">
        <v>353</v>
      </c>
      <c r="E1400" s="2" t="s">
        <v>379</v>
      </c>
      <c r="F1400" s="2"/>
      <c r="G1400" s="2" t="s">
        <v>385</v>
      </c>
      <c r="H1400" s="2" t="str">
        <f aca="false">IF(LEFT(B1400,10)="Arsenal v ",MID(B1400,11,100),LEFT(B1400,FIND(" v ",B1400)-1))</f>
        <v>Chelsea</v>
      </c>
      <c r="I1400" s="2" t="str">
        <f aca="false">IF(F1400&lt;&gt;"","N",IF(LEFT(B1400,10)="Arsenal v ","H","A"))</f>
        <v>H</v>
      </c>
      <c r="J1400" s="2"/>
    </row>
    <row r="1401" customFormat="false" ht="15" hidden="false" customHeight="false" outlineLevel="0" collapsed="false">
      <c r="A1401" s="3" t="n">
        <v>41580</v>
      </c>
      <c r="B1401" s="2" t="s">
        <v>710</v>
      </c>
      <c r="C1401" s="2" t="s">
        <v>702</v>
      </c>
      <c r="D1401" s="2" t="s">
        <v>351</v>
      </c>
      <c r="E1401" s="2" t="s">
        <v>356</v>
      </c>
      <c r="F1401" s="2"/>
      <c r="G1401" s="2" t="s">
        <v>385</v>
      </c>
      <c r="H1401" s="2" t="str">
        <f aca="false">IF(LEFT(B1401,10)="Arsenal v ",MID(B1401,11,100),LEFT(B1401,FIND(" v ",B1401)-1))</f>
        <v>Liverpool</v>
      </c>
      <c r="I1401" s="2" t="str">
        <f aca="false">IF(F1401&lt;&gt;"","N",IF(LEFT(B1401,10)="Arsenal v ","H","A"))</f>
        <v>H</v>
      </c>
      <c r="J1401" s="2"/>
    </row>
    <row r="1402" customFormat="false" ht="15" hidden="false" customHeight="false" outlineLevel="0" collapsed="false">
      <c r="A1402" s="3" t="n">
        <v>41584</v>
      </c>
      <c r="B1402" s="2" t="s">
        <v>411</v>
      </c>
      <c r="C1402" s="2" t="s">
        <v>702</v>
      </c>
      <c r="D1402" s="2" t="s">
        <v>383</v>
      </c>
      <c r="E1402" s="2" t="s">
        <v>352</v>
      </c>
      <c r="F1402" s="2"/>
      <c r="G1402" s="2" t="s">
        <v>385</v>
      </c>
      <c r="H1402" s="2" t="str">
        <f aca="false">IF(LEFT(B1402,10)="Arsenal v ",MID(B1402,11,100),LEFT(B1402,FIND(" v ",B1402)-1))</f>
        <v>Borussia Dortmund</v>
      </c>
      <c r="I1402" s="2" t="str">
        <f aca="false">IF(F1402&lt;&gt;"","N",IF(LEFT(B1402,10)="Arsenal v ","H","A"))</f>
        <v>A</v>
      </c>
      <c r="J1402" s="2"/>
    </row>
    <row r="1403" customFormat="false" ht="15" hidden="false" customHeight="false" outlineLevel="0" collapsed="false">
      <c r="A1403" s="3" t="n">
        <v>41588</v>
      </c>
      <c r="B1403" s="2" t="s">
        <v>490</v>
      </c>
      <c r="C1403" s="2" t="s">
        <v>704</v>
      </c>
      <c r="D1403" s="2" t="s">
        <v>348</v>
      </c>
      <c r="E1403" s="2" t="s">
        <v>356</v>
      </c>
      <c r="F1403" s="2"/>
      <c r="G1403" s="2" t="s">
        <v>385</v>
      </c>
      <c r="H1403" s="2" t="str">
        <f aca="false">IF(LEFT(B1403,10)="Arsenal v ",MID(B1403,11,100),LEFT(B1403,FIND(" v ",B1403)-1))</f>
        <v>Manchester United</v>
      </c>
      <c r="I1403" s="2" t="str">
        <f aca="false">IF(F1403&lt;&gt;"","N",IF(LEFT(B1403,10)="Arsenal v ","H","A"))</f>
        <v>A</v>
      </c>
      <c r="J1403" s="2"/>
    </row>
    <row r="1404" customFormat="false" ht="15" hidden="false" customHeight="false" outlineLevel="0" collapsed="false">
      <c r="A1404" s="3" t="n">
        <v>41601</v>
      </c>
      <c r="B1404" s="2" t="s">
        <v>705</v>
      </c>
      <c r="C1404" s="2" t="s">
        <v>702</v>
      </c>
      <c r="D1404" s="2" t="s">
        <v>351</v>
      </c>
      <c r="E1404" s="2" t="s">
        <v>356</v>
      </c>
      <c r="F1404" s="2"/>
      <c r="G1404" s="2" t="s">
        <v>385</v>
      </c>
      <c r="H1404" s="2" t="str">
        <f aca="false">IF(LEFT(B1404,10)="Arsenal v ",MID(B1404,11,100),LEFT(B1404,FIND(" v ",B1404)-1))</f>
        <v>Southampton</v>
      </c>
      <c r="I1404" s="2" t="str">
        <f aca="false">IF(F1404&lt;&gt;"","N",IF(LEFT(B1404,10)="Arsenal v ","H","A"))</f>
        <v>H</v>
      </c>
      <c r="J1404" s="2"/>
    </row>
    <row r="1405" customFormat="false" ht="15" hidden="false" customHeight="false" outlineLevel="0" collapsed="false">
      <c r="A1405" s="3" t="n">
        <v>41604</v>
      </c>
      <c r="B1405" s="2" t="s">
        <v>833</v>
      </c>
      <c r="C1405" s="2" t="s">
        <v>702</v>
      </c>
      <c r="D1405" s="2" t="s">
        <v>351</v>
      </c>
      <c r="E1405" s="2" t="s">
        <v>352</v>
      </c>
      <c r="F1405" s="2"/>
      <c r="G1405" s="2" t="s">
        <v>385</v>
      </c>
      <c r="H1405" s="2" t="str">
        <f aca="false">IF(LEFT(B1405,10)="Arsenal v ",MID(B1405,11,100),LEFT(B1405,FIND(" v ",B1405)-1))</f>
        <v>Olympique Marseille</v>
      </c>
      <c r="I1405" s="2" t="str">
        <f aca="false">IF(F1405&lt;&gt;"","N",IF(LEFT(B1405,10)="Arsenal v ","H","A"))</f>
        <v>H</v>
      </c>
      <c r="J1405" s="2"/>
    </row>
    <row r="1406" customFormat="false" ht="15" hidden="false" customHeight="false" outlineLevel="0" collapsed="false">
      <c r="A1406" s="3" t="n">
        <v>41608</v>
      </c>
      <c r="B1406" s="2" t="s">
        <v>421</v>
      </c>
      <c r="C1406" s="2" t="s">
        <v>702</v>
      </c>
      <c r="D1406" s="2" t="s">
        <v>363</v>
      </c>
      <c r="E1406" s="2" t="s">
        <v>356</v>
      </c>
      <c r="F1406" s="2"/>
      <c r="G1406" s="2" t="s">
        <v>385</v>
      </c>
      <c r="H1406" s="2" t="str">
        <f aca="false">IF(LEFT(B1406,10)="Arsenal v ",MID(B1406,11,100),LEFT(B1406,FIND(" v ",B1406)-1))</f>
        <v>Cardiff City</v>
      </c>
      <c r="I1406" s="2" t="str">
        <f aca="false">IF(F1406&lt;&gt;"","N",IF(LEFT(B1406,10)="Arsenal v ","H","A"))</f>
        <v>A</v>
      </c>
      <c r="J1406" s="2"/>
    </row>
    <row r="1407" customFormat="false" ht="15" hidden="false" customHeight="false" outlineLevel="0" collapsed="false">
      <c r="A1407" s="3" t="n">
        <v>41612</v>
      </c>
      <c r="B1407" s="2" t="s">
        <v>707</v>
      </c>
      <c r="C1407" s="2" t="s">
        <v>702</v>
      </c>
      <c r="D1407" s="2" t="s">
        <v>351</v>
      </c>
      <c r="E1407" s="2" t="s">
        <v>356</v>
      </c>
      <c r="F1407" s="2"/>
      <c r="G1407" s="2" t="s">
        <v>385</v>
      </c>
      <c r="H1407" s="2" t="str">
        <f aca="false">IF(LEFT(B1407,10)="Arsenal v ",MID(B1407,11,100),LEFT(B1407,FIND(" v ",B1407)-1))</f>
        <v>Hull City</v>
      </c>
      <c r="I1407" s="2" t="str">
        <f aca="false">IF(F1407&lt;&gt;"","N",IF(LEFT(B1407,10)="Arsenal v ","H","A"))</f>
        <v>H</v>
      </c>
      <c r="J1407" s="2"/>
    </row>
    <row r="1408" customFormat="false" ht="15" hidden="false" customHeight="false" outlineLevel="0" collapsed="false">
      <c r="A1408" s="3" t="n">
        <v>41616</v>
      </c>
      <c r="B1408" s="2" t="s">
        <v>718</v>
      </c>
      <c r="C1408" s="2" t="s">
        <v>706</v>
      </c>
      <c r="D1408" s="2" t="s">
        <v>361</v>
      </c>
      <c r="E1408" s="2" t="s">
        <v>356</v>
      </c>
      <c r="F1408" s="2"/>
      <c r="G1408" s="2" t="s">
        <v>385</v>
      </c>
      <c r="H1408" s="2" t="str">
        <f aca="false">IF(LEFT(B1408,10)="Arsenal v ",MID(B1408,11,100),LEFT(B1408,FIND(" v ",B1408)-1))</f>
        <v>Everton</v>
      </c>
      <c r="I1408" s="2" t="str">
        <f aca="false">IF(F1408&lt;&gt;"","N",IF(LEFT(B1408,10)="Arsenal v ","H","A"))</f>
        <v>H</v>
      </c>
      <c r="J1408" s="2"/>
    </row>
    <row r="1409" customFormat="false" ht="15" hidden="false" customHeight="false" outlineLevel="0" collapsed="false">
      <c r="A1409" s="3" t="n">
        <v>41619</v>
      </c>
      <c r="B1409" s="2" t="s">
        <v>500</v>
      </c>
      <c r="C1409" s="2" t="s">
        <v>704</v>
      </c>
      <c r="D1409" s="2" t="s">
        <v>351</v>
      </c>
      <c r="E1409" s="2" t="s">
        <v>352</v>
      </c>
      <c r="F1409" s="2"/>
      <c r="G1409" s="2" t="s">
        <v>385</v>
      </c>
      <c r="H1409" s="2" t="str">
        <f aca="false">IF(LEFT(B1409,10)="Arsenal v ",MID(B1409,11,100),LEFT(B1409,FIND(" v ",B1409)-1))</f>
        <v>Napoli</v>
      </c>
      <c r="I1409" s="2" t="str">
        <f aca="false">IF(F1409&lt;&gt;"","N",IF(LEFT(B1409,10)="Arsenal v ","H","A"))</f>
        <v>A</v>
      </c>
      <c r="J1409" s="2"/>
    </row>
    <row r="1410" customFormat="false" ht="15" hidden="false" customHeight="false" outlineLevel="0" collapsed="false">
      <c r="A1410" s="3" t="n">
        <v>41622</v>
      </c>
      <c r="B1410" s="2" t="s">
        <v>487</v>
      </c>
      <c r="C1410" s="2" t="s">
        <v>704</v>
      </c>
      <c r="D1410" s="2" t="s">
        <v>488</v>
      </c>
      <c r="E1410" s="2" t="s">
        <v>356</v>
      </c>
      <c r="F1410" s="2"/>
      <c r="G1410" s="2" t="s">
        <v>385</v>
      </c>
      <c r="H1410" s="2" t="str">
        <f aca="false">IF(LEFT(B1410,10)="Arsenal v ",MID(B1410,11,100),LEFT(B1410,FIND(" v ",B1410)-1))</f>
        <v>Manchester City</v>
      </c>
      <c r="I1410" s="2" t="str">
        <f aca="false">IF(F1410&lt;&gt;"","N",IF(LEFT(B1410,10)="Arsenal v ","H","A"))</f>
        <v>A</v>
      </c>
      <c r="J1410" s="2"/>
    </row>
    <row r="1411" customFormat="false" ht="15" hidden="false" customHeight="false" outlineLevel="0" collapsed="false">
      <c r="A1411" s="3" t="n">
        <v>41631</v>
      </c>
      <c r="B1411" s="2" t="s">
        <v>725</v>
      </c>
      <c r="C1411" s="2" t="s">
        <v>706</v>
      </c>
      <c r="D1411" s="2" t="s">
        <v>369</v>
      </c>
      <c r="E1411" s="2" t="s">
        <v>356</v>
      </c>
      <c r="F1411" s="2"/>
      <c r="G1411" s="2" t="s">
        <v>385</v>
      </c>
      <c r="H1411" s="2" t="str">
        <f aca="false">IF(LEFT(B1411,10)="Arsenal v ",MID(B1411,11,100),LEFT(B1411,FIND(" v ",B1411)-1))</f>
        <v>Chelsea</v>
      </c>
      <c r="I1411" s="2" t="str">
        <f aca="false">IF(F1411&lt;&gt;"","N",IF(LEFT(B1411,10)="Arsenal v ","H","A"))</f>
        <v>H</v>
      </c>
      <c r="J1411" s="2"/>
    </row>
    <row r="1412" customFormat="false" ht="15" hidden="false" customHeight="false" outlineLevel="0" collapsed="false">
      <c r="A1412" s="3" t="n">
        <v>41634</v>
      </c>
      <c r="B1412" s="2" t="s">
        <v>572</v>
      </c>
      <c r="C1412" s="2" t="s">
        <v>702</v>
      </c>
      <c r="D1412" s="2" t="s">
        <v>373</v>
      </c>
      <c r="E1412" s="2" t="s">
        <v>356</v>
      </c>
      <c r="F1412" s="2"/>
      <c r="G1412" s="2" t="s">
        <v>385</v>
      </c>
      <c r="H1412" s="2" t="str">
        <f aca="false">IF(LEFT(B1412,10)="Arsenal v ",MID(B1412,11,100),LEFT(B1412,FIND(" v ",B1412)-1))</f>
        <v>West Ham United</v>
      </c>
      <c r="I1412" s="2" t="str">
        <f aca="false">IF(F1412&lt;&gt;"","N",IF(LEFT(B1412,10)="Arsenal v ","H","A"))</f>
        <v>A</v>
      </c>
      <c r="J1412" s="2"/>
    </row>
    <row r="1413" customFormat="false" ht="15" hidden="false" customHeight="false" outlineLevel="0" collapsed="false">
      <c r="A1413" s="3" t="n">
        <v>41637</v>
      </c>
      <c r="B1413" s="2" t="s">
        <v>501</v>
      </c>
      <c r="C1413" s="2" t="s">
        <v>702</v>
      </c>
      <c r="D1413" s="2" t="s">
        <v>383</v>
      </c>
      <c r="E1413" s="2" t="s">
        <v>356</v>
      </c>
      <c r="F1413" s="2"/>
      <c r="G1413" s="2" t="s">
        <v>385</v>
      </c>
      <c r="H1413" s="2" t="str">
        <f aca="false">IF(LEFT(B1413,10)="Arsenal v ",MID(B1413,11,100),LEFT(B1413,FIND(" v ",B1413)-1))</f>
        <v>Newcastle United</v>
      </c>
      <c r="I1413" s="2" t="str">
        <f aca="false">IF(F1413&lt;&gt;"","N",IF(LEFT(B1413,10)="Arsenal v ","H","A"))</f>
        <v>A</v>
      </c>
      <c r="J1413" s="2"/>
    </row>
    <row r="1414" customFormat="false" ht="15" hidden="false" customHeight="false" outlineLevel="0" collapsed="false">
      <c r="A1414" s="3" t="n">
        <v>41640</v>
      </c>
      <c r="B1414" s="2" t="s">
        <v>807</v>
      </c>
      <c r="C1414" s="2" t="s">
        <v>702</v>
      </c>
      <c r="D1414" s="2" t="s">
        <v>351</v>
      </c>
      <c r="E1414" s="2" t="s">
        <v>356</v>
      </c>
      <c r="F1414" s="2"/>
      <c r="G1414" s="2" t="s">
        <v>385</v>
      </c>
      <c r="H1414" s="2" t="str">
        <f aca="false">IF(LEFT(B1414,10)="Arsenal v ",MID(B1414,11,100),LEFT(B1414,FIND(" v ",B1414)-1))</f>
        <v>Cardiff City</v>
      </c>
      <c r="I1414" s="2" t="str">
        <f aca="false">IF(F1414&lt;&gt;"","N",IF(LEFT(B1414,10)="Arsenal v ","H","A"))</f>
        <v>H</v>
      </c>
      <c r="J1414" s="2"/>
    </row>
    <row r="1415" customFormat="false" ht="15" hidden="false" customHeight="false" outlineLevel="0" collapsed="false">
      <c r="A1415" s="3" t="n">
        <v>41643</v>
      </c>
      <c r="B1415" s="2" t="s">
        <v>655</v>
      </c>
      <c r="C1415" s="2" t="s">
        <v>702</v>
      </c>
      <c r="D1415" s="2" t="s">
        <v>351</v>
      </c>
      <c r="E1415" s="2" t="s">
        <v>362</v>
      </c>
      <c r="F1415" s="2"/>
      <c r="G1415" s="2" t="s">
        <v>385</v>
      </c>
      <c r="H1415" s="2" t="str">
        <f aca="false">IF(LEFT(B1415,10)="Arsenal v ",MID(B1415,11,100),LEFT(B1415,FIND(" v ",B1415)-1))</f>
        <v>Tottenham Hotspur</v>
      </c>
      <c r="I1415" s="2" t="str">
        <f aca="false">IF(F1415&lt;&gt;"","N",IF(LEFT(B1415,10)="Arsenal v ","H","A"))</f>
        <v>H</v>
      </c>
      <c r="J1415" s="2"/>
    </row>
    <row r="1416" customFormat="false" ht="15" hidden="false" customHeight="false" outlineLevel="0" collapsed="false">
      <c r="A1416" s="3" t="n">
        <v>41652</v>
      </c>
      <c r="B1416" s="2" t="s">
        <v>376</v>
      </c>
      <c r="C1416" s="2" t="s">
        <v>702</v>
      </c>
      <c r="D1416" s="2" t="s">
        <v>360</v>
      </c>
      <c r="E1416" s="2" t="s">
        <v>356</v>
      </c>
      <c r="F1416" s="2"/>
      <c r="G1416" s="2" t="s">
        <v>385</v>
      </c>
      <c r="H1416" s="2" t="str">
        <f aca="false">IF(LEFT(B1416,10)="Arsenal v ",MID(B1416,11,100),LEFT(B1416,FIND(" v ",B1416)-1))</f>
        <v>Aston Villa</v>
      </c>
      <c r="I1416" s="2" t="str">
        <f aca="false">IF(F1416&lt;&gt;"","N",IF(LEFT(B1416,10)="Arsenal v ","H","A"))</f>
        <v>A</v>
      </c>
      <c r="J1416" s="2"/>
    </row>
    <row r="1417" customFormat="false" ht="15" hidden="false" customHeight="false" outlineLevel="0" collapsed="false">
      <c r="A1417" s="3" t="n">
        <v>41657</v>
      </c>
      <c r="B1417" s="2" t="s">
        <v>784</v>
      </c>
      <c r="C1417" s="2" t="s">
        <v>702</v>
      </c>
      <c r="D1417" s="2" t="s">
        <v>351</v>
      </c>
      <c r="E1417" s="2" t="s">
        <v>356</v>
      </c>
      <c r="F1417" s="2"/>
      <c r="G1417" s="2" t="s">
        <v>385</v>
      </c>
      <c r="H1417" s="2" t="str">
        <f aca="false">IF(LEFT(B1417,10)="Arsenal v ",MID(B1417,11,100),LEFT(B1417,FIND(" v ",B1417)-1))</f>
        <v>Fulham</v>
      </c>
      <c r="I1417" s="2" t="str">
        <f aca="false">IF(F1417&lt;&gt;"","N",IF(LEFT(B1417,10)="Arsenal v ","H","A"))</f>
        <v>H</v>
      </c>
      <c r="J1417" s="2"/>
    </row>
    <row r="1418" customFormat="false" ht="15" hidden="false" customHeight="false" outlineLevel="0" collapsed="false">
      <c r="A1418" s="3" t="n">
        <v>41663</v>
      </c>
      <c r="B1418" s="2" t="s">
        <v>709</v>
      </c>
      <c r="C1418" s="2" t="s">
        <v>702</v>
      </c>
      <c r="D1418" s="2" t="s">
        <v>354</v>
      </c>
      <c r="E1418" s="2" t="s">
        <v>362</v>
      </c>
      <c r="F1418" s="2"/>
      <c r="G1418" s="2" t="s">
        <v>385</v>
      </c>
      <c r="H1418" s="2" t="str">
        <f aca="false">IF(LEFT(B1418,10)="Arsenal v ",MID(B1418,11,100),LEFT(B1418,FIND(" v ",B1418)-1))</f>
        <v>Coventry City</v>
      </c>
      <c r="I1418" s="2" t="str">
        <f aca="false">IF(F1418&lt;&gt;"","N",IF(LEFT(B1418,10)="Arsenal v ","H","A"))</f>
        <v>H</v>
      </c>
      <c r="J1418" s="2"/>
    </row>
    <row r="1419" customFormat="false" ht="15" hidden="false" customHeight="false" outlineLevel="0" collapsed="false">
      <c r="A1419" s="3" t="n">
        <v>41667</v>
      </c>
      <c r="B1419" s="2" t="s">
        <v>546</v>
      </c>
      <c r="C1419" s="2" t="s">
        <v>706</v>
      </c>
      <c r="D1419" s="2" t="s">
        <v>380</v>
      </c>
      <c r="E1419" s="2" t="s">
        <v>356</v>
      </c>
      <c r="F1419" s="2"/>
      <c r="G1419" s="2" t="s">
        <v>385</v>
      </c>
      <c r="H1419" s="2" t="str">
        <f aca="false">IF(LEFT(B1419,10)="Arsenal v ",MID(B1419,11,100),LEFT(B1419,FIND(" v ",B1419)-1))</f>
        <v>Southampton</v>
      </c>
      <c r="I1419" s="2" t="str">
        <f aca="false">IF(F1419&lt;&gt;"","N",IF(LEFT(B1419,10)="Arsenal v ","H","A"))</f>
        <v>A</v>
      </c>
      <c r="J1419" s="2"/>
    </row>
    <row r="1420" customFormat="false" ht="15" hidden="false" customHeight="false" outlineLevel="0" collapsed="false">
      <c r="A1420" s="3" t="n">
        <v>41672</v>
      </c>
      <c r="B1420" s="2" t="s">
        <v>724</v>
      </c>
      <c r="C1420" s="2" t="s">
        <v>702</v>
      </c>
      <c r="D1420" s="2" t="s">
        <v>351</v>
      </c>
      <c r="E1420" s="2" t="s">
        <v>356</v>
      </c>
      <c r="F1420" s="2"/>
      <c r="G1420" s="2" t="s">
        <v>385</v>
      </c>
      <c r="H1420" s="2" t="str">
        <f aca="false">IF(LEFT(B1420,10)="Arsenal v ",MID(B1420,11,100),LEFT(B1420,FIND(" v ",B1420)-1))</f>
        <v>Crystal Palace</v>
      </c>
      <c r="I1420" s="2" t="str">
        <f aca="false">IF(F1420&lt;&gt;"","N",IF(LEFT(B1420,10)="Arsenal v ","H","A"))</f>
        <v>H</v>
      </c>
      <c r="J1420" s="2"/>
    </row>
    <row r="1421" customFormat="false" ht="15" hidden="false" customHeight="false" outlineLevel="0" collapsed="false">
      <c r="A1421" s="3" t="n">
        <v>41678</v>
      </c>
      <c r="B1421" s="2" t="s">
        <v>477</v>
      </c>
      <c r="C1421" s="2" t="s">
        <v>704</v>
      </c>
      <c r="D1421" s="2" t="s">
        <v>401</v>
      </c>
      <c r="E1421" s="2" t="s">
        <v>356</v>
      </c>
      <c r="F1421" s="2"/>
      <c r="G1421" s="2" t="s">
        <v>385</v>
      </c>
      <c r="H1421" s="2" t="str">
        <f aca="false">IF(LEFT(B1421,10)="Arsenal v ",MID(B1421,11,100),LEFT(B1421,FIND(" v ",B1421)-1))</f>
        <v>Liverpool</v>
      </c>
      <c r="I1421" s="2" t="str">
        <f aca="false">IF(F1421&lt;&gt;"","N",IF(LEFT(B1421,10)="Arsenal v ","H","A"))</f>
        <v>A</v>
      </c>
      <c r="J1421" s="2"/>
    </row>
    <row r="1422" customFormat="false" ht="15" hidden="false" customHeight="false" outlineLevel="0" collapsed="false">
      <c r="A1422" s="3" t="n">
        <v>41682</v>
      </c>
      <c r="B1422" s="2" t="s">
        <v>656</v>
      </c>
      <c r="C1422" s="2" t="s">
        <v>706</v>
      </c>
      <c r="D1422" s="2" t="s">
        <v>369</v>
      </c>
      <c r="E1422" s="2" t="s">
        <v>356</v>
      </c>
      <c r="F1422" s="2"/>
      <c r="G1422" s="2" t="s">
        <v>385</v>
      </c>
      <c r="H1422" s="2" t="str">
        <f aca="false">IF(LEFT(B1422,10)="Arsenal v ",MID(B1422,11,100),LEFT(B1422,FIND(" v ",B1422)-1))</f>
        <v>Manchester United</v>
      </c>
      <c r="I1422" s="2" t="str">
        <f aca="false">IF(F1422&lt;&gt;"","N",IF(LEFT(B1422,10)="Arsenal v ","H","A"))</f>
        <v>H</v>
      </c>
      <c r="J1422" s="2"/>
    </row>
    <row r="1423" customFormat="false" ht="15" hidden="false" customHeight="false" outlineLevel="0" collapsed="false">
      <c r="A1423" s="3" t="n">
        <v>41686</v>
      </c>
      <c r="B1423" s="2" t="s">
        <v>710</v>
      </c>
      <c r="C1423" s="2" t="s">
        <v>702</v>
      </c>
      <c r="D1423" s="2" t="s">
        <v>359</v>
      </c>
      <c r="E1423" s="2" t="s">
        <v>362</v>
      </c>
      <c r="F1423" s="2"/>
      <c r="G1423" s="2" t="s">
        <v>385</v>
      </c>
      <c r="H1423" s="2" t="str">
        <f aca="false">IF(LEFT(B1423,10)="Arsenal v ",MID(B1423,11,100),LEFT(B1423,FIND(" v ",B1423)-1))</f>
        <v>Liverpool</v>
      </c>
      <c r="I1423" s="2" t="str">
        <f aca="false">IF(F1423&lt;&gt;"","N",IF(LEFT(B1423,10)="Arsenal v ","H","A"))</f>
        <v>H</v>
      </c>
      <c r="J1423" s="2"/>
    </row>
    <row r="1424" customFormat="false" ht="15" hidden="false" customHeight="false" outlineLevel="0" collapsed="false">
      <c r="A1424" s="3" t="n">
        <v>41689</v>
      </c>
      <c r="B1424" s="2" t="s">
        <v>802</v>
      </c>
      <c r="C1424" s="2" t="s">
        <v>704</v>
      </c>
      <c r="D1424" s="2" t="s">
        <v>353</v>
      </c>
      <c r="E1424" s="2" t="s">
        <v>352</v>
      </c>
      <c r="F1424" s="2"/>
      <c r="G1424" s="2" t="s">
        <v>385</v>
      </c>
      <c r="H1424" s="2" t="str">
        <f aca="false">IF(LEFT(B1424,10)="Arsenal v ",MID(B1424,11,100),LEFT(B1424,FIND(" v ",B1424)-1))</f>
        <v>Bayern Munchen</v>
      </c>
      <c r="I1424" s="2" t="str">
        <f aca="false">IF(F1424&lt;&gt;"","N",IF(LEFT(B1424,10)="Arsenal v ","H","A"))</f>
        <v>H</v>
      </c>
      <c r="J1424" s="2"/>
    </row>
    <row r="1425" customFormat="false" ht="15" hidden="false" customHeight="false" outlineLevel="0" collapsed="false">
      <c r="A1425" s="3" t="n">
        <v>41692</v>
      </c>
      <c r="B1425" s="2" t="s">
        <v>727</v>
      </c>
      <c r="C1425" s="2" t="s">
        <v>702</v>
      </c>
      <c r="D1425" s="2" t="s">
        <v>397</v>
      </c>
      <c r="E1425" s="2" t="s">
        <v>356</v>
      </c>
      <c r="F1425" s="2"/>
      <c r="G1425" s="2" t="s">
        <v>385</v>
      </c>
      <c r="H1425" s="2" t="str">
        <f aca="false">IF(LEFT(B1425,10)="Arsenal v ",MID(B1425,11,100),LEFT(B1425,FIND(" v ",B1425)-1))</f>
        <v>Sunderland</v>
      </c>
      <c r="I1425" s="2" t="str">
        <f aca="false">IF(F1425&lt;&gt;"","N",IF(LEFT(B1425,10)="Arsenal v ","H","A"))</f>
        <v>H</v>
      </c>
      <c r="J1425" s="2"/>
    </row>
    <row r="1426" customFormat="false" ht="15" hidden="false" customHeight="false" outlineLevel="0" collapsed="false">
      <c r="A1426" s="3" t="n">
        <v>41699</v>
      </c>
      <c r="B1426" s="2" t="s">
        <v>555</v>
      </c>
      <c r="C1426" s="2" t="s">
        <v>704</v>
      </c>
      <c r="D1426" s="2" t="s">
        <v>348</v>
      </c>
      <c r="E1426" s="2" t="s">
        <v>356</v>
      </c>
      <c r="F1426" s="2"/>
      <c r="G1426" s="2" t="s">
        <v>385</v>
      </c>
      <c r="H1426" s="2" t="str">
        <f aca="false">IF(LEFT(B1426,10)="Arsenal v ",MID(B1426,11,100),LEFT(B1426,FIND(" v ",B1426)-1))</f>
        <v>Stoke City</v>
      </c>
      <c r="I1426" s="2" t="str">
        <f aca="false">IF(F1426&lt;&gt;"","N",IF(LEFT(B1426,10)="Arsenal v ","H","A"))</f>
        <v>A</v>
      </c>
      <c r="J1426" s="2"/>
    </row>
    <row r="1427" customFormat="false" ht="15" hidden="false" customHeight="false" outlineLevel="0" collapsed="false">
      <c r="A1427" s="3" t="n">
        <v>41706</v>
      </c>
      <c r="B1427" s="2" t="s">
        <v>718</v>
      </c>
      <c r="C1427" s="2" t="s">
        <v>702</v>
      </c>
      <c r="D1427" s="2" t="s">
        <v>397</v>
      </c>
      <c r="E1427" s="2" t="s">
        <v>362</v>
      </c>
      <c r="F1427" s="2"/>
      <c r="G1427" s="2" t="s">
        <v>385</v>
      </c>
      <c r="H1427" s="2" t="str">
        <f aca="false">IF(LEFT(B1427,10)="Arsenal v ",MID(B1427,11,100),LEFT(B1427,FIND(" v ",B1427)-1))</f>
        <v>Everton</v>
      </c>
      <c r="I1427" s="2" t="str">
        <f aca="false">IF(F1427&lt;&gt;"","N",IF(LEFT(B1427,10)="Arsenal v ","H","A"))</f>
        <v>H</v>
      </c>
      <c r="J1427" s="2"/>
    </row>
    <row r="1428" customFormat="false" ht="15" hidden="false" customHeight="false" outlineLevel="0" collapsed="false">
      <c r="A1428" s="3" t="n">
        <v>41709</v>
      </c>
      <c r="B1428" s="2" t="s">
        <v>400</v>
      </c>
      <c r="C1428" s="2" t="s">
        <v>706</v>
      </c>
      <c r="D1428" s="2" t="s">
        <v>361</v>
      </c>
      <c r="E1428" s="2" t="s">
        <v>352</v>
      </c>
      <c r="F1428" s="2"/>
      <c r="G1428" s="2" t="s">
        <v>385</v>
      </c>
      <c r="H1428" s="2" t="str">
        <f aca="false">IF(LEFT(B1428,10)="Arsenal v ",MID(B1428,11,100),LEFT(B1428,FIND(" v ",B1428)-1))</f>
        <v>Bayern Munchen</v>
      </c>
      <c r="I1428" s="2" t="str">
        <f aca="false">IF(F1428&lt;&gt;"","N",IF(LEFT(B1428,10)="Arsenal v ","H","A"))</f>
        <v>A</v>
      </c>
      <c r="J1428" s="2"/>
    </row>
    <row r="1429" customFormat="false" ht="15" hidden="false" customHeight="false" outlineLevel="0" collapsed="false">
      <c r="A1429" s="3" t="n">
        <v>41714</v>
      </c>
      <c r="B1429" s="2" t="s">
        <v>561</v>
      </c>
      <c r="C1429" s="2" t="s">
        <v>702</v>
      </c>
      <c r="D1429" s="2" t="s">
        <v>383</v>
      </c>
      <c r="E1429" s="2" t="s">
        <v>356</v>
      </c>
      <c r="F1429" s="2"/>
      <c r="G1429" s="2" t="s">
        <v>385</v>
      </c>
      <c r="H1429" s="2" t="str">
        <f aca="false">IF(LEFT(B1429,10)="Arsenal v ",MID(B1429,11,100),LEFT(B1429,FIND(" v ",B1429)-1))</f>
        <v>Tottenham Hotspur</v>
      </c>
      <c r="I1429" s="2" t="str">
        <f aca="false">IF(F1429&lt;&gt;"","N",IF(LEFT(B1429,10)="Arsenal v ","H","A"))</f>
        <v>A</v>
      </c>
      <c r="J1429" s="2"/>
    </row>
    <row r="1430" customFormat="false" ht="15" hidden="false" customHeight="false" outlineLevel="0" collapsed="false">
      <c r="A1430" s="3" t="n">
        <v>41720</v>
      </c>
      <c r="B1430" s="2" t="s">
        <v>426</v>
      </c>
      <c r="C1430" s="2" t="s">
        <v>704</v>
      </c>
      <c r="D1430" s="2" t="s">
        <v>428</v>
      </c>
      <c r="E1430" s="2" t="s">
        <v>356</v>
      </c>
      <c r="F1430" s="2"/>
      <c r="G1430" s="2" t="s">
        <v>385</v>
      </c>
      <c r="H1430" s="2" t="str">
        <f aca="false">IF(LEFT(B1430,10)="Arsenal v ",MID(B1430,11,100),LEFT(B1430,FIND(" v ",B1430)-1))</f>
        <v>Chelsea</v>
      </c>
      <c r="I1430" s="2" t="str">
        <f aca="false">IF(F1430&lt;&gt;"","N",IF(LEFT(B1430,10)="Arsenal v ","H","A"))</f>
        <v>A</v>
      </c>
      <c r="J1430" s="2"/>
    </row>
    <row r="1431" customFormat="false" ht="15" hidden="false" customHeight="false" outlineLevel="0" collapsed="false">
      <c r="A1431" s="3" t="n">
        <v>41723</v>
      </c>
      <c r="B1431" s="2" t="s">
        <v>831</v>
      </c>
      <c r="C1431" s="2" t="s">
        <v>706</v>
      </c>
      <c r="D1431" s="2" t="s">
        <v>380</v>
      </c>
      <c r="E1431" s="2" t="s">
        <v>356</v>
      </c>
      <c r="F1431" s="2"/>
      <c r="G1431" s="2" t="s">
        <v>385</v>
      </c>
      <c r="H1431" s="2" t="str">
        <f aca="false">IF(LEFT(B1431,10)="Arsenal v ",MID(B1431,11,100),LEFT(B1431,FIND(" v ",B1431)-1))</f>
        <v>Swansea City</v>
      </c>
      <c r="I1431" s="2" t="str">
        <f aca="false">IF(F1431&lt;&gt;"","N",IF(LEFT(B1431,10)="Arsenal v ","H","A"))</f>
        <v>H</v>
      </c>
      <c r="J1431" s="2"/>
    </row>
    <row r="1432" customFormat="false" ht="15" hidden="false" customHeight="false" outlineLevel="0" collapsed="false">
      <c r="A1432" s="3" t="n">
        <v>41727</v>
      </c>
      <c r="B1432" s="2" t="s">
        <v>657</v>
      </c>
      <c r="C1432" s="2" t="s">
        <v>706</v>
      </c>
      <c r="D1432" s="2" t="s">
        <v>361</v>
      </c>
      <c r="E1432" s="2" t="s">
        <v>356</v>
      </c>
      <c r="F1432" s="2"/>
      <c r="G1432" s="2" t="s">
        <v>385</v>
      </c>
      <c r="H1432" s="2" t="str">
        <f aca="false">IF(LEFT(B1432,10)="Arsenal v ",MID(B1432,11,100),LEFT(B1432,FIND(" v ",B1432)-1))</f>
        <v>Manchester City</v>
      </c>
      <c r="I1432" s="2" t="str">
        <f aca="false">IF(F1432&lt;&gt;"","N",IF(LEFT(B1432,10)="Arsenal v ","H","A"))</f>
        <v>H</v>
      </c>
      <c r="J1432" s="2"/>
    </row>
    <row r="1433" customFormat="false" ht="15" hidden="false" customHeight="false" outlineLevel="0" collapsed="false">
      <c r="A1433" s="3" t="n">
        <v>41735</v>
      </c>
      <c r="B1433" s="2" t="s">
        <v>448</v>
      </c>
      <c r="C1433" s="2" t="s">
        <v>704</v>
      </c>
      <c r="D1433" s="2" t="s">
        <v>434</v>
      </c>
      <c r="E1433" s="2" t="s">
        <v>356</v>
      </c>
      <c r="F1433" s="2"/>
      <c r="G1433" s="2" t="s">
        <v>385</v>
      </c>
      <c r="H1433" s="2" t="str">
        <f aca="false">IF(LEFT(B1433,10)="Arsenal v ",MID(B1433,11,100),LEFT(B1433,FIND(" v ",B1433)-1))</f>
        <v>Everton</v>
      </c>
      <c r="I1433" s="2" t="str">
        <f aca="false">IF(F1433&lt;&gt;"","N",IF(LEFT(B1433,10)="Arsenal v ","H","A"))</f>
        <v>A</v>
      </c>
      <c r="J1433" s="2"/>
    </row>
    <row r="1434" customFormat="false" ht="15" hidden="false" customHeight="false" outlineLevel="0" collapsed="false">
      <c r="A1434" s="3" t="n">
        <v>41741</v>
      </c>
      <c r="B1434" s="2" t="s">
        <v>808</v>
      </c>
      <c r="C1434" s="2" t="s">
        <v>702</v>
      </c>
      <c r="D1434" s="2" t="s">
        <v>837</v>
      </c>
      <c r="E1434" s="2" t="s">
        <v>362</v>
      </c>
      <c r="F1434" s="2" t="s">
        <v>652</v>
      </c>
      <c r="G1434" s="2" t="s">
        <v>385</v>
      </c>
      <c r="H1434" s="2" t="str">
        <f aca="false">IF(LEFT(B1434,10)="Arsenal v ",MID(B1434,11,100),LEFT(B1434,FIND(" v ",B1434)-1))</f>
        <v>Wigan Athletic</v>
      </c>
      <c r="I1434" s="2" t="str">
        <f aca="false">IF(F1434&lt;&gt;"","N",IF(LEFT(B1434,10)="Arsenal v ","H","A"))</f>
        <v>N</v>
      </c>
      <c r="J1434" s="2"/>
    </row>
    <row r="1435" customFormat="false" ht="15" hidden="false" customHeight="false" outlineLevel="0" collapsed="false">
      <c r="A1435" s="3" t="n">
        <v>41744</v>
      </c>
      <c r="B1435" s="2" t="s">
        <v>712</v>
      </c>
      <c r="C1435" s="2" t="s">
        <v>702</v>
      </c>
      <c r="D1435" s="2" t="s">
        <v>377</v>
      </c>
      <c r="E1435" s="2" t="s">
        <v>356</v>
      </c>
      <c r="F1435" s="2"/>
      <c r="G1435" s="2" t="s">
        <v>385</v>
      </c>
      <c r="H1435" s="2" t="str">
        <f aca="false">IF(LEFT(B1435,10)="Arsenal v ",MID(B1435,11,100),LEFT(B1435,FIND(" v ",B1435)-1))</f>
        <v>West Ham United</v>
      </c>
      <c r="I1435" s="2" t="str">
        <f aca="false">IF(F1435&lt;&gt;"","N",IF(LEFT(B1435,10)="Arsenal v ","H","A"))</f>
        <v>H</v>
      </c>
      <c r="J1435" s="2"/>
    </row>
    <row r="1436" customFormat="false" ht="15" hidden="false" customHeight="false" outlineLevel="0" collapsed="false">
      <c r="A1436" s="3" t="n">
        <v>41749</v>
      </c>
      <c r="B1436" s="2" t="s">
        <v>467</v>
      </c>
      <c r="C1436" s="2" t="s">
        <v>702</v>
      </c>
      <c r="D1436" s="2" t="s">
        <v>363</v>
      </c>
      <c r="E1436" s="2" t="s">
        <v>356</v>
      </c>
      <c r="F1436" s="2"/>
      <c r="G1436" s="2" t="s">
        <v>385</v>
      </c>
      <c r="H1436" s="2" t="str">
        <f aca="false">IF(LEFT(B1436,10)="Arsenal v ",MID(B1436,11,100),LEFT(B1436,FIND(" v ",B1436)-1))</f>
        <v>Hull City</v>
      </c>
      <c r="I1436" s="2" t="str">
        <f aca="false">IF(F1436&lt;&gt;"","N",IF(LEFT(B1436,10)="Arsenal v ","H","A"))</f>
        <v>A</v>
      </c>
      <c r="J1436" s="2"/>
    </row>
    <row r="1437" customFormat="false" ht="15" hidden="false" customHeight="false" outlineLevel="0" collapsed="false">
      <c r="A1437" s="3" t="n">
        <v>41757</v>
      </c>
      <c r="B1437" s="2" t="s">
        <v>719</v>
      </c>
      <c r="C1437" s="2" t="s">
        <v>702</v>
      </c>
      <c r="D1437" s="2" t="s">
        <v>434</v>
      </c>
      <c r="E1437" s="2" t="s">
        <v>356</v>
      </c>
      <c r="F1437" s="2"/>
      <c r="G1437" s="2" t="s">
        <v>385</v>
      </c>
      <c r="H1437" s="2" t="str">
        <f aca="false">IF(LEFT(B1437,10)="Arsenal v ",MID(B1437,11,100),LEFT(B1437,FIND(" v ",B1437)-1))</f>
        <v>Newcastle United</v>
      </c>
      <c r="I1437" s="2" t="str">
        <f aca="false">IF(F1437&lt;&gt;"","N",IF(LEFT(B1437,10)="Arsenal v ","H","A"))</f>
        <v>H</v>
      </c>
      <c r="J1437" s="2"/>
    </row>
    <row r="1438" customFormat="false" ht="15" hidden="false" customHeight="false" outlineLevel="0" collapsed="false">
      <c r="A1438" s="3" t="n">
        <v>41763</v>
      </c>
      <c r="B1438" s="2" t="s">
        <v>788</v>
      </c>
      <c r="C1438" s="2" t="s">
        <v>702</v>
      </c>
      <c r="D1438" s="2" t="s">
        <v>348</v>
      </c>
      <c r="E1438" s="2" t="s">
        <v>356</v>
      </c>
      <c r="F1438" s="2"/>
      <c r="G1438" s="2" t="s">
        <v>385</v>
      </c>
      <c r="H1438" s="2" t="str">
        <f aca="false">IF(LEFT(B1438,10)="Arsenal v ",MID(B1438,11,100),LEFT(B1438,FIND(" v ",B1438)-1))</f>
        <v>West Bromwich Albion</v>
      </c>
      <c r="I1438" s="2" t="str">
        <f aca="false">IF(F1438&lt;&gt;"","N",IF(LEFT(B1438,10)="Arsenal v ","H","A"))</f>
        <v>H</v>
      </c>
      <c r="J1438" s="2"/>
    </row>
    <row r="1439" customFormat="false" ht="15" hidden="false" customHeight="false" outlineLevel="0" collapsed="false">
      <c r="A1439" s="3" t="n">
        <v>41770</v>
      </c>
      <c r="B1439" s="2" t="s">
        <v>502</v>
      </c>
      <c r="C1439" s="2" t="s">
        <v>702</v>
      </c>
      <c r="D1439" s="2" t="s">
        <v>353</v>
      </c>
      <c r="E1439" s="2" t="s">
        <v>356</v>
      </c>
      <c r="F1439" s="2"/>
      <c r="G1439" s="2" t="s">
        <v>385</v>
      </c>
      <c r="H1439" s="2" t="str">
        <f aca="false">IF(LEFT(B1439,10)="Arsenal v ",MID(B1439,11,100),LEFT(B1439,FIND(" v ",B1439)-1))</f>
        <v>Norwich City</v>
      </c>
      <c r="I1439" s="2" t="str">
        <f aca="false">IF(F1439&lt;&gt;"","N",IF(LEFT(B1439,10)="Arsenal v ","H","A"))</f>
        <v>A</v>
      </c>
      <c r="J1439" s="2"/>
    </row>
    <row r="1440" customFormat="false" ht="15" hidden="false" customHeight="false" outlineLevel="0" collapsed="false">
      <c r="A1440" s="3" t="n">
        <v>41776</v>
      </c>
      <c r="B1440" s="2" t="s">
        <v>707</v>
      </c>
      <c r="C1440" s="2" t="s">
        <v>702</v>
      </c>
      <c r="D1440" s="2" t="s">
        <v>382</v>
      </c>
      <c r="E1440" s="2" t="s">
        <v>362</v>
      </c>
      <c r="F1440" s="2" t="s">
        <v>652</v>
      </c>
      <c r="G1440" s="2" t="s">
        <v>385</v>
      </c>
      <c r="H1440" s="2" t="str">
        <f aca="false">IF(LEFT(B1440,10)="Arsenal v ",MID(B1440,11,100),LEFT(B1440,FIND(" v ",B1440)-1))</f>
        <v>Hull City</v>
      </c>
      <c r="I1440" s="2" t="str">
        <f aca="false">IF(F1440&lt;&gt;"","N",IF(LEFT(B1440,10)="Arsenal v ","H","A"))</f>
        <v>N</v>
      </c>
      <c r="J1440" s="2"/>
    </row>
    <row r="1441" customFormat="false" ht="15" hidden="false" customHeight="false" outlineLevel="0" collapsed="false">
      <c r="A1441" s="3" t="n">
        <v>41861</v>
      </c>
      <c r="B1441" s="2" t="s">
        <v>657</v>
      </c>
      <c r="C1441" s="2" t="s">
        <v>702</v>
      </c>
      <c r="D1441" s="2" t="s">
        <v>434</v>
      </c>
      <c r="E1441" s="2" t="s">
        <v>787</v>
      </c>
      <c r="F1441" s="2" t="s">
        <v>652</v>
      </c>
      <c r="G1441" s="2" t="s">
        <v>23</v>
      </c>
      <c r="H1441" s="2" t="str">
        <f aca="false">IF(LEFT(B1441,10)="Arsenal v ",MID(B1441,11,100),LEFT(B1441,FIND(" v ",B1441)-1))</f>
        <v>Manchester City</v>
      </c>
      <c r="I1441" s="2" t="str">
        <f aca="false">IF(F1441&lt;&gt;"","N",IF(LEFT(B1441,10)="Arsenal v ","H","A"))</f>
        <v>N</v>
      </c>
      <c r="J1441" s="2"/>
    </row>
    <row r="1442" customFormat="false" ht="15" hidden="false" customHeight="false" outlineLevel="0" collapsed="false">
      <c r="A1442" s="3" t="n">
        <v>41867</v>
      </c>
      <c r="B1442" s="2" t="s">
        <v>724</v>
      </c>
      <c r="C1442" s="2" t="s">
        <v>702</v>
      </c>
      <c r="D1442" s="2" t="s">
        <v>359</v>
      </c>
      <c r="E1442" s="2" t="s">
        <v>356</v>
      </c>
      <c r="F1442" s="2"/>
      <c r="G1442" s="2" t="s">
        <v>23</v>
      </c>
      <c r="H1442" s="2" t="str">
        <f aca="false">IF(LEFT(B1442,10)="Arsenal v ",MID(B1442,11,100),LEFT(B1442,FIND(" v ",B1442)-1))</f>
        <v>Crystal Palace</v>
      </c>
      <c r="I1442" s="2" t="str">
        <f aca="false">IF(F1442&lt;&gt;"","N",IF(LEFT(B1442,10)="Arsenal v ","H","A"))</f>
        <v>H</v>
      </c>
      <c r="J1442" s="2"/>
    </row>
    <row r="1443" customFormat="false" ht="15" hidden="false" customHeight="false" outlineLevel="0" collapsed="false">
      <c r="A1443" s="3" t="n">
        <v>41870</v>
      </c>
      <c r="B1443" s="2" t="s">
        <v>404</v>
      </c>
      <c r="C1443" s="2" t="s">
        <v>706</v>
      </c>
      <c r="D1443" s="2" t="s">
        <v>369</v>
      </c>
      <c r="E1443" s="2" t="s">
        <v>352</v>
      </c>
      <c r="F1443" s="2"/>
      <c r="G1443" s="2" t="s">
        <v>23</v>
      </c>
      <c r="H1443" s="2" t="str">
        <f aca="false">IF(LEFT(B1443,10)="Arsenal v ",MID(B1443,11,100),LEFT(B1443,FIND(" v ",B1443)-1))</f>
        <v>Besiktas</v>
      </c>
      <c r="I1443" s="2" t="str">
        <f aca="false">IF(F1443&lt;&gt;"","N",IF(LEFT(B1443,10)="Arsenal v ","H","A"))</f>
        <v>A</v>
      </c>
      <c r="J1443" s="2"/>
    </row>
    <row r="1444" customFormat="false" ht="15" hidden="false" customHeight="false" outlineLevel="0" collapsed="false">
      <c r="A1444" s="3" t="n">
        <v>41874</v>
      </c>
      <c r="B1444" s="2" t="s">
        <v>448</v>
      </c>
      <c r="C1444" s="2" t="s">
        <v>706</v>
      </c>
      <c r="D1444" s="2" t="s">
        <v>380</v>
      </c>
      <c r="E1444" s="2" t="s">
        <v>356</v>
      </c>
      <c r="F1444" s="2"/>
      <c r="G1444" s="2" t="s">
        <v>23</v>
      </c>
      <c r="H1444" s="2" t="str">
        <f aca="false">IF(LEFT(B1444,10)="Arsenal v ",MID(B1444,11,100),LEFT(B1444,FIND(" v ",B1444)-1))</f>
        <v>Everton</v>
      </c>
      <c r="I1444" s="2" t="str">
        <f aca="false">IF(F1444&lt;&gt;"","N",IF(LEFT(B1444,10)="Arsenal v ","H","A"))</f>
        <v>A</v>
      </c>
      <c r="J1444" s="2"/>
    </row>
    <row r="1445" customFormat="false" ht="15" hidden="false" customHeight="false" outlineLevel="0" collapsed="false">
      <c r="A1445" s="3" t="n">
        <v>41878</v>
      </c>
      <c r="B1445" s="2" t="s">
        <v>838</v>
      </c>
      <c r="C1445" s="2" t="s">
        <v>702</v>
      </c>
      <c r="D1445" s="2" t="s">
        <v>348</v>
      </c>
      <c r="E1445" s="2" t="s">
        <v>352</v>
      </c>
      <c r="F1445" s="2"/>
      <c r="G1445" s="2" t="s">
        <v>23</v>
      </c>
      <c r="H1445" s="2" t="str">
        <f aca="false">IF(LEFT(B1445,10)="Arsenal v ",MID(B1445,11,100),LEFT(B1445,FIND(" v ",B1445)-1))</f>
        <v>Besiktas</v>
      </c>
      <c r="I1445" s="2" t="str">
        <f aca="false">IF(F1445&lt;&gt;"","N",IF(LEFT(B1445,10)="Arsenal v ","H","A"))</f>
        <v>H</v>
      </c>
      <c r="J1445" s="2"/>
    </row>
    <row r="1446" customFormat="false" ht="15" hidden="false" customHeight="false" outlineLevel="0" collapsed="false">
      <c r="A1446" s="3" t="n">
        <v>41882</v>
      </c>
      <c r="B1446" s="2" t="s">
        <v>474</v>
      </c>
      <c r="C1446" s="2" t="s">
        <v>706</v>
      </c>
      <c r="D1446" s="2" t="s">
        <v>361</v>
      </c>
      <c r="E1446" s="2" t="s">
        <v>356</v>
      </c>
      <c r="F1446" s="2"/>
      <c r="G1446" s="2" t="s">
        <v>23</v>
      </c>
      <c r="H1446" s="2" t="str">
        <f aca="false">IF(LEFT(B1446,10)="Arsenal v ",MID(B1446,11,100),LEFT(B1446,FIND(" v ",B1446)-1))</f>
        <v>Leicester City</v>
      </c>
      <c r="I1446" s="2" t="str">
        <f aca="false">IF(F1446&lt;&gt;"","N",IF(LEFT(B1446,10)="Arsenal v ","H","A"))</f>
        <v>A</v>
      </c>
      <c r="J1446" s="2"/>
    </row>
    <row r="1447" customFormat="false" ht="15" hidden="false" customHeight="false" outlineLevel="0" collapsed="false">
      <c r="A1447" s="3" t="n">
        <v>41895</v>
      </c>
      <c r="B1447" s="2" t="s">
        <v>657</v>
      </c>
      <c r="C1447" s="2" t="s">
        <v>706</v>
      </c>
      <c r="D1447" s="2" t="s">
        <v>380</v>
      </c>
      <c r="E1447" s="2" t="s">
        <v>356</v>
      </c>
      <c r="F1447" s="2"/>
      <c r="G1447" s="2" t="s">
        <v>23</v>
      </c>
      <c r="H1447" s="2" t="str">
        <f aca="false">IF(LEFT(B1447,10)="Arsenal v ",MID(B1447,11,100),LEFT(B1447,FIND(" v ",B1447)-1))</f>
        <v>Manchester City</v>
      </c>
      <c r="I1447" s="2" t="str">
        <f aca="false">IF(F1447&lt;&gt;"","N",IF(LEFT(B1447,10)="Arsenal v ","H","A"))</f>
        <v>H</v>
      </c>
      <c r="J1447" s="2"/>
    </row>
    <row r="1448" customFormat="false" ht="15" hidden="false" customHeight="false" outlineLevel="0" collapsed="false">
      <c r="A1448" s="3" t="n">
        <v>41898</v>
      </c>
      <c r="B1448" s="2" t="s">
        <v>411</v>
      </c>
      <c r="C1448" s="2" t="s">
        <v>704</v>
      </c>
      <c r="D1448" s="2" t="s">
        <v>351</v>
      </c>
      <c r="E1448" s="2" t="s">
        <v>352</v>
      </c>
      <c r="F1448" s="2"/>
      <c r="G1448" s="2" t="s">
        <v>23</v>
      </c>
      <c r="H1448" s="2" t="str">
        <f aca="false">IF(LEFT(B1448,10)="Arsenal v ",MID(B1448,11,100),LEFT(B1448,FIND(" v ",B1448)-1))</f>
        <v>Borussia Dortmund</v>
      </c>
      <c r="I1448" s="2" t="str">
        <f aca="false">IF(F1448&lt;&gt;"","N",IF(LEFT(B1448,10)="Arsenal v ","H","A"))</f>
        <v>A</v>
      </c>
      <c r="J1448" s="2"/>
    </row>
    <row r="1449" customFormat="false" ht="15" hidden="false" customHeight="false" outlineLevel="0" collapsed="false">
      <c r="A1449" s="3" t="n">
        <v>41902</v>
      </c>
      <c r="B1449" s="2" t="s">
        <v>376</v>
      </c>
      <c r="C1449" s="2" t="s">
        <v>702</v>
      </c>
      <c r="D1449" s="2" t="s">
        <v>363</v>
      </c>
      <c r="E1449" s="2" t="s">
        <v>356</v>
      </c>
      <c r="F1449" s="2"/>
      <c r="G1449" s="2" t="s">
        <v>23</v>
      </c>
      <c r="H1449" s="2" t="str">
        <f aca="false">IF(LEFT(B1449,10)="Arsenal v ",MID(B1449,11,100),LEFT(B1449,FIND(" v ",B1449)-1))</f>
        <v>Aston Villa</v>
      </c>
      <c r="I1449" s="2" t="str">
        <f aca="false">IF(F1449&lt;&gt;"","N",IF(LEFT(B1449,10)="Arsenal v ","H","A"))</f>
        <v>A</v>
      </c>
      <c r="J1449" s="2"/>
    </row>
    <row r="1450" customFormat="false" ht="15" hidden="false" customHeight="false" outlineLevel="0" collapsed="false">
      <c r="A1450" s="3" t="n">
        <v>41905</v>
      </c>
      <c r="B1450" s="2" t="s">
        <v>705</v>
      </c>
      <c r="C1450" s="2" t="s">
        <v>704</v>
      </c>
      <c r="D1450" s="2" t="s">
        <v>360</v>
      </c>
      <c r="E1450" s="2" t="s">
        <v>379</v>
      </c>
      <c r="F1450" s="2"/>
      <c r="G1450" s="2" t="s">
        <v>23</v>
      </c>
      <c r="H1450" s="2" t="str">
        <f aca="false">IF(LEFT(B1450,10)="Arsenal v ",MID(B1450,11,100),LEFT(B1450,FIND(" v ",B1450)-1))</f>
        <v>Southampton</v>
      </c>
      <c r="I1450" s="2" t="str">
        <f aca="false">IF(F1450&lt;&gt;"","N",IF(LEFT(B1450,10)="Arsenal v ","H","A"))</f>
        <v>H</v>
      </c>
      <c r="J1450" s="2"/>
    </row>
    <row r="1451" customFormat="false" ht="15" hidden="false" customHeight="false" outlineLevel="0" collapsed="false">
      <c r="A1451" s="3" t="n">
        <v>41909</v>
      </c>
      <c r="B1451" s="2" t="s">
        <v>655</v>
      </c>
      <c r="C1451" s="2" t="s">
        <v>706</v>
      </c>
      <c r="D1451" s="2" t="s">
        <v>361</v>
      </c>
      <c r="E1451" s="2" t="s">
        <v>356</v>
      </c>
      <c r="F1451" s="2"/>
      <c r="G1451" s="2" t="s">
        <v>23</v>
      </c>
      <c r="H1451" s="2" t="str">
        <f aca="false">IF(LEFT(B1451,10)="Arsenal v ",MID(B1451,11,100),LEFT(B1451,FIND(" v ",B1451)-1))</f>
        <v>Tottenham Hotspur</v>
      </c>
      <c r="I1451" s="2" t="str">
        <f aca="false">IF(F1451&lt;&gt;"","N",IF(LEFT(B1451,10)="Arsenal v ","H","A"))</f>
        <v>H</v>
      </c>
      <c r="J1451" s="2"/>
    </row>
    <row r="1452" customFormat="false" ht="15" hidden="false" customHeight="false" outlineLevel="0" collapsed="false">
      <c r="A1452" s="3" t="n">
        <v>41913</v>
      </c>
      <c r="B1452" s="2" t="s">
        <v>770</v>
      </c>
      <c r="C1452" s="2" t="s">
        <v>702</v>
      </c>
      <c r="D1452" s="2" t="s">
        <v>397</v>
      </c>
      <c r="E1452" s="2" t="s">
        <v>352</v>
      </c>
      <c r="F1452" s="2"/>
      <c r="G1452" s="2" t="s">
        <v>23</v>
      </c>
      <c r="H1452" s="2" t="str">
        <f aca="false">IF(LEFT(B1452,10)="Arsenal v ",MID(B1452,11,100),LEFT(B1452,FIND(" v ",B1452)-1))</f>
        <v>Galatasaray</v>
      </c>
      <c r="I1452" s="2" t="str">
        <f aca="false">IF(F1452&lt;&gt;"","N",IF(LEFT(B1452,10)="Arsenal v ","H","A"))</f>
        <v>H</v>
      </c>
      <c r="J1452" s="2"/>
    </row>
    <row r="1453" customFormat="false" ht="15" hidden="false" customHeight="false" outlineLevel="0" collapsed="false">
      <c r="A1453" s="3" t="n">
        <v>41917</v>
      </c>
      <c r="B1453" s="2" t="s">
        <v>426</v>
      </c>
      <c r="C1453" s="2" t="s">
        <v>704</v>
      </c>
      <c r="D1453" s="2" t="s">
        <v>351</v>
      </c>
      <c r="E1453" s="2" t="s">
        <v>356</v>
      </c>
      <c r="F1453" s="2"/>
      <c r="G1453" s="2" t="s">
        <v>23</v>
      </c>
      <c r="H1453" s="2" t="str">
        <f aca="false">IF(LEFT(B1453,10)="Arsenal v ",MID(B1453,11,100),LEFT(B1453,FIND(" v ",B1453)-1))</f>
        <v>Chelsea</v>
      </c>
      <c r="I1453" s="2" t="str">
        <f aca="false">IF(F1453&lt;&gt;"","N",IF(LEFT(B1453,10)="Arsenal v ","H","A"))</f>
        <v>A</v>
      </c>
      <c r="J1453" s="2"/>
    </row>
    <row r="1454" customFormat="false" ht="15" hidden="false" customHeight="false" outlineLevel="0" collapsed="false">
      <c r="A1454" s="3" t="n">
        <v>41930</v>
      </c>
      <c r="B1454" s="2" t="s">
        <v>707</v>
      </c>
      <c r="C1454" s="2" t="s">
        <v>706</v>
      </c>
      <c r="D1454" s="2" t="s">
        <v>380</v>
      </c>
      <c r="E1454" s="2" t="s">
        <v>356</v>
      </c>
      <c r="F1454" s="2"/>
      <c r="G1454" s="2" t="s">
        <v>23</v>
      </c>
      <c r="H1454" s="2" t="str">
        <f aca="false">IF(LEFT(B1454,10)="Arsenal v ",MID(B1454,11,100),LEFT(B1454,FIND(" v ",B1454)-1))</f>
        <v>Hull City</v>
      </c>
      <c r="I1454" s="2" t="str">
        <f aca="false">IF(F1454&lt;&gt;"","N",IF(LEFT(B1454,10)="Arsenal v ","H","A"))</f>
        <v>H</v>
      </c>
      <c r="J1454" s="2"/>
    </row>
    <row r="1455" customFormat="false" ht="15" hidden="false" customHeight="false" outlineLevel="0" collapsed="false">
      <c r="A1455" s="3" t="n">
        <v>41934</v>
      </c>
      <c r="B1455" s="2" t="s">
        <v>370</v>
      </c>
      <c r="C1455" s="2" t="s">
        <v>702</v>
      </c>
      <c r="D1455" s="2" t="s">
        <v>360</v>
      </c>
      <c r="E1455" s="2" t="s">
        <v>352</v>
      </c>
      <c r="F1455" s="2"/>
      <c r="G1455" s="2" t="s">
        <v>23</v>
      </c>
      <c r="H1455" s="2" t="str">
        <f aca="false">IF(LEFT(B1455,10)="Arsenal v ",MID(B1455,11,100),LEFT(B1455,FIND(" v ",B1455)-1))</f>
        <v>Anderlecht</v>
      </c>
      <c r="I1455" s="2" t="str">
        <f aca="false">IF(F1455&lt;&gt;"","N",IF(LEFT(B1455,10)="Arsenal v ","H","A"))</f>
        <v>A</v>
      </c>
      <c r="J1455" s="2"/>
    </row>
    <row r="1456" customFormat="false" ht="15" hidden="false" customHeight="false" outlineLevel="0" collapsed="false">
      <c r="A1456" s="3" t="n">
        <v>41937</v>
      </c>
      <c r="B1456" s="2" t="s">
        <v>556</v>
      </c>
      <c r="C1456" s="2" t="s">
        <v>702</v>
      </c>
      <c r="D1456" s="2" t="s">
        <v>353</v>
      </c>
      <c r="E1456" s="2" t="s">
        <v>356</v>
      </c>
      <c r="F1456" s="2"/>
      <c r="G1456" s="2" t="s">
        <v>23</v>
      </c>
      <c r="H1456" s="2" t="str">
        <f aca="false">IF(LEFT(B1456,10)="Arsenal v ",MID(B1456,11,100),LEFT(B1456,FIND(" v ",B1456)-1))</f>
        <v>Sunderland</v>
      </c>
      <c r="I1456" s="2" t="str">
        <f aca="false">IF(F1456&lt;&gt;"","N",IF(LEFT(B1456,10)="Arsenal v ","H","A"))</f>
        <v>A</v>
      </c>
      <c r="J1456" s="2"/>
    </row>
    <row r="1457" customFormat="false" ht="15" hidden="false" customHeight="false" outlineLevel="0" collapsed="false">
      <c r="A1457" s="3" t="n">
        <v>41944</v>
      </c>
      <c r="B1457" s="2" t="s">
        <v>822</v>
      </c>
      <c r="C1457" s="2" t="s">
        <v>702</v>
      </c>
      <c r="D1457" s="2" t="s">
        <v>434</v>
      </c>
      <c r="E1457" s="2" t="s">
        <v>356</v>
      </c>
      <c r="F1457" s="2"/>
      <c r="G1457" s="2" t="s">
        <v>23</v>
      </c>
      <c r="H1457" s="2" t="str">
        <f aca="false">IF(LEFT(B1457,10)="Arsenal v ",MID(B1457,11,100),LEFT(B1457,FIND(" v ",B1457)-1))</f>
        <v>Burnley</v>
      </c>
      <c r="I1457" s="2" t="str">
        <f aca="false">IF(F1457&lt;&gt;"","N",IF(LEFT(B1457,10)="Arsenal v ","H","A"))</f>
        <v>H</v>
      </c>
      <c r="J1457" s="2"/>
    </row>
    <row r="1458" customFormat="false" ht="15" hidden="false" customHeight="false" outlineLevel="0" collapsed="false">
      <c r="A1458" s="3" t="n">
        <v>41947</v>
      </c>
      <c r="B1458" s="2" t="s">
        <v>839</v>
      </c>
      <c r="C1458" s="2" t="s">
        <v>706</v>
      </c>
      <c r="D1458" s="2" t="s">
        <v>358</v>
      </c>
      <c r="E1458" s="2" t="s">
        <v>352</v>
      </c>
      <c r="F1458" s="2"/>
      <c r="G1458" s="2" t="s">
        <v>23</v>
      </c>
      <c r="H1458" s="2" t="str">
        <f aca="false">IF(LEFT(B1458,10)="Arsenal v ",MID(B1458,11,100),LEFT(B1458,FIND(" v ",B1458)-1))</f>
        <v>Anderlecht</v>
      </c>
      <c r="I1458" s="2" t="str">
        <f aca="false">IF(F1458&lt;&gt;"","N",IF(LEFT(B1458,10)="Arsenal v ","H","A"))</f>
        <v>H</v>
      </c>
      <c r="J1458" s="2"/>
    </row>
    <row r="1459" customFormat="false" ht="15" hidden="false" customHeight="false" outlineLevel="0" collapsed="false">
      <c r="A1459" s="3" t="n">
        <v>41952</v>
      </c>
      <c r="B1459" s="2" t="s">
        <v>558</v>
      </c>
      <c r="C1459" s="2" t="s">
        <v>704</v>
      </c>
      <c r="D1459" s="2" t="s">
        <v>359</v>
      </c>
      <c r="E1459" s="2" t="s">
        <v>356</v>
      </c>
      <c r="F1459" s="2"/>
      <c r="G1459" s="2" t="s">
        <v>23</v>
      </c>
      <c r="H1459" s="2" t="str">
        <f aca="false">IF(LEFT(B1459,10)="Arsenal v ",MID(B1459,11,100),LEFT(B1459,FIND(" v ",B1459)-1))</f>
        <v>Swansea City</v>
      </c>
      <c r="I1459" s="2" t="str">
        <f aca="false">IF(F1459&lt;&gt;"","N",IF(LEFT(B1459,10)="Arsenal v ","H","A"))</f>
        <v>A</v>
      </c>
      <c r="J1459" s="2"/>
    </row>
    <row r="1460" customFormat="false" ht="15" hidden="false" customHeight="false" outlineLevel="0" collapsed="false">
      <c r="A1460" s="3" t="n">
        <v>41965</v>
      </c>
      <c r="B1460" s="2" t="s">
        <v>656</v>
      </c>
      <c r="C1460" s="2" t="s">
        <v>704</v>
      </c>
      <c r="D1460" s="2" t="s">
        <v>360</v>
      </c>
      <c r="E1460" s="2" t="s">
        <v>356</v>
      </c>
      <c r="F1460" s="2"/>
      <c r="G1460" s="2" t="s">
        <v>23</v>
      </c>
      <c r="H1460" s="2" t="str">
        <f aca="false">IF(LEFT(B1460,10)="Arsenal v ",MID(B1460,11,100),LEFT(B1460,FIND(" v ",B1460)-1))</f>
        <v>Manchester United</v>
      </c>
      <c r="I1460" s="2" t="str">
        <f aca="false">IF(F1460&lt;&gt;"","N",IF(LEFT(B1460,10)="Arsenal v ","H","A"))</f>
        <v>H</v>
      </c>
      <c r="J1460" s="2"/>
    </row>
    <row r="1461" customFormat="false" ht="15" hidden="false" customHeight="false" outlineLevel="0" collapsed="false">
      <c r="A1461" s="3" t="n">
        <v>41969</v>
      </c>
      <c r="B1461" s="2" t="s">
        <v>789</v>
      </c>
      <c r="C1461" s="2" t="s">
        <v>702</v>
      </c>
      <c r="D1461" s="2" t="s">
        <v>351</v>
      </c>
      <c r="E1461" s="2" t="s">
        <v>352</v>
      </c>
      <c r="F1461" s="2"/>
      <c r="G1461" s="2" t="s">
        <v>23</v>
      </c>
      <c r="H1461" s="2" t="str">
        <f aca="false">IF(LEFT(B1461,10)="Arsenal v ",MID(B1461,11,100),LEFT(B1461,FIND(" v ",B1461)-1))</f>
        <v>Borussia Dortmund</v>
      </c>
      <c r="I1461" s="2" t="str">
        <f aca="false">IF(F1461&lt;&gt;"","N",IF(LEFT(B1461,10)="Arsenal v ","H","A"))</f>
        <v>H</v>
      </c>
      <c r="J1461" s="2"/>
    </row>
    <row r="1462" customFormat="false" ht="15" hidden="false" customHeight="false" outlineLevel="0" collapsed="false">
      <c r="A1462" s="3" t="n">
        <v>41972</v>
      </c>
      <c r="B1462" s="2" t="s">
        <v>571</v>
      </c>
      <c r="C1462" s="2" t="s">
        <v>702</v>
      </c>
      <c r="D1462" s="2" t="s">
        <v>383</v>
      </c>
      <c r="E1462" s="2" t="s">
        <v>356</v>
      </c>
      <c r="F1462" s="2"/>
      <c r="G1462" s="2" t="s">
        <v>23</v>
      </c>
      <c r="H1462" s="2" t="str">
        <f aca="false">IF(LEFT(B1462,10)="Arsenal v ",MID(B1462,11,100),LEFT(B1462,FIND(" v ",B1462)-1))</f>
        <v>West Bromwich Albion</v>
      </c>
      <c r="I1462" s="2" t="str">
        <f aca="false">IF(F1462&lt;&gt;"","N",IF(LEFT(B1462,10)="Arsenal v ","H","A"))</f>
        <v>A</v>
      </c>
      <c r="J1462" s="2"/>
    </row>
    <row r="1463" customFormat="false" ht="15" hidden="false" customHeight="false" outlineLevel="0" collapsed="false">
      <c r="A1463" s="3" t="n">
        <v>41976</v>
      </c>
      <c r="B1463" s="2" t="s">
        <v>705</v>
      </c>
      <c r="C1463" s="2" t="s">
        <v>702</v>
      </c>
      <c r="D1463" s="2" t="s">
        <v>348</v>
      </c>
      <c r="E1463" s="2" t="s">
        <v>356</v>
      </c>
      <c r="F1463" s="2"/>
      <c r="G1463" s="2" t="s">
        <v>23</v>
      </c>
      <c r="H1463" s="2" t="str">
        <f aca="false">IF(LEFT(B1463,10)="Arsenal v ",MID(B1463,11,100),LEFT(B1463,FIND(" v ",B1463)-1))</f>
        <v>Southampton</v>
      </c>
      <c r="I1463" s="2" t="str">
        <f aca="false">IF(F1463&lt;&gt;"","N",IF(LEFT(B1463,10)="Arsenal v ","H","A"))</f>
        <v>H</v>
      </c>
      <c r="J1463" s="2"/>
    </row>
    <row r="1464" customFormat="false" ht="15" hidden="false" customHeight="false" outlineLevel="0" collapsed="false">
      <c r="A1464" s="3" t="n">
        <v>41979</v>
      </c>
      <c r="B1464" s="2" t="s">
        <v>555</v>
      </c>
      <c r="C1464" s="2" t="s">
        <v>704</v>
      </c>
      <c r="D1464" s="2" t="s">
        <v>382</v>
      </c>
      <c r="E1464" s="2" t="s">
        <v>356</v>
      </c>
      <c r="F1464" s="2"/>
      <c r="G1464" s="2" t="s">
        <v>23</v>
      </c>
      <c r="H1464" s="2" t="str">
        <f aca="false">IF(LEFT(B1464,10)="Arsenal v ",MID(B1464,11,100),LEFT(B1464,FIND(" v ",B1464)-1))</f>
        <v>Stoke City</v>
      </c>
      <c r="I1464" s="2" t="str">
        <f aca="false">IF(F1464&lt;&gt;"","N",IF(LEFT(B1464,10)="Arsenal v ","H","A"))</f>
        <v>A</v>
      </c>
      <c r="J1464" s="2"/>
    </row>
    <row r="1465" customFormat="false" ht="15" hidden="false" customHeight="false" outlineLevel="0" collapsed="false">
      <c r="A1465" s="3" t="n">
        <v>41982</v>
      </c>
      <c r="B1465" s="2" t="s">
        <v>462</v>
      </c>
      <c r="C1465" s="2" t="s">
        <v>702</v>
      </c>
      <c r="D1465" s="2" t="s">
        <v>407</v>
      </c>
      <c r="E1465" s="2" t="s">
        <v>352</v>
      </c>
      <c r="F1465" s="2"/>
      <c r="G1465" s="2" t="s">
        <v>23</v>
      </c>
      <c r="H1465" s="2" t="str">
        <f aca="false">IF(LEFT(B1465,10)="Arsenal v ",MID(B1465,11,100),LEFT(B1465,FIND(" v ",B1465)-1))</f>
        <v>Galatasaray</v>
      </c>
      <c r="I1465" s="2" t="str">
        <f aca="false">IF(F1465&lt;&gt;"","N",IF(LEFT(B1465,10)="Arsenal v ","H","A"))</f>
        <v>A</v>
      </c>
      <c r="J1465" s="2"/>
    </row>
    <row r="1466" customFormat="false" ht="15" hidden="false" customHeight="false" outlineLevel="0" collapsed="false">
      <c r="A1466" s="3" t="n">
        <v>41986</v>
      </c>
      <c r="B1466" s="2" t="s">
        <v>719</v>
      </c>
      <c r="C1466" s="2" t="s">
        <v>702</v>
      </c>
      <c r="D1466" s="2" t="s">
        <v>397</v>
      </c>
      <c r="E1466" s="2" t="s">
        <v>356</v>
      </c>
      <c r="F1466" s="2"/>
      <c r="G1466" s="2" t="s">
        <v>23</v>
      </c>
      <c r="H1466" s="2" t="str">
        <f aca="false">IF(LEFT(B1466,10)="Arsenal v ",MID(B1466,11,100),LEFT(B1466,FIND(" v ",B1466)-1))</f>
        <v>Newcastle United</v>
      </c>
      <c r="I1466" s="2" t="str">
        <f aca="false">IF(F1466&lt;&gt;"","N",IF(LEFT(B1466,10)="Arsenal v ","H","A"))</f>
        <v>H</v>
      </c>
      <c r="J1466" s="2"/>
    </row>
    <row r="1467" customFormat="false" ht="15" hidden="false" customHeight="false" outlineLevel="0" collapsed="false">
      <c r="A1467" s="3" t="n">
        <v>41994</v>
      </c>
      <c r="B1467" s="2" t="s">
        <v>477</v>
      </c>
      <c r="C1467" s="2" t="s">
        <v>706</v>
      </c>
      <c r="D1467" s="2" t="s">
        <v>380</v>
      </c>
      <c r="E1467" s="2" t="s">
        <v>356</v>
      </c>
      <c r="F1467" s="2"/>
      <c r="G1467" s="2" t="s">
        <v>23</v>
      </c>
      <c r="H1467" s="2" t="str">
        <f aca="false">IF(LEFT(B1467,10)="Arsenal v ",MID(B1467,11,100),LEFT(B1467,FIND(" v ",B1467)-1))</f>
        <v>Liverpool</v>
      </c>
      <c r="I1467" s="2" t="str">
        <f aca="false">IF(F1467&lt;&gt;"","N",IF(LEFT(B1467,10)="Arsenal v ","H","A"))</f>
        <v>A</v>
      </c>
      <c r="J1467" s="2"/>
    </row>
    <row r="1468" customFormat="false" ht="15" hidden="false" customHeight="false" outlineLevel="0" collapsed="false">
      <c r="A1468" s="3" t="n">
        <v>41999</v>
      </c>
      <c r="B1468" s="2" t="s">
        <v>708</v>
      </c>
      <c r="C1468" s="2" t="s">
        <v>702</v>
      </c>
      <c r="D1468" s="2" t="s">
        <v>359</v>
      </c>
      <c r="E1468" s="2" t="s">
        <v>356</v>
      </c>
      <c r="F1468" s="2"/>
      <c r="G1468" s="2" t="s">
        <v>23</v>
      </c>
      <c r="H1468" s="2" t="str">
        <f aca="false">IF(LEFT(B1468,10)="Arsenal v ",MID(B1468,11,100),LEFT(B1468,FIND(" v ",B1468)-1))</f>
        <v>Queens Park Rangers</v>
      </c>
      <c r="I1468" s="2" t="str">
        <f aca="false">IF(F1468&lt;&gt;"","N",IF(LEFT(B1468,10)="Arsenal v ","H","A"))</f>
        <v>H</v>
      </c>
      <c r="J1468" s="2"/>
    </row>
    <row r="1469" customFormat="false" ht="15" hidden="false" customHeight="false" outlineLevel="0" collapsed="false">
      <c r="A1469" s="3" t="n">
        <v>42001</v>
      </c>
      <c r="B1469" s="2" t="s">
        <v>572</v>
      </c>
      <c r="C1469" s="2" t="s">
        <v>702</v>
      </c>
      <c r="D1469" s="2" t="s">
        <v>360</v>
      </c>
      <c r="E1469" s="2" t="s">
        <v>356</v>
      </c>
      <c r="F1469" s="2"/>
      <c r="G1469" s="2" t="s">
        <v>23</v>
      </c>
      <c r="H1469" s="2" t="str">
        <f aca="false">IF(LEFT(B1469,10)="Arsenal v ",MID(B1469,11,100),LEFT(B1469,FIND(" v ",B1469)-1))</f>
        <v>West Ham United</v>
      </c>
      <c r="I1469" s="2" t="str">
        <f aca="false">IF(F1469&lt;&gt;"","N",IF(LEFT(B1469,10)="Arsenal v ","H","A"))</f>
        <v>A</v>
      </c>
      <c r="J1469" s="2"/>
    </row>
    <row r="1470" customFormat="false" ht="15" hidden="false" customHeight="false" outlineLevel="0" collapsed="false">
      <c r="A1470" s="3" t="n">
        <v>42005</v>
      </c>
      <c r="B1470" s="2" t="s">
        <v>546</v>
      </c>
      <c r="C1470" s="2" t="s">
        <v>704</v>
      </c>
      <c r="D1470" s="2" t="s">
        <v>351</v>
      </c>
      <c r="E1470" s="2" t="s">
        <v>356</v>
      </c>
      <c r="F1470" s="2"/>
      <c r="G1470" s="2" t="s">
        <v>23</v>
      </c>
      <c r="H1470" s="2" t="str">
        <f aca="false">IF(LEFT(B1470,10)="Arsenal v ",MID(B1470,11,100),LEFT(B1470,FIND(" v ",B1470)-1))</f>
        <v>Southampton</v>
      </c>
      <c r="I1470" s="2" t="str">
        <f aca="false">IF(F1470&lt;&gt;"","N",IF(LEFT(B1470,10)="Arsenal v ","H","A"))</f>
        <v>A</v>
      </c>
      <c r="J1470" s="2"/>
    </row>
    <row r="1471" customFormat="false" ht="15" hidden="false" customHeight="false" outlineLevel="0" collapsed="false">
      <c r="A1471" s="3" t="n">
        <v>42008</v>
      </c>
      <c r="B1471" s="2" t="s">
        <v>707</v>
      </c>
      <c r="C1471" s="2" t="s">
        <v>702</v>
      </c>
      <c r="D1471" s="2" t="s">
        <v>351</v>
      </c>
      <c r="E1471" s="2" t="s">
        <v>362</v>
      </c>
      <c r="F1471" s="2"/>
      <c r="G1471" s="2" t="s">
        <v>23</v>
      </c>
      <c r="H1471" s="2" t="str">
        <f aca="false">IF(LEFT(B1471,10)="Arsenal v ",MID(B1471,11,100),LEFT(B1471,FIND(" v ",B1471)-1))</f>
        <v>Hull City</v>
      </c>
      <c r="I1471" s="2" t="str">
        <f aca="false">IF(F1471&lt;&gt;"","N",IF(LEFT(B1471,10)="Arsenal v ","H","A"))</f>
        <v>H</v>
      </c>
      <c r="J1471" s="2"/>
    </row>
    <row r="1472" customFormat="false" ht="15" hidden="false" customHeight="false" outlineLevel="0" collapsed="false">
      <c r="A1472" s="3" t="n">
        <v>42015</v>
      </c>
      <c r="B1472" s="2" t="s">
        <v>757</v>
      </c>
      <c r="C1472" s="2" t="s">
        <v>702</v>
      </c>
      <c r="D1472" s="2" t="s">
        <v>434</v>
      </c>
      <c r="E1472" s="2" t="s">
        <v>356</v>
      </c>
      <c r="F1472" s="2"/>
      <c r="G1472" s="2" t="s">
        <v>23</v>
      </c>
      <c r="H1472" s="2" t="str">
        <f aca="false">IF(LEFT(B1472,10)="Arsenal v ",MID(B1472,11,100),LEFT(B1472,FIND(" v ",B1472)-1))</f>
        <v>Stoke City</v>
      </c>
      <c r="I1472" s="2" t="str">
        <f aca="false">IF(F1472&lt;&gt;"","N",IF(LEFT(B1472,10)="Arsenal v ","H","A"))</f>
        <v>H</v>
      </c>
      <c r="J1472" s="2"/>
    </row>
    <row r="1473" customFormat="false" ht="15" hidden="false" customHeight="false" outlineLevel="0" collapsed="false">
      <c r="A1473" s="3" t="n">
        <v>42022</v>
      </c>
      <c r="B1473" s="2" t="s">
        <v>487</v>
      </c>
      <c r="C1473" s="2" t="s">
        <v>702</v>
      </c>
      <c r="D1473" s="2" t="s">
        <v>353</v>
      </c>
      <c r="E1473" s="2" t="s">
        <v>356</v>
      </c>
      <c r="F1473" s="2"/>
      <c r="G1473" s="2" t="s">
        <v>23</v>
      </c>
      <c r="H1473" s="2" t="str">
        <f aca="false">IF(LEFT(B1473,10)="Arsenal v ",MID(B1473,11,100),LEFT(B1473,FIND(" v ",B1473)-1))</f>
        <v>Manchester City</v>
      </c>
      <c r="I1473" s="2" t="str">
        <f aca="false">IF(F1473&lt;&gt;"","N",IF(LEFT(B1473,10)="Arsenal v ","H","A"))</f>
        <v>A</v>
      </c>
      <c r="J1473" s="2"/>
    </row>
    <row r="1474" customFormat="false" ht="15" hidden="false" customHeight="false" outlineLevel="0" collapsed="false">
      <c r="A1474" s="3" t="n">
        <v>42029</v>
      </c>
      <c r="B1474" s="2" t="s">
        <v>417</v>
      </c>
      <c r="C1474" s="2" t="s">
        <v>702</v>
      </c>
      <c r="D1474" s="2" t="s">
        <v>366</v>
      </c>
      <c r="E1474" s="2" t="s">
        <v>362</v>
      </c>
      <c r="F1474" s="2"/>
      <c r="G1474" s="2" t="s">
        <v>23</v>
      </c>
      <c r="H1474" s="2" t="str">
        <f aca="false">IF(LEFT(B1474,10)="Arsenal v ",MID(B1474,11,100),LEFT(B1474,FIND(" v ",B1474)-1))</f>
        <v>Brighton and Hove Albion</v>
      </c>
      <c r="I1474" s="2" t="str">
        <f aca="false">IF(F1474&lt;&gt;"","N",IF(LEFT(B1474,10)="Arsenal v ","H","A"))</f>
        <v>A</v>
      </c>
      <c r="J1474" s="2"/>
    </row>
    <row r="1475" customFormat="false" ht="15" hidden="false" customHeight="false" outlineLevel="0" collapsed="false">
      <c r="A1475" s="3" t="n">
        <v>42036</v>
      </c>
      <c r="B1475" s="2" t="s">
        <v>703</v>
      </c>
      <c r="C1475" s="2" t="s">
        <v>702</v>
      </c>
      <c r="D1475" s="2" t="s">
        <v>489</v>
      </c>
      <c r="E1475" s="2" t="s">
        <v>356</v>
      </c>
      <c r="F1475" s="2"/>
      <c r="G1475" s="2" t="s">
        <v>23</v>
      </c>
      <c r="H1475" s="2" t="str">
        <f aca="false">IF(LEFT(B1475,10)="Arsenal v ",MID(B1475,11,100),LEFT(B1475,FIND(" v ",B1475)-1))</f>
        <v>Aston Villa</v>
      </c>
      <c r="I1475" s="2" t="str">
        <f aca="false">IF(F1475&lt;&gt;"","N",IF(LEFT(B1475,10)="Arsenal v ","H","A"))</f>
        <v>H</v>
      </c>
      <c r="J1475" s="2"/>
    </row>
    <row r="1476" customFormat="false" ht="15" hidden="false" customHeight="false" outlineLevel="0" collapsed="false">
      <c r="A1476" s="3" t="n">
        <v>42042</v>
      </c>
      <c r="B1476" s="2" t="s">
        <v>561</v>
      </c>
      <c r="C1476" s="2" t="s">
        <v>704</v>
      </c>
      <c r="D1476" s="2" t="s">
        <v>359</v>
      </c>
      <c r="E1476" s="2" t="s">
        <v>356</v>
      </c>
      <c r="F1476" s="2"/>
      <c r="G1476" s="2" t="s">
        <v>23</v>
      </c>
      <c r="H1476" s="2" t="str">
        <f aca="false">IF(LEFT(B1476,10)="Arsenal v ",MID(B1476,11,100),LEFT(B1476,FIND(" v ",B1476)-1))</f>
        <v>Tottenham Hotspur</v>
      </c>
      <c r="I1476" s="2" t="str">
        <f aca="false">IF(F1476&lt;&gt;"","N",IF(LEFT(B1476,10)="Arsenal v ","H","A"))</f>
        <v>A</v>
      </c>
      <c r="J1476" s="2"/>
    </row>
    <row r="1477" customFormat="false" ht="15" hidden="false" customHeight="false" outlineLevel="0" collapsed="false">
      <c r="A1477" s="3" t="n">
        <v>42045</v>
      </c>
      <c r="B1477" s="2" t="s">
        <v>733</v>
      </c>
      <c r="C1477" s="2" t="s">
        <v>702</v>
      </c>
      <c r="D1477" s="2" t="s">
        <v>359</v>
      </c>
      <c r="E1477" s="2" t="s">
        <v>356</v>
      </c>
      <c r="F1477" s="2"/>
      <c r="G1477" s="2" t="s">
        <v>23</v>
      </c>
      <c r="H1477" s="2" t="str">
        <f aca="false">IF(LEFT(B1477,10)="Arsenal v ",MID(B1477,11,100),LEFT(B1477,FIND(" v ",B1477)-1))</f>
        <v>Leicester City</v>
      </c>
      <c r="I1477" s="2" t="str">
        <f aca="false">IF(F1477&lt;&gt;"","N",IF(LEFT(B1477,10)="Arsenal v ","H","A"))</f>
        <v>H</v>
      </c>
      <c r="J1477" s="2"/>
    </row>
    <row r="1478" customFormat="false" ht="15" hidden="false" customHeight="false" outlineLevel="0" collapsed="false">
      <c r="A1478" s="3" t="n">
        <v>42050</v>
      </c>
      <c r="B1478" s="2" t="s">
        <v>711</v>
      </c>
      <c r="C1478" s="2" t="s">
        <v>702</v>
      </c>
      <c r="D1478" s="2" t="s">
        <v>351</v>
      </c>
      <c r="E1478" s="2" t="s">
        <v>362</v>
      </c>
      <c r="F1478" s="2"/>
      <c r="G1478" s="2" t="s">
        <v>23</v>
      </c>
      <c r="H1478" s="2" t="str">
        <f aca="false">IF(LEFT(B1478,10)="Arsenal v ",MID(B1478,11,100),LEFT(B1478,FIND(" v ",B1478)-1))</f>
        <v>Middlesbrough</v>
      </c>
      <c r="I1478" s="2" t="str">
        <f aca="false">IF(F1478&lt;&gt;"","N",IF(LEFT(B1478,10)="Arsenal v ","H","A"))</f>
        <v>H</v>
      </c>
      <c r="J1478" s="2"/>
    </row>
    <row r="1479" customFormat="false" ht="15" hidden="false" customHeight="false" outlineLevel="0" collapsed="false">
      <c r="A1479" s="3" t="n">
        <v>42056</v>
      </c>
      <c r="B1479" s="2" t="s">
        <v>433</v>
      </c>
      <c r="C1479" s="2" t="s">
        <v>702</v>
      </c>
      <c r="D1479" s="2" t="s">
        <v>360</v>
      </c>
      <c r="E1479" s="2" t="s">
        <v>356</v>
      </c>
      <c r="F1479" s="2"/>
      <c r="G1479" s="2" t="s">
        <v>23</v>
      </c>
      <c r="H1479" s="2" t="str">
        <f aca="false">IF(LEFT(B1479,10)="Arsenal v ",MID(B1479,11,100),LEFT(B1479,FIND(" v ",B1479)-1))</f>
        <v>Crystal Palace</v>
      </c>
      <c r="I1479" s="2" t="str">
        <f aca="false">IF(F1479&lt;&gt;"","N",IF(LEFT(B1479,10)="Arsenal v ","H","A"))</f>
        <v>A</v>
      </c>
      <c r="J1479" s="2"/>
    </row>
    <row r="1480" customFormat="false" ht="15" hidden="false" customHeight="false" outlineLevel="0" collapsed="false">
      <c r="A1480" s="3" t="n">
        <v>42060</v>
      </c>
      <c r="B1480" s="2" t="s">
        <v>840</v>
      </c>
      <c r="C1480" s="2" t="s">
        <v>704</v>
      </c>
      <c r="D1480" s="2" t="s">
        <v>373</v>
      </c>
      <c r="E1480" s="2" t="s">
        <v>352</v>
      </c>
      <c r="F1480" s="2"/>
      <c r="G1480" s="2" t="s">
        <v>23</v>
      </c>
      <c r="H1480" s="2" t="str">
        <f aca="false">IF(LEFT(B1480,10)="Arsenal v ",MID(B1480,11,100),LEFT(B1480,FIND(" v ",B1480)-1))</f>
        <v>AS Monaco</v>
      </c>
      <c r="I1480" s="2" t="str">
        <f aca="false">IF(F1480&lt;&gt;"","N",IF(LEFT(B1480,10)="Arsenal v ","H","A"))</f>
        <v>H</v>
      </c>
      <c r="J1480" s="2"/>
    </row>
    <row r="1481" customFormat="false" ht="15" hidden="false" customHeight="false" outlineLevel="0" collapsed="false">
      <c r="A1481" s="3" t="n">
        <v>42064</v>
      </c>
      <c r="B1481" s="2" t="s">
        <v>718</v>
      </c>
      <c r="C1481" s="2" t="s">
        <v>702</v>
      </c>
      <c r="D1481" s="2" t="s">
        <v>351</v>
      </c>
      <c r="E1481" s="2" t="s">
        <v>356</v>
      </c>
      <c r="F1481" s="2"/>
      <c r="G1481" s="2" t="s">
        <v>23</v>
      </c>
      <c r="H1481" s="2" t="str">
        <f aca="false">IF(LEFT(B1481,10)="Arsenal v ",MID(B1481,11,100),LEFT(B1481,FIND(" v ",B1481)-1))</f>
        <v>Everton</v>
      </c>
      <c r="I1481" s="2" t="str">
        <f aca="false">IF(F1481&lt;&gt;"","N",IF(LEFT(B1481,10)="Arsenal v ","H","A"))</f>
        <v>H</v>
      </c>
      <c r="J1481" s="2"/>
    </row>
    <row r="1482" customFormat="false" ht="15" hidden="false" customHeight="false" outlineLevel="0" collapsed="false">
      <c r="A1482" s="3" t="n">
        <v>42067</v>
      </c>
      <c r="B1482" s="2" t="s">
        <v>524</v>
      </c>
      <c r="C1482" s="2" t="s">
        <v>702</v>
      </c>
      <c r="D1482" s="2" t="s">
        <v>360</v>
      </c>
      <c r="E1482" s="2" t="s">
        <v>356</v>
      </c>
      <c r="F1482" s="2"/>
      <c r="G1482" s="2" t="s">
        <v>23</v>
      </c>
      <c r="H1482" s="2" t="str">
        <f aca="false">IF(LEFT(B1482,10)="Arsenal v ",MID(B1482,11,100),LEFT(B1482,FIND(" v ",B1482)-1))</f>
        <v>Queens Park Rangers</v>
      </c>
      <c r="I1482" s="2" t="str">
        <f aca="false">IF(F1482&lt;&gt;"","N",IF(LEFT(B1482,10)="Arsenal v ","H","A"))</f>
        <v>A</v>
      </c>
      <c r="J1482" s="2"/>
    </row>
    <row r="1483" customFormat="false" ht="15" hidden="false" customHeight="false" outlineLevel="0" collapsed="false">
      <c r="A1483" s="3" t="n">
        <v>42072</v>
      </c>
      <c r="B1483" s="2" t="s">
        <v>490</v>
      </c>
      <c r="C1483" s="2" t="s">
        <v>702</v>
      </c>
      <c r="D1483" s="2" t="s">
        <v>360</v>
      </c>
      <c r="E1483" s="2" t="s">
        <v>362</v>
      </c>
      <c r="F1483" s="2"/>
      <c r="G1483" s="2" t="s">
        <v>23</v>
      </c>
      <c r="H1483" s="2" t="str">
        <f aca="false">IF(LEFT(B1483,10)="Arsenal v ",MID(B1483,11,100),LEFT(B1483,FIND(" v ",B1483)-1))</f>
        <v>Manchester United</v>
      </c>
      <c r="I1483" s="2" t="str">
        <f aca="false">IF(F1483&lt;&gt;"","N",IF(LEFT(B1483,10)="Arsenal v ","H","A"))</f>
        <v>A</v>
      </c>
      <c r="J1483" s="2"/>
    </row>
    <row r="1484" customFormat="false" ht="15" hidden="false" customHeight="false" outlineLevel="0" collapsed="false">
      <c r="A1484" s="3" t="n">
        <v>42077</v>
      </c>
      <c r="B1484" s="2" t="s">
        <v>712</v>
      </c>
      <c r="C1484" s="2" t="s">
        <v>702</v>
      </c>
      <c r="D1484" s="2" t="s">
        <v>434</v>
      </c>
      <c r="E1484" s="2" t="s">
        <v>356</v>
      </c>
      <c r="F1484" s="2"/>
      <c r="G1484" s="2" t="s">
        <v>23</v>
      </c>
      <c r="H1484" s="2" t="str">
        <f aca="false">IF(LEFT(B1484,10)="Arsenal v ",MID(B1484,11,100),LEFT(B1484,FIND(" v ",B1484)-1))</f>
        <v>West Ham United</v>
      </c>
      <c r="I1484" s="2" t="str">
        <f aca="false">IF(F1484&lt;&gt;"","N",IF(LEFT(B1484,10)="Arsenal v ","H","A"))</f>
        <v>H</v>
      </c>
      <c r="J1484" s="2"/>
    </row>
    <row r="1485" customFormat="false" ht="15" hidden="false" customHeight="false" outlineLevel="0" collapsed="false">
      <c r="A1485" s="3" t="n">
        <v>42080</v>
      </c>
      <c r="B1485" s="2" t="s">
        <v>371</v>
      </c>
      <c r="C1485" s="2" t="s">
        <v>702</v>
      </c>
      <c r="D1485" s="2" t="s">
        <v>353</v>
      </c>
      <c r="E1485" s="2" t="s">
        <v>352</v>
      </c>
      <c r="F1485" s="2"/>
      <c r="G1485" s="2" t="s">
        <v>23</v>
      </c>
      <c r="H1485" s="2" t="str">
        <f aca="false">IF(LEFT(B1485,10)="Arsenal v ",MID(B1485,11,100),LEFT(B1485,FIND(" v ",B1485)-1))</f>
        <v>AS Monaco</v>
      </c>
      <c r="I1485" s="2" t="str">
        <f aca="false">IF(F1485&lt;&gt;"","N",IF(LEFT(B1485,10)="Arsenal v ","H","A"))</f>
        <v>A</v>
      </c>
      <c r="J1485" s="2"/>
    </row>
    <row r="1486" customFormat="false" ht="15" hidden="false" customHeight="false" outlineLevel="0" collapsed="false">
      <c r="A1486" s="3" t="n">
        <v>42084</v>
      </c>
      <c r="B1486" s="2" t="s">
        <v>501</v>
      </c>
      <c r="C1486" s="2" t="s">
        <v>702</v>
      </c>
      <c r="D1486" s="2" t="s">
        <v>360</v>
      </c>
      <c r="E1486" s="2" t="s">
        <v>356</v>
      </c>
      <c r="F1486" s="2"/>
      <c r="G1486" s="2" t="s">
        <v>23</v>
      </c>
      <c r="H1486" s="2" t="str">
        <f aca="false">IF(LEFT(B1486,10)="Arsenal v ",MID(B1486,11,100),LEFT(B1486,FIND(" v ",B1486)-1))</f>
        <v>Newcastle United</v>
      </c>
      <c r="I1486" s="2" t="str">
        <f aca="false">IF(F1486&lt;&gt;"","N",IF(LEFT(B1486,10)="Arsenal v ","H","A"))</f>
        <v>A</v>
      </c>
      <c r="J1486" s="2"/>
    </row>
    <row r="1487" customFormat="false" ht="15" hidden="false" customHeight="false" outlineLevel="0" collapsed="false">
      <c r="A1487" s="3" t="n">
        <v>42098</v>
      </c>
      <c r="B1487" s="2" t="s">
        <v>710</v>
      </c>
      <c r="C1487" s="2" t="s">
        <v>702</v>
      </c>
      <c r="D1487" s="2" t="s">
        <v>397</v>
      </c>
      <c r="E1487" s="2" t="s">
        <v>356</v>
      </c>
      <c r="F1487" s="2"/>
      <c r="G1487" s="2" t="s">
        <v>23</v>
      </c>
      <c r="H1487" s="2" t="str">
        <f aca="false">IF(LEFT(B1487,10)="Arsenal v ",MID(B1487,11,100),LEFT(B1487,FIND(" v ",B1487)-1))</f>
        <v>Liverpool</v>
      </c>
      <c r="I1487" s="2" t="str">
        <f aca="false">IF(F1487&lt;&gt;"","N",IF(LEFT(B1487,10)="Arsenal v ","H","A"))</f>
        <v>H</v>
      </c>
      <c r="J1487" s="2"/>
    </row>
    <row r="1488" customFormat="false" ht="15" hidden="false" customHeight="false" outlineLevel="0" collapsed="false">
      <c r="A1488" s="3" t="n">
        <v>42105</v>
      </c>
      <c r="B1488" s="2" t="s">
        <v>419</v>
      </c>
      <c r="C1488" s="2" t="s">
        <v>702</v>
      </c>
      <c r="D1488" s="2" t="s">
        <v>383</v>
      </c>
      <c r="E1488" s="2" t="s">
        <v>356</v>
      </c>
      <c r="F1488" s="2"/>
      <c r="G1488" s="2" t="s">
        <v>23</v>
      </c>
      <c r="H1488" s="2" t="str">
        <f aca="false">IF(LEFT(B1488,10)="Arsenal v ",MID(B1488,11,100),LEFT(B1488,FIND(" v ",B1488)-1))</f>
        <v>Burnley</v>
      </c>
      <c r="I1488" s="2" t="str">
        <f aca="false">IF(F1488&lt;&gt;"","N",IF(LEFT(B1488,10)="Arsenal v ","H","A"))</f>
        <v>A</v>
      </c>
      <c r="J1488" s="2"/>
    </row>
    <row r="1489" customFormat="false" ht="15" hidden="false" customHeight="false" outlineLevel="0" collapsed="false">
      <c r="A1489" s="3" t="n">
        <v>42112</v>
      </c>
      <c r="B1489" s="2" t="s">
        <v>806</v>
      </c>
      <c r="C1489" s="2" t="s">
        <v>702</v>
      </c>
      <c r="D1489" s="2" t="s">
        <v>359</v>
      </c>
      <c r="E1489" s="2" t="s">
        <v>362</v>
      </c>
      <c r="F1489" s="2" t="s">
        <v>652</v>
      </c>
      <c r="G1489" s="2" t="s">
        <v>23</v>
      </c>
      <c r="H1489" s="2" t="str">
        <f aca="false">IF(LEFT(B1489,10)="Arsenal v ",MID(B1489,11,100),LEFT(B1489,FIND(" v ",B1489)-1))</f>
        <v>Reading</v>
      </c>
      <c r="I1489" s="2" t="str">
        <f aca="false">IF(F1489&lt;&gt;"","N",IF(LEFT(B1489,10)="Arsenal v ","H","A"))</f>
        <v>N</v>
      </c>
      <c r="J1489" s="2"/>
    </row>
    <row r="1490" customFormat="false" ht="15" hidden="false" customHeight="false" outlineLevel="0" collapsed="false">
      <c r="A1490" s="3" t="n">
        <v>42120</v>
      </c>
      <c r="B1490" s="2" t="s">
        <v>725</v>
      </c>
      <c r="C1490" s="2" t="s">
        <v>706</v>
      </c>
      <c r="D1490" s="2" t="s">
        <v>369</v>
      </c>
      <c r="E1490" s="2" t="s">
        <v>356</v>
      </c>
      <c r="F1490" s="2"/>
      <c r="G1490" s="2" t="s">
        <v>23</v>
      </c>
      <c r="H1490" s="2" t="str">
        <f aca="false">IF(LEFT(B1490,10)="Arsenal v ",MID(B1490,11,100),LEFT(B1490,FIND(" v ",B1490)-1))</f>
        <v>Chelsea</v>
      </c>
      <c r="I1490" s="2" t="str">
        <f aca="false">IF(F1490&lt;&gt;"","N",IF(LEFT(B1490,10)="Arsenal v ","H","A"))</f>
        <v>H</v>
      </c>
      <c r="J1490" s="2"/>
    </row>
    <row r="1491" customFormat="false" ht="15" hidden="false" customHeight="false" outlineLevel="0" collapsed="false">
      <c r="A1491" s="3" t="n">
        <v>42128</v>
      </c>
      <c r="B1491" s="2" t="s">
        <v>467</v>
      </c>
      <c r="C1491" s="2" t="s">
        <v>702</v>
      </c>
      <c r="D1491" s="2" t="s">
        <v>373</v>
      </c>
      <c r="E1491" s="2" t="s">
        <v>356</v>
      </c>
      <c r="F1491" s="2"/>
      <c r="G1491" s="2" t="s">
        <v>23</v>
      </c>
      <c r="H1491" s="2" t="str">
        <f aca="false">IF(LEFT(B1491,10)="Arsenal v ",MID(B1491,11,100),LEFT(B1491,FIND(" v ",B1491)-1))</f>
        <v>Hull City</v>
      </c>
      <c r="I1491" s="2" t="str">
        <f aca="false">IF(F1491&lt;&gt;"","N",IF(LEFT(B1491,10)="Arsenal v ","H","A"))</f>
        <v>A</v>
      </c>
      <c r="J1491" s="2"/>
    </row>
    <row r="1492" customFormat="false" ht="15" hidden="false" customHeight="false" outlineLevel="0" collapsed="false">
      <c r="A1492" s="3" t="n">
        <v>42135</v>
      </c>
      <c r="B1492" s="2" t="s">
        <v>831</v>
      </c>
      <c r="C1492" s="2" t="s">
        <v>704</v>
      </c>
      <c r="D1492" s="2" t="s">
        <v>383</v>
      </c>
      <c r="E1492" s="2" t="s">
        <v>356</v>
      </c>
      <c r="F1492" s="2"/>
      <c r="G1492" s="2" t="s">
        <v>23</v>
      </c>
      <c r="H1492" s="2" t="str">
        <f aca="false">IF(LEFT(B1492,10)="Arsenal v ",MID(B1492,11,100),LEFT(B1492,FIND(" v ",B1492)-1))</f>
        <v>Swansea City</v>
      </c>
      <c r="I1492" s="2" t="str">
        <f aca="false">IF(F1492&lt;&gt;"","N",IF(LEFT(B1492,10)="Arsenal v ","H","A"))</f>
        <v>H</v>
      </c>
      <c r="J1492" s="2"/>
    </row>
    <row r="1493" customFormat="false" ht="15" hidden="false" customHeight="false" outlineLevel="0" collapsed="false">
      <c r="A1493" s="3" t="n">
        <v>42141</v>
      </c>
      <c r="B1493" s="2" t="s">
        <v>490</v>
      </c>
      <c r="C1493" s="2" t="s">
        <v>706</v>
      </c>
      <c r="D1493" s="2" t="s">
        <v>361</v>
      </c>
      <c r="E1493" s="2" t="s">
        <v>356</v>
      </c>
      <c r="F1493" s="2"/>
      <c r="G1493" s="2" t="s">
        <v>23</v>
      </c>
      <c r="H1493" s="2" t="str">
        <f aca="false">IF(LEFT(B1493,10)="Arsenal v ",MID(B1493,11,100),LEFT(B1493,FIND(" v ",B1493)-1))</f>
        <v>Manchester United</v>
      </c>
      <c r="I1493" s="2" t="str">
        <f aca="false">IF(F1493&lt;&gt;"","N",IF(LEFT(B1493,10)="Arsenal v ","H","A"))</f>
        <v>A</v>
      </c>
      <c r="J1493" s="2"/>
    </row>
    <row r="1494" customFormat="false" ht="15" hidden="false" customHeight="false" outlineLevel="0" collapsed="false">
      <c r="A1494" s="3" t="n">
        <v>42144</v>
      </c>
      <c r="B1494" s="2" t="s">
        <v>727</v>
      </c>
      <c r="C1494" s="2" t="s">
        <v>706</v>
      </c>
      <c r="D1494" s="2" t="s">
        <v>369</v>
      </c>
      <c r="E1494" s="2" t="s">
        <v>356</v>
      </c>
      <c r="F1494" s="2"/>
      <c r="G1494" s="2" t="s">
        <v>23</v>
      </c>
      <c r="H1494" s="2" t="str">
        <f aca="false">IF(LEFT(B1494,10)="Arsenal v ",MID(B1494,11,100),LEFT(B1494,FIND(" v ",B1494)-1))</f>
        <v>Sunderland</v>
      </c>
      <c r="I1494" s="2" t="str">
        <f aca="false">IF(F1494&lt;&gt;"","N",IF(LEFT(B1494,10)="Arsenal v ","H","A"))</f>
        <v>H</v>
      </c>
      <c r="J1494" s="2"/>
    </row>
    <row r="1495" customFormat="false" ht="15" hidden="false" customHeight="false" outlineLevel="0" collapsed="false">
      <c r="A1495" s="3" t="n">
        <v>42148</v>
      </c>
      <c r="B1495" s="2" t="s">
        <v>788</v>
      </c>
      <c r="C1495" s="2" t="s">
        <v>702</v>
      </c>
      <c r="D1495" s="2" t="s">
        <v>397</v>
      </c>
      <c r="E1495" s="2" t="s">
        <v>356</v>
      </c>
      <c r="F1495" s="2"/>
      <c r="G1495" s="2" t="s">
        <v>23</v>
      </c>
      <c r="H1495" s="2" t="str">
        <f aca="false">IF(LEFT(B1495,10)="Arsenal v ",MID(B1495,11,100),LEFT(B1495,FIND(" v ",B1495)-1))</f>
        <v>West Bromwich Albion</v>
      </c>
      <c r="I1495" s="2" t="str">
        <f aca="false">IF(F1495&lt;&gt;"","N",IF(LEFT(B1495,10)="Arsenal v ","H","A"))</f>
        <v>H</v>
      </c>
      <c r="J1495" s="2"/>
    </row>
    <row r="1496" customFormat="false" ht="15" hidden="false" customHeight="false" outlineLevel="0" collapsed="false">
      <c r="A1496" s="3" t="n">
        <v>42154</v>
      </c>
      <c r="B1496" s="2" t="s">
        <v>703</v>
      </c>
      <c r="C1496" s="2" t="s">
        <v>702</v>
      </c>
      <c r="D1496" s="2" t="s">
        <v>354</v>
      </c>
      <c r="E1496" s="2" t="s">
        <v>362</v>
      </c>
      <c r="F1496" s="2" t="s">
        <v>652</v>
      </c>
      <c r="G1496" s="2" t="s">
        <v>23</v>
      </c>
      <c r="H1496" s="2" t="str">
        <f aca="false">IF(LEFT(B1496,10)="Arsenal v ",MID(B1496,11,100),LEFT(B1496,FIND(" v ",B1496)-1))</f>
        <v>Aston Villa</v>
      </c>
      <c r="I1496" s="2" t="str">
        <f aca="false">IF(F1496&lt;&gt;"","N",IF(LEFT(B1496,10)="Arsenal v ","H","A"))</f>
        <v>N</v>
      </c>
      <c r="J1496" s="2"/>
    </row>
    <row r="1497" customFormat="false" ht="15" hidden="false" customHeight="false" outlineLevel="0" collapsed="false">
      <c r="A1497" s="3" t="n">
        <v>42218</v>
      </c>
      <c r="B1497" s="2" t="s">
        <v>725</v>
      </c>
      <c r="C1497" s="2" t="s">
        <v>702</v>
      </c>
      <c r="D1497" s="2" t="s">
        <v>348</v>
      </c>
      <c r="E1497" s="2" t="s">
        <v>787</v>
      </c>
      <c r="F1497" s="2" t="s">
        <v>652</v>
      </c>
      <c r="G1497" s="2" t="s">
        <v>355</v>
      </c>
      <c r="H1497" s="2" t="str">
        <f aca="false">IF(LEFT(B1497,10)="Arsenal v ",MID(B1497,11,100),LEFT(B1497,FIND(" v ",B1497)-1))</f>
        <v>Chelsea</v>
      </c>
      <c r="I1497" s="2" t="str">
        <f aca="false">IF(F1497&lt;&gt;"","N",IF(LEFT(B1497,10)="Arsenal v ","H","A"))</f>
        <v>N</v>
      </c>
      <c r="J1497" s="2"/>
    </row>
    <row r="1498" customFormat="false" ht="15" hidden="false" customHeight="false" outlineLevel="0" collapsed="false">
      <c r="A1498" s="3" t="n">
        <v>42225</v>
      </c>
      <c r="B1498" s="2" t="s">
        <v>712</v>
      </c>
      <c r="C1498" s="2" t="s">
        <v>704</v>
      </c>
      <c r="D1498" s="2" t="s">
        <v>353</v>
      </c>
      <c r="E1498" s="2" t="s">
        <v>356</v>
      </c>
      <c r="F1498" s="2"/>
      <c r="G1498" s="2" t="s">
        <v>355</v>
      </c>
      <c r="H1498" s="2" t="str">
        <f aca="false">IF(LEFT(B1498,10)="Arsenal v ",MID(B1498,11,100),LEFT(B1498,FIND(" v ",B1498)-1))</f>
        <v>West Ham United</v>
      </c>
      <c r="I1498" s="2" t="str">
        <f aca="false">IF(F1498&lt;&gt;"","N",IF(LEFT(B1498,10)="Arsenal v ","H","A"))</f>
        <v>H</v>
      </c>
      <c r="J1498" s="2"/>
    </row>
    <row r="1499" customFormat="false" ht="15" hidden="false" customHeight="false" outlineLevel="0" collapsed="false">
      <c r="A1499" s="3" t="n">
        <v>42232</v>
      </c>
      <c r="B1499" s="2" t="s">
        <v>433</v>
      </c>
      <c r="C1499" s="2" t="s">
        <v>702</v>
      </c>
      <c r="D1499" s="2" t="s">
        <v>360</v>
      </c>
      <c r="E1499" s="2" t="s">
        <v>356</v>
      </c>
      <c r="F1499" s="2"/>
      <c r="G1499" s="2" t="s">
        <v>355</v>
      </c>
      <c r="H1499" s="2" t="str">
        <f aca="false">IF(LEFT(B1499,10)="Arsenal v ",MID(B1499,11,100),LEFT(B1499,FIND(" v ",B1499)-1))</f>
        <v>Crystal Palace</v>
      </c>
      <c r="I1499" s="2" t="str">
        <f aca="false">IF(F1499&lt;&gt;"","N",IF(LEFT(B1499,10)="Arsenal v ","H","A"))</f>
        <v>A</v>
      </c>
      <c r="J1499" s="2"/>
    </row>
    <row r="1500" customFormat="false" ht="15" hidden="false" customHeight="false" outlineLevel="0" collapsed="false">
      <c r="A1500" s="3" t="n">
        <v>42240</v>
      </c>
      <c r="B1500" s="2" t="s">
        <v>710</v>
      </c>
      <c r="C1500" s="2" t="s">
        <v>706</v>
      </c>
      <c r="D1500" s="2" t="s">
        <v>369</v>
      </c>
      <c r="E1500" s="2" t="s">
        <v>356</v>
      </c>
      <c r="F1500" s="2"/>
      <c r="G1500" s="2" t="s">
        <v>355</v>
      </c>
      <c r="H1500" s="2" t="str">
        <f aca="false">IF(LEFT(B1500,10)="Arsenal v ",MID(B1500,11,100),LEFT(B1500,FIND(" v ",B1500)-1))</f>
        <v>Liverpool</v>
      </c>
      <c r="I1500" s="2" t="str">
        <f aca="false">IF(F1500&lt;&gt;"","N",IF(LEFT(B1500,10)="Arsenal v ","H","A"))</f>
        <v>H</v>
      </c>
      <c r="J1500" s="2"/>
    </row>
    <row r="1501" customFormat="false" ht="15" hidden="false" customHeight="false" outlineLevel="0" collapsed="false">
      <c r="A1501" s="3" t="n">
        <v>42245</v>
      </c>
      <c r="B1501" s="2" t="s">
        <v>501</v>
      </c>
      <c r="C1501" s="2" t="s">
        <v>702</v>
      </c>
      <c r="D1501" s="2" t="s">
        <v>383</v>
      </c>
      <c r="E1501" s="2" t="s">
        <v>356</v>
      </c>
      <c r="F1501" s="2"/>
      <c r="G1501" s="2" t="s">
        <v>355</v>
      </c>
      <c r="H1501" s="2" t="str">
        <f aca="false">IF(LEFT(B1501,10)="Arsenal v ",MID(B1501,11,100),LEFT(B1501,FIND(" v ",B1501)-1))</f>
        <v>Newcastle United</v>
      </c>
      <c r="I1501" s="2" t="str">
        <f aca="false">IF(F1501&lt;&gt;"","N",IF(LEFT(B1501,10)="Arsenal v ","H","A"))</f>
        <v>A</v>
      </c>
      <c r="J1501" s="2"/>
    </row>
    <row r="1502" customFormat="false" ht="15" hidden="false" customHeight="false" outlineLevel="0" collapsed="false">
      <c r="A1502" s="3" t="n">
        <v>42259</v>
      </c>
      <c r="B1502" s="2" t="s">
        <v>757</v>
      </c>
      <c r="C1502" s="2" t="s">
        <v>702</v>
      </c>
      <c r="D1502" s="2" t="s">
        <v>351</v>
      </c>
      <c r="E1502" s="2" t="s">
        <v>356</v>
      </c>
      <c r="F1502" s="2"/>
      <c r="G1502" s="2" t="s">
        <v>355</v>
      </c>
      <c r="H1502" s="2" t="str">
        <f aca="false">IF(LEFT(B1502,10)="Arsenal v ",MID(B1502,11,100),LEFT(B1502,FIND(" v ",B1502)-1))</f>
        <v>Stoke City</v>
      </c>
      <c r="I1502" s="2" t="str">
        <f aca="false">IF(F1502&lt;&gt;"","N",IF(LEFT(B1502,10)="Arsenal v ","H","A"))</f>
        <v>H</v>
      </c>
      <c r="J1502" s="2"/>
    </row>
    <row r="1503" customFormat="false" ht="15" hidden="false" customHeight="false" outlineLevel="0" collapsed="false">
      <c r="A1503" s="3" t="n">
        <v>42263</v>
      </c>
      <c r="B1503" s="2" t="s">
        <v>442</v>
      </c>
      <c r="C1503" s="2" t="s">
        <v>704</v>
      </c>
      <c r="D1503" s="2" t="s">
        <v>359</v>
      </c>
      <c r="E1503" s="2" t="s">
        <v>352</v>
      </c>
      <c r="F1503" s="2"/>
      <c r="G1503" s="2" t="s">
        <v>355</v>
      </c>
      <c r="H1503" s="2" t="str">
        <f aca="false">IF(LEFT(B1503,10)="Arsenal v ",MID(B1503,11,100),LEFT(B1503,FIND(" v ",B1503)-1))</f>
        <v>Dinamo Zagreb</v>
      </c>
      <c r="I1503" s="2" t="str">
        <f aca="false">IF(F1503&lt;&gt;"","N",IF(LEFT(B1503,10)="Arsenal v ","H","A"))</f>
        <v>A</v>
      </c>
      <c r="J1503" s="2"/>
    </row>
    <row r="1504" customFormat="false" ht="15" hidden="false" customHeight="false" outlineLevel="0" collapsed="false">
      <c r="A1504" s="3" t="n">
        <v>42266</v>
      </c>
      <c r="B1504" s="2" t="s">
        <v>426</v>
      </c>
      <c r="C1504" s="2" t="s">
        <v>704</v>
      </c>
      <c r="D1504" s="2" t="s">
        <v>351</v>
      </c>
      <c r="E1504" s="2" t="s">
        <v>356</v>
      </c>
      <c r="F1504" s="2"/>
      <c r="G1504" s="2" t="s">
        <v>355</v>
      </c>
      <c r="H1504" s="2" t="str">
        <f aca="false">IF(LEFT(B1504,10)="Arsenal v ",MID(B1504,11,100),LEFT(B1504,FIND(" v ",B1504)-1))</f>
        <v>Chelsea</v>
      </c>
      <c r="I1504" s="2" t="str">
        <f aca="false">IF(F1504&lt;&gt;"","N",IF(LEFT(B1504,10)="Arsenal v ","H","A"))</f>
        <v>A</v>
      </c>
      <c r="J1504" s="2"/>
    </row>
    <row r="1505" customFormat="false" ht="15" hidden="false" customHeight="false" outlineLevel="0" collapsed="false">
      <c r="A1505" s="3" t="n">
        <v>42270</v>
      </c>
      <c r="B1505" s="2" t="s">
        <v>561</v>
      </c>
      <c r="C1505" s="2" t="s">
        <v>702</v>
      </c>
      <c r="D1505" s="2" t="s">
        <v>360</v>
      </c>
      <c r="E1505" s="2" t="s">
        <v>379</v>
      </c>
      <c r="F1505" s="2"/>
      <c r="G1505" s="2" t="s">
        <v>355</v>
      </c>
      <c r="H1505" s="2" t="str">
        <f aca="false">IF(LEFT(B1505,10)="Arsenal v ",MID(B1505,11,100),LEFT(B1505,FIND(" v ",B1505)-1))</f>
        <v>Tottenham Hotspur</v>
      </c>
      <c r="I1505" s="2" t="str">
        <f aca="false">IF(F1505&lt;&gt;"","N",IF(LEFT(B1505,10)="Arsenal v ","H","A"))</f>
        <v>A</v>
      </c>
      <c r="J1505" s="2"/>
    </row>
    <row r="1506" customFormat="false" ht="15" hidden="false" customHeight="false" outlineLevel="0" collapsed="false">
      <c r="A1506" s="3" t="n">
        <v>42273</v>
      </c>
      <c r="B1506" s="2" t="s">
        <v>474</v>
      </c>
      <c r="C1506" s="2" t="s">
        <v>702</v>
      </c>
      <c r="D1506" s="2" t="s">
        <v>450</v>
      </c>
      <c r="E1506" s="2" t="s">
        <v>356</v>
      </c>
      <c r="F1506" s="2"/>
      <c r="G1506" s="2" t="s">
        <v>355</v>
      </c>
      <c r="H1506" s="2" t="str">
        <f aca="false">IF(LEFT(B1506,10)="Arsenal v ",MID(B1506,11,100),LEFT(B1506,FIND(" v ",B1506)-1))</f>
        <v>Leicester City</v>
      </c>
      <c r="I1506" s="2" t="str">
        <f aca="false">IF(F1506&lt;&gt;"","N",IF(LEFT(B1506,10)="Arsenal v ","H","A"))</f>
        <v>A</v>
      </c>
      <c r="J1506" s="2"/>
    </row>
    <row r="1507" customFormat="false" ht="15" hidden="false" customHeight="false" outlineLevel="0" collapsed="false">
      <c r="A1507" s="3" t="n">
        <v>42276</v>
      </c>
      <c r="B1507" s="2" t="s">
        <v>824</v>
      </c>
      <c r="C1507" s="2" t="s">
        <v>704</v>
      </c>
      <c r="D1507" s="2" t="s">
        <v>366</v>
      </c>
      <c r="E1507" s="2" t="s">
        <v>352</v>
      </c>
      <c r="F1507" s="2"/>
      <c r="G1507" s="2" t="s">
        <v>355</v>
      </c>
      <c r="H1507" s="2" t="str">
        <f aca="false">IF(LEFT(B1507,10)="Arsenal v ",MID(B1507,11,100),LEFT(B1507,FIND(" v ",B1507)-1))</f>
        <v>Olympiakos</v>
      </c>
      <c r="I1507" s="2" t="str">
        <f aca="false">IF(F1507&lt;&gt;"","N",IF(LEFT(B1507,10)="Arsenal v ","H","A"))</f>
        <v>H</v>
      </c>
      <c r="J1507" s="2"/>
    </row>
    <row r="1508" customFormat="false" ht="15" hidden="false" customHeight="false" outlineLevel="0" collapsed="false">
      <c r="A1508" s="3" t="n">
        <v>42281</v>
      </c>
      <c r="B1508" s="2" t="s">
        <v>656</v>
      </c>
      <c r="C1508" s="2" t="s">
        <v>702</v>
      </c>
      <c r="D1508" s="2" t="s">
        <v>434</v>
      </c>
      <c r="E1508" s="2" t="s">
        <v>356</v>
      </c>
      <c r="F1508" s="2"/>
      <c r="G1508" s="2" t="s">
        <v>355</v>
      </c>
      <c r="H1508" s="2" t="str">
        <f aca="false">IF(LEFT(B1508,10)="Arsenal v ",MID(B1508,11,100),LEFT(B1508,FIND(" v ",B1508)-1))</f>
        <v>Manchester United</v>
      </c>
      <c r="I1508" s="2" t="str">
        <f aca="false">IF(F1508&lt;&gt;"","N",IF(LEFT(B1508,10)="Arsenal v ","H","A"))</f>
        <v>H</v>
      </c>
      <c r="J1508" s="2"/>
    </row>
    <row r="1509" customFormat="false" ht="15" hidden="false" customHeight="false" outlineLevel="0" collapsed="false">
      <c r="A1509" s="3" t="n">
        <v>42294</v>
      </c>
      <c r="B1509" s="2" t="s">
        <v>569</v>
      </c>
      <c r="C1509" s="2" t="s">
        <v>702</v>
      </c>
      <c r="D1509" s="2" t="s">
        <v>363</v>
      </c>
      <c r="E1509" s="2" t="s">
        <v>356</v>
      </c>
      <c r="F1509" s="2"/>
      <c r="G1509" s="2" t="s">
        <v>355</v>
      </c>
      <c r="H1509" s="2" t="str">
        <f aca="false">IF(LEFT(B1509,10)="Arsenal v ",MID(B1509,11,100),LEFT(B1509,FIND(" v ",B1509)-1))</f>
        <v>Watford</v>
      </c>
      <c r="I1509" s="2" t="str">
        <f aca="false">IF(F1509&lt;&gt;"","N",IF(LEFT(B1509,10)="Arsenal v ","H","A"))</f>
        <v>A</v>
      </c>
      <c r="J1509" s="2"/>
    </row>
    <row r="1510" customFormat="false" ht="15" hidden="false" customHeight="false" outlineLevel="0" collapsed="false">
      <c r="A1510" s="3" t="n">
        <v>42297</v>
      </c>
      <c r="B1510" s="2" t="s">
        <v>802</v>
      </c>
      <c r="C1510" s="2" t="s">
        <v>702</v>
      </c>
      <c r="D1510" s="2" t="s">
        <v>351</v>
      </c>
      <c r="E1510" s="2" t="s">
        <v>352</v>
      </c>
      <c r="F1510" s="2"/>
      <c r="G1510" s="2" t="s">
        <v>355</v>
      </c>
      <c r="H1510" s="2" t="str">
        <f aca="false">IF(LEFT(B1510,10)="Arsenal v ",MID(B1510,11,100),LEFT(B1510,FIND(" v ",B1510)-1))</f>
        <v>Bayern Munchen</v>
      </c>
      <c r="I1510" s="2" t="str">
        <f aca="false">IF(F1510&lt;&gt;"","N",IF(LEFT(B1510,10)="Arsenal v ","H","A"))</f>
        <v>H</v>
      </c>
      <c r="J1510" s="2"/>
    </row>
    <row r="1511" customFormat="false" ht="15" hidden="false" customHeight="false" outlineLevel="0" collapsed="false">
      <c r="A1511" s="3" t="n">
        <v>42301</v>
      </c>
      <c r="B1511" s="2" t="s">
        <v>718</v>
      </c>
      <c r="C1511" s="2" t="s">
        <v>702</v>
      </c>
      <c r="D1511" s="2" t="s">
        <v>359</v>
      </c>
      <c r="E1511" s="2" t="s">
        <v>356</v>
      </c>
      <c r="F1511" s="2"/>
      <c r="G1511" s="2" t="s">
        <v>355</v>
      </c>
      <c r="H1511" s="2" t="str">
        <f aca="false">IF(LEFT(B1511,10)="Arsenal v ",MID(B1511,11,100),LEFT(B1511,FIND(" v ",B1511)-1))</f>
        <v>Everton</v>
      </c>
      <c r="I1511" s="2" t="str">
        <f aca="false">IF(F1511&lt;&gt;"","N",IF(LEFT(B1511,10)="Arsenal v ","H","A"))</f>
        <v>H</v>
      </c>
      <c r="J1511" s="2"/>
    </row>
    <row r="1512" customFormat="false" ht="15" hidden="false" customHeight="false" outlineLevel="0" collapsed="false">
      <c r="A1512" s="3" t="n">
        <v>42304</v>
      </c>
      <c r="B1512" s="2" t="s">
        <v>543</v>
      </c>
      <c r="C1512" s="2" t="s">
        <v>704</v>
      </c>
      <c r="D1512" s="2" t="s">
        <v>434</v>
      </c>
      <c r="E1512" s="2" t="s">
        <v>379</v>
      </c>
      <c r="F1512" s="2"/>
      <c r="G1512" s="2" t="s">
        <v>355</v>
      </c>
      <c r="H1512" s="2" t="str">
        <f aca="false">IF(LEFT(B1512,10)="Arsenal v ",MID(B1512,11,100),LEFT(B1512,FIND(" v ",B1512)-1))</f>
        <v>Sheffield Wednesday</v>
      </c>
      <c r="I1512" s="2" t="str">
        <f aca="false">IF(F1512&lt;&gt;"","N",IF(LEFT(B1512,10)="Arsenal v ","H","A"))</f>
        <v>A</v>
      </c>
      <c r="J1512" s="2"/>
    </row>
    <row r="1513" customFormat="false" ht="15" hidden="false" customHeight="false" outlineLevel="0" collapsed="false">
      <c r="A1513" s="3" t="n">
        <v>42308</v>
      </c>
      <c r="B1513" s="2" t="s">
        <v>558</v>
      </c>
      <c r="C1513" s="2" t="s">
        <v>702</v>
      </c>
      <c r="D1513" s="2" t="s">
        <v>363</v>
      </c>
      <c r="E1513" s="2" t="s">
        <v>356</v>
      </c>
      <c r="F1513" s="2"/>
      <c r="G1513" s="2" t="s">
        <v>355</v>
      </c>
      <c r="H1513" s="2" t="str">
        <f aca="false">IF(LEFT(B1513,10)="Arsenal v ",MID(B1513,11,100),LEFT(B1513,FIND(" v ",B1513)-1))</f>
        <v>Swansea City</v>
      </c>
      <c r="I1513" s="2" t="str">
        <f aca="false">IF(F1513&lt;&gt;"","N",IF(LEFT(B1513,10)="Arsenal v ","H","A"))</f>
        <v>A</v>
      </c>
      <c r="J1513" s="2"/>
    </row>
    <row r="1514" customFormat="false" ht="15" hidden="false" customHeight="false" outlineLevel="0" collapsed="false">
      <c r="A1514" s="3" t="n">
        <v>42312</v>
      </c>
      <c r="B1514" s="2" t="s">
        <v>400</v>
      </c>
      <c r="C1514" s="2" t="s">
        <v>704</v>
      </c>
      <c r="D1514" s="2" t="s">
        <v>401</v>
      </c>
      <c r="E1514" s="2" t="s">
        <v>352</v>
      </c>
      <c r="F1514" s="2"/>
      <c r="G1514" s="2" t="s">
        <v>355</v>
      </c>
      <c r="H1514" s="2" t="str">
        <f aca="false">IF(LEFT(B1514,10)="Arsenal v ",MID(B1514,11,100),LEFT(B1514,FIND(" v ",B1514)-1))</f>
        <v>Bayern Munchen</v>
      </c>
      <c r="I1514" s="2" t="str">
        <f aca="false">IF(F1514&lt;&gt;"","N",IF(LEFT(B1514,10)="Arsenal v ","H","A"))</f>
        <v>A</v>
      </c>
      <c r="J1514" s="2"/>
    </row>
    <row r="1515" customFormat="false" ht="15" hidden="false" customHeight="false" outlineLevel="0" collapsed="false">
      <c r="A1515" s="3" t="n">
        <v>42316</v>
      </c>
      <c r="B1515" s="2" t="s">
        <v>655</v>
      </c>
      <c r="C1515" s="2" t="s">
        <v>706</v>
      </c>
      <c r="D1515" s="2" t="s">
        <v>361</v>
      </c>
      <c r="E1515" s="2" t="s">
        <v>356</v>
      </c>
      <c r="F1515" s="2"/>
      <c r="G1515" s="2" t="s">
        <v>355</v>
      </c>
      <c r="H1515" s="2" t="str">
        <f aca="false">IF(LEFT(B1515,10)="Arsenal v ",MID(B1515,11,100),LEFT(B1515,FIND(" v ",B1515)-1))</f>
        <v>Tottenham Hotspur</v>
      </c>
      <c r="I1515" s="2" t="str">
        <f aca="false">IF(F1515&lt;&gt;"","N",IF(LEFT(B1515,10)="Arsenal v ","H","A"))</f>
        <v>H</v>
      </c>
      <c r="J1515" s="2"/>
    </row>
    <row r="1516" customFormat="false" ht="15" hidden="false" customHeight="false" outlineLevel="0" collapsed="false">
      <c r="A1516" s="3" t="n">
        <v>42329</v>
      </c>
      <c r="B1516" s="2" t="s">
        <v>571</v>
      </c>
      <c r="C1516" s="2" t="s">
        <v>704</v>
      </c>
      <c r="D1516" s="2" t="s">
        <v>359</v>
      </c>
      <c r="E1516" s="2" t="s">
        <v>356</v>
      </c>
      <c r="F1516" s="2"/>
      <c r="G1516" s="2" t="s">
        <v>355</v>
      </c>
      <c r="H1516" s="2" t="str">
        <f aca="false">IF(LEFT(B1516,10)="Arsenal v ",MID(B1516,11,100),LEFT(B1516,FIND(" v ",B1516)-1))</f>
        <v>West Bromwich Albion</v>
      </c>
      <c r="I1516" s="2" t="str">
        <f aca="false">IF(F1516&lt;&gt;"","N",IF(LEFT(B1516,10)="Arsenal v ","H","A"))</f>
        <v>A</v>
      </c>
      <c r="J1516" s="2"/>
    </row>
    <row r="1517" customFormat="false" ht="15" hidden="false" customHeight="false" outlineLevel="0" collapsed="false">
      <c r="A1517" s="3" t="n">
        <v>42332</v>
      </c>
      <c r="B1517" s="2" t="s">
        <v>812</v>
      </c>
      <c r="C1517" s="2" t="s">
        <v>702</v>
      </c>
      <c r="D1517" s="2" t="s">
        <v>434</v>
      </c>
      <c r="E1517" s="2" t="s">
        <v>352</v>
      </c>
      <c r="F1517" s="2"/>
      <c r="G1517" s="2" t="s">
        <v>355</v>
      </c>
      <c r="H1517" s="2" t="str">
        <f aca="false">IF(LEFT(B1517,10)="Arsenal v ",MID(B1517,11,100),LEFT(B1517,FIND(" v ",B1517)-1))</f>
        <v>Dinamo Zagreb</v>
      </c>
      <c r="I1517" s="2" t="str">
        <f aca="false">IF(F1517&lt;&gt;"","N",IF(LEFT(B1517,10)="Arsenal v ","H","A"))</f>
        <v>H</v>
      </c>
      <c r="J1517" s="2"/>
    </row>
    <row r="1518" customFormat="false" ht="15" hidden="false" customHeight="false" outlineLevel="0" collapsed="false">
      <c r="A1518" s="3" t="n">
        <v>42337</v>
      </c>
      <c r="B1518" s="2" t="s">
        <v>502</v>
      </c>
      <c r="C1518" s="2" t="s">
        <v>706</v>
      </c>
      <c r="D1518" s="2" t="s">
        <v>361</v>
      </c>
      <c r="E1518" s="2" t="s">
        <v>356</v>
      </c>
      <c r="F1518" s="2"/>
      <c r="G1518" s="2" t="s">
        <v>355</v>
      </c>
      <c r="H1518" s="2" t="str">
        <f aca="false">IF(LEFT(B1518,10)="Arsenal v ",MID(B1518,11,100),LEFT(B1518,FIND(" v ",B1518)-1))</f>
        <v>Norwich City</v>
      </c>
      <c r="I1518" s="2" t="str">
        <f aca="false">IF(F1518&lt;&gt;"","N",IF(LEFT(B1518,10)="Arsenal v ","H","A"))</f>
        <v>A</v>
      </c>
      <c r="J1518" s="2"/>
    </row>
    <row r="1519" customFormat="false" ht="15" hidden="false" customHeight="false" outlineLevel="0" collapsed="false">
      <c r="A1519" s="3" t="n">
        <v>42343</v>
      </c>
      <c r="B1519" s="2" t="s">
        <v>727</v>
      </c>
      <c r="C1519" s="2" t="s">
        <v>702</v>
      </c>
      <c r="D1519" s="2" t="s">
        <v>377</v>
      </c>
      <c r="E1519" s="2" t="s">
        <v>356</v>
      </c>
      <c r="F1519" s="2"/>
      <c r="G1519" s="2" t="s">
        <v>355</v>
      </c>
      <c r="H1519" s="2" t="str">
        <f aca="false">IF(LEFT(B1519,10)="Arsenal v ",MID(B1519,11,100),LEFT(B1519,FIND(" v ",B1519)-1))</f>
        <v>Sunderland</v>
      </c>
      <c r="I1519" s="2" t="str">
        <f aca="false">IF(F1519&lt;&gt;"","N",IF(LEFT(B1519,10)="Arsenal v ","H","A"))</f>
        <v>H</v>
      </c>
      <c r="J1519" s="2"/>
    </row>
    <row r="1520" customFormat="false" ht="15" hidden="false" customHeight="false" outlineLevel="0" collapsed="false">
      <c r="A1520" s="3" t="n">
        <v>42347</v>
      </c>
      <c r="B1520" s="2" t="s">
        <v>507</v>
      </c>
      <c r="C1520" s="2" t="s">
        <v>702</v>
      </c>
      <c r="D1520" s="2" t="s">
        <v>363</v>
      </c>
      <c r="E1520" s="2" t="s">
        <v>352</v>
      </c>
      <c r="F1520" s="2"/>
      <c r="G1520" s="2" t="s">
        <v>355</v>
      </c>
      <c r="H1520" s="2" t="str">
        <f aca="false">IF(LEFT(B1520,10)="Arsenal v ",MID(B1520,11,100),LEFT(B1520,FIND(" v ",B1520)-1))</f>
        <v>Olympiakos</v>
      </c>
      <c r="I1520" s="2" t="str">
        <f aca="false">IF(F1520&lt;&gt;"","N",IF(LEFT(B1520,10)="Arsenal v ","H","A"))</f>
        <v>A</v>
      </c>
      <c r="J1520" s="2"/>
    </row>
    <row r="1521" customFormat="false" ht="15" hidden="false" customHeight="false" outlineLevel="0" collapsed="false">
      <c r="A1521" s="3" t="n">
        <v>42351</v>
      </c>
      <c r="B1521" s="2" t="s">
        <v>376</v>
      </c>
      <c r="C1521" s="2" t="s">
        <v>702</v>
      </c>
      <c r="D1521" s="2" t="s">
        <v>353</v>
      </c>
      <c r="E1521" s="2" t="s">
        <v>356</v>
      </c>
      <c r="F1521" s="2"/>
      <c r="G1521" s="2" t="s">
        <v>355</v>
      </c>
      <c r="H1521" s="2" t="str">
        <f aca="false">IF(LEFT(B1521,10)="Arsenal v ",MID(B1521,11,100),LEFT(B1521,FIND(" v ",B1521)-1))</f>
        <v>Aston Villa</v>
      </c>
      <c r="I1521" s="2" t="str">
        <f aca="false">IF(F1521&lt;&gt;"","N",IF(LEFT(B1521,10)="Arsenal v ","H","A"))</f>
        <v>A</v>
      </c>
      <c r="J1521" s="2"/>
    </row>
    <row r="1522" customFormat="false" ht="15" hidden="false" customHeight="false" outlineLevel="0" collapsed="false">
      <c r="A1522" s="3" t="n">
        <v>42359</v>
      </c>
      <c r="B1522" s="2" t="s">
        <v>657</v>
      </c>
      <c r="C1522" s="2" t="s">
        <v>702</v>
      </c>
      <c r="D1522" s="2" t="s">
        <v>359</v>
      </c>
      <c r="E1522" s="2" t="s">
        <v>356</v>
      </c>
      <c r="F1522" s="2"/>
      <c r="G1522" s="2" t="s">
        <v>355</v>
      </c>
      <c r="H1522" s="2" t="str">
        <f aca="false">IF(LEFT(B1522,10)="Arsenal v ",MID(B1522,11,100),LEFT(B1522,FIND(" v ",B1522)-1))</f>
        <v>Manchester City</v>
      </c>
      <c r="I1522" s="2" t="str">
        <f aca="false">IF(F1522&lt;&gt;"","N",IF(LEFT(B1522,10)="Arsenal v ","H","A"))</f>
        <v>H</v>
      </c>
      <c r="J1522" s="2"/>
    </row>
    <row r="1523" customFormat="false" ht="15" hidden="false" customHeight="false" outlineLevel="0" collapsed="false">
      <c r="A1523" s="3" t="n">
        <v>42364</v>
      </c>
      <c r="B1523" s="2" t="s">
        <v>546</v>
      </c>
      <c r="C1523" s="2" t="s">
        <v>704</v>
      </c>
      <c r="D1523" s="2" t="s">
        <v>354</v>
      </c>
      <c r="E1523" s="2" t="s">
        <v>356</v>
      </c>
      <c r="F1523" s="2"/>
      <c r="G1523" s="2" t="s">
        <v>355</v>
      </c>
      <c r="H1523" s="2" t="str">
        <f aca="false">IF(LEFT(B1523,10)="Arsenal v ",MID(B1523,11,100),LEFT(B1523,FIND(" v ",B1523)-1))</f>
        <v>Southampton</v>
      </c>
      <c r="I1523" s="2" t="str">
        <f aca="false">IF(F1523&lt;&gt;"","N",IF(LEFT(B1523,10)="Arsenal v ","H","A"))</f>
        <v>A</v>
      </c>
      <c r="J1523" s="2"/>
    </row>
    <row r="1524" customFormat="false" ht="15" hidden="false" customHeight="false" outlineLevel="0" collapsed="false">
      <c r="A1524" s="3" t="n">
        <v>42366</v>
      </c>
      <c r="B1524" s="2" t="s">
        <v>841</v>
      </c>
      <c r="C1524" s="2" t="s">
        <v>702</v>
      </c>
      <c r="D1524" s="2" t="s">
        <v>351</v>
      </c>
      <c r="E1524" s="2" t="s">
        <v>356</v>
      </c>
      <c r="F1524" s="2"/>
      <c r="G1524" s="2" t="s">
        <v>355</v>
      </c>
      <c r="H1524" s="2" t="str">
        <f aca="false">IF(LEFT(B1524,10)="Arsenal v ",MID(B1524,11,100),LEFT(B1524,FIND(" v ",B1524)-1))</f>
        <v>AFC Bournemouth</v>
      </c>
      <c r="I1524" s="2" t="str">
        <f aca="false">IF(F1524&lt;&gt;"","N",IF(LEFT(B1524,10)="Arsenal v ","H","A"))</f>
        <v>H</v>
      </c>
      <c r="J1524" s="2"/>
    </row>
    <row r="1525" customFormat="false" ht="15" hidden="false" customHeight="false" outlineLevel="0" collapsed="false">
      <c r="A1525" s="3" t="n">
        <v>42371</v>
      </c>
      <c r="B1525" s="2" t="s">
        <v>719</v>
      </c>
      <c r="C1525" s="2" t="s">
        <v>702</v>
      </c>
      <c r="D1525" s="2" t="s">
        <v>348</v>
      </c>
      <c r="E1525" s="2" t="s">
        <v>356</v>
      </c>
      <c r="F1525" s="2"/>
      <c r="G1525" s="2" t="s">
        <v>355</v>
      </c>
      <c r="H1525" s="2" t="str">
        <f aca="false">IF(LEFT(B1525,10)="Arsenal v ",MID(B1525,11,100),LEFT(B1525,FIND(" v ",B1525)-1))</f>
        <v>Newcastle United</v>
      </c>
      <c r="I1525" s="2" t="str">
        <f aca="false">IF(F1525&lt;&gt;"","N",IF(LEFT(B1525,10)="Arsenal v ","H","A"))</f>
        <v>H</v>
      </c>
      <c r="J1525" s="2"/>
    </row>
    <row r="1526" customFormat="false" ht="15" hidden="false" customHeight="false" outlineLevel="0" collapsed="false">
      <c r="A1526" s="3" t="n">
        <v>42378</v>
      </c>
      <c r="B1526" s="2" t="s">
        <v>727</v>
      </c>
      <c r="C1526" s="2" t="s">
        <v>702</v>
      </c>
      <c r="D1526" s="2" t="s">
        <v>377</v>
      </c>
      <c r="E1526" s="2" t="s">
        <v>362</v>
      </c>
      <c r="F1526" s="2"/>
      <c r="G1526" s="2" t="s">
        <v>355</v>
      </c>
      <c r="H1526" s="2" t="str">
        <f aca="false">IF(LEFT(B1526,10)="Arsenal v ",MID(B1526,11,100),LEFT(B1526,FIND(" v ",B1526)-1))</f>
        <v>Sunderland</v>
      </c>
      <c r="I1526" s="2" t="str">
        <f aca="false">IF(F1526&lt;&gt;"","N",IF(LEFT(B1526,10)="Arsenal v ","H","A"))</f>
        <v>H</v>
      </c>
      <c r="J1526" s="2"/>
    </row>
    <row r="1527" customFormat="false" ht="15" hidden="false" customHeight="false" outlineLevel="0" collapsed="false">
      <c r="A1527" s="3" t="n">
        <v>42382</v>
      </c>
      <c r="B1527" s="2" t="s">
        <v>477</v>
      </c>
      <c r="C1527" s="2" t="s">
        <v>706</v>
      </c>
      <c r="D1527" s="2" t="s">
        <v>358</v>
      </c>
      <c r="E1527" s="2" t="s">
        <v>356</v>
      </c>
      <c r="F1527" s="2"/>
      <c r="G1527" s="2" t="s">
        <v>355</v>
      </c>
      <c r="H1527" s="2" t="str">
        <f aca="false">IF(LEFT(B1527,10)="Arsenal v ",MID(B1527,11,100),LEFT(B1527,FIND(" v ",B1527)-1))</f>
        <v>Liverpool</v>
      </c>
      <c r="I1527" s="2" t="str">
        <f aca="false">IF(F1527&lt;&gt;"","N",IF(LEFT(B1527,10)="Arsenal v ","H","A"))</f>
        <v>A</v>
      </c>
      <c r="J1527" s="2"/>
    </row>
    <row r="1528" customFormat="false" ht="15" hidden="false" customHeight="false" outlineLevel="0" collapsed="false">
      <c r="A1528" s="3" t="n">
        <v>42386</v>
      </c>
      <c r="B1528" s="2" t="s">
        <v>555</v>
      </c>
      <c r="C1528" s="2" t="s">
        <v>706</v>
      </c>
      <c r="D1528" s="2" t="s">
        <v>369</v>
      </c>
      <c r="E1528" s="2" t="s">
        <v>356</v>
      </c>
      <c r="F1528" s="2"/>
      <c r="G1528" s="2" t="s">
        <v>355</v>
      </c>
      <c r="H1528" s="2" t="str">
        <f aca="false">IF(LEFT(B1528,10)="Arsenal v ",MID(B1528,11,100),LEFT(B1528,FIND(" v ",B1528)-1))</f>
        <v>Stoke City</v>
      </c>
      <c r="I1528" s="2" t="str">
        <f aca="false">IF(F1528&lt;&gt;"","N",IF(LEFT(B1528,10)="Arsenal v ","H","A"))</f>
        <v>A</v>
      </c>
      <c r="J1528" s="2"/>
    </row>
    <row r="1529" customFormat="false" ht="15" hidden="false" customHeight="false" outlineLevel="0" collapsed="false">
      <c r="A1529" s="3" t="n">
        <v>42393</v>
      </c>
      <c r="B1529" s="2" t="s">
        <v>725</v>
      </c>
      <c r="C1529" s="2" t="s">
        <v>704</v>
      </c>
      <c r="D1529" s="2" t="s">
        <v>383</v>
      </c>
      <c r="E1529" s="2" t="s">
        <v>356</v>
      </c>
      <c r="F1529" s="2"/>
      <c r="G1529" s="2" t="s">
        <v>355</v>
      </c>
      <c r="H1529" s="2" t="str">
        <f aca="false">IF(LEFT(B1529,10)="Arsenal v ",MID(B1529,11,100),LEFT(B1529,FIND(" v ",B1529)-1))</f>
        <v>Chelsea</v>
      </c>
      <c r="I1529" s="2" t="str">
        <f aca="false">IF(F1529&lt;&gt;"","N",IF(LEFT(B1529,10)="Arsenal v ","H","A"))</f>
        <v>H</v>
      </c>
      <c r="J1529" s="2"/>
    </row>
    <row r="1530" customFormat="false" ht="15" hidden="false" customHeight="false" outlineLevel="0" collapsed="false">
      <c r="A1530" s="3" t="n">
        <v>42399</v>
      </c>
      <c r="B1530" s="2" t="s">
        <v>822</v>
      </c>
      <c r="C1530" s="2" t="s">
        <v>702</v>
      </c>
      <c r="D1530" s="2" t="s">
        <v>359</v>
      </c>
      <c r="E1530" s="2" t="s">
        <v>362</v>
      </c>
      <c r="F1530" s="2"/>
      <c r="G1530" s="2" t="s">
        <v>355</v>
      </c>
      <c r="H1530" s="2" t="str">
        <f aca="false">IF(LEFT(B1530,10)="Arsenal v ",MID(B1530,11,100),LEFT(B1530,FIND(" v ",B1530)-1))</f>
        <v>Burnley</v>
      </c>
      <c r="I1530" s="2" t="str">
        <f aca="false">IF(F1530&lt;&gt;"","N",IF(LEFT(B1530,10)="Arsenal v ","H","A"))</f>
        <v>H</v>
      </c>
      <c r="J1530" s="2"/>
    </row>
    <row r="1531" customFormat="false" ht="15" hidden="false" customHeight="false" outlineLevel="0" collapsed="false">
      <c r="A1531" s="3" t="n">
        <v>42402</v>
      </c>
      <c r="B1531" s="2" t="s">
        <v>705</v>
      </c>
      <c r="C1531" s="2" t="s">
        <v>706</v>
      </c>
      <c r="D1531" s="2" t="s">
        <v>369</v>
      </c>
      <c r="E1531" s="2" t="s">
        <v>356</v>
      </c>
      <c r="F1531" s="2"/>
      <c r="G1531" s="2" t="s">
        <v>355</v>
      </c>
      <c r="H1531" s="2" t="str">
        <f aca="false">IF(LEFT(B1531,10)="Arsenal v ",MID(B1531,11,100),LEFT(B1531,FIND(" v ",B1531)-1))</f>
        <v>Southampton</v>
      </c>
      <c r="I1531" s="2" t="str">
        <f aca="false">IF(F1531&lt;&gt;"","N",IF(LEFT(B1531,10)="Arsenal v ","H","A"))</f>
        <v>H</v>
      </c>
      <c r="J1531" s="2"/>
    </row>
    <row r="1532" customFormat="false" ht="15" hidden="false" customHeight="false" outlineLevel="0" collapsed="false">
      <c r="A1532" s="3" t="n">
        <v>42407</v>
      </c>
      <c r="B1532" s="2" t="s">
        <v>357</v>
      </c>
      <c r="C1532" s="2" t="s">
        <v>702</v>
      </c>
      <c r="D1532" s="2" t="s">
        <v>353</v>
      </c>
      <c r="E1532" s="2" t="s">
        <v>356</v>
      </c>
      <c r="F1532" s="2"/>
      <c r="G1532" s="2" t="s">
        <v>355</v>
      </c>
      <c r="H1532" s="2" t="str">
        <f aca="false">IF(LEFT(B1532,10)="Arsenal v ",MID(B1532,11,100),LEFT(B1532,FIND(" v ",B1532)-1))</f>
        <v>AFC Bournemouth</v>
      </c>
      <c r="I1532" s="2" t="str">
        <f aca="false">IF(F1532&lt;&gt;"","N",IF(LEFT(B1532,10)="Arsenal v ","H","A"))</f>
        <v>A</v>
      </c>
      <c r="J1532" s="2"/>
    </row>
    <row r="1533" customFormat="false" ht="15" hidden="false" customHeight="false" outlineLevel="0" collapsed="false">
      <c r="A1533" s="3" t="n">
        <v>42414</v>
      </c>
      <c r="B1533" s="2" t="s">
        <v>733</v>
      </c>
      <c r="C1533" s="2" t="s">
        <v>702</v>
      </c>
      <c r="D1533" s="2" t="s">
        <v>359</v>
      </c>
      <c r="E1533" s="2" t="s">
        <v>356</v>
      </c>
      <c r="F1533" s="2"/>
      <c r="G1533" s="2" t="s">
        <v>355</v>
      </c>
      <c r="H1533" s="2" t="str">
        <f aca="false">IF(LEFT(B1533,10)="Arsenal v ",MID(B1533,11,100),LEFT(B1533,FIND(" v ",B1533)-1))</f>
        <v>Leicester City</v>
      </c>
      <c r="I1533" s="2" t="str">
        <f aca="false">IF(F1533&lt;&gt;"","N",IF(LEFT(B1533,10)="Arsenal v ","H","A"))</f>
        <v>H</v>
      </c>
      <c r="J1533" s="2"/>
    </row>
    <row r="1534" customFormat="false" ht="15" hidden="false" customHeight="false" outlineLevel="0" collapsed="false">
      <c r="A1534" s="3" t="n">
        <v>42420</v>
      </c>
      <c r="B1534" s="2" t="s">
        <v>707</v>
      </c>
      <c r="C1534" s="2" t="s">
        <v>706</v>
      </c>
      <c r="D1534" s="2" t="s">
        <v>369</v>
      </c>
      <c r="E1534" s="2" t="s">
        <v>362</v>
      </c>
      <c r="F1534" s="2"/>
      <c r="G1534" s="2" t="s">
        <v>355</v>
      </c>
      <c r="H1534" s="2" t="str">
        <f aca="false">IF(LEFT(B1534,10)="Arsenal v ",MID(B1534,11,100),LEFT(B1534,FIND(" v ",B1534)-1))</f>
        <v>Hull City</v>
      </c>
      <c r="I1534" s="2" t="str">
        <f aca="false">IF(F1534&lt;&gt;"","N",IF(LEFT(B1534,10)="Arsenal v ","H","A"))</f>
        <v>H</v>
      </c>
      <c r="J1534" s="2"/>
    </row>
    <row r="1535" customFormat="false" ht="15" hidden="false" customHeight="false" outlineLevel="0" collapsed="false">
      <c r="A1535" s="3" t="n">
        <v>42423</v>
      </c>
      <c r="B1535" s="2" t="s">
        <v>664</v>
      </c>
      <c r="C1535" s="2" t="s">
        <v>704</v>
      </c>
      <c r="D1535" s="2" t="s">
        <v>353</v>
      </c>
      <c r="E1535" s="2" t="s">
        <v>352</v>
      </c>
      <c r="F1535" s="2"/>
      <c r="G1535" s="2" t="s">
        <v>355</v>
      </c>
      <c r="H1535" s="2" t="str">
        <f aca="false">IF(LEFT(B1535,10)="Arsenal v ",MID(B1535,11,100),LEFT(B1535,FIND(" v ",B1535)-1))</f>
        <v>Barcelona</v>
      </c>
      <c r="I1535" s="2" t="str">
        <f aca="false">IF(F1535&lt;&gt;"","N",IF(LEFT(B1535,10)="Arsenal v ","H","A"))</f>
        <v>H</v>
      </c>
      <c r="J1535" s="2"/>
    </row>
    <row r="1536" customFormat="false" ht="15" hidden="false" customHeight="false" outlineLevel="0" collapsed="false">
      <c r="A1536" s="3" t="n">
        <v>42428</v>
      </c>
      <c r="B1536" s="2" t="s">
        <v>490</v>
      </c>
      <c r="C1536" s="2" t="s">
        <v>704</v>
      </c>
      <c r="D1536" s="2" t="s">
        <v>382</v>
      </c>
      <c r="E1536" s="2" t="s">
        <v>356</v>
      </c>
      <c r="F1536" s="2"/>
      <c r="G1536" s="2" t="s">
        <v>355</v>
      </c>
      <c r="H1536" s="2" t="str">
        <f aca="false">IF(LEFT(B1536,10)="Arsenal v ",MID(B1536,11,100),LEFT(B1536,FIND(" v ",B1536)-1))</f>
        <v>Manchester United</v>
      </c>
      <c r="I1536" s="2" t="str">
        <f aca="false">IF(F1536&lt;&gt;"","N",IF(LEFT(B1536,10)="Arsenal v ","H","A"))</f>
        <v>A</v>
      </c>
      <c r="J1536" s="2"/>
    </row>
    <row r="1537" customFormat="false" ht="15" hidden="false" customHeight="false" outlineLevel="0" collapsed="false">
      <c r="A1537" s="3" t="n">
        <v>42431</v>
      </c>
      <c r="B1537" s="2" t="s">
        <v>831</v>
      </c>
      <c r="C1537" s="2" t="s">
        <v>704</v>
      </c>
      <c r="D1537" s="2" t="s">
        <v>360</v>
      </c>
      <c r="E1537" s="2" t="s">
        <v>356</v>
      </c>
      <c r="F1537" s="2"/>
      <c r="G1537" s="2" t="s">
        <v>355</v>
      </c>
      <c r="H1537" s="2" t="str">
        <f aca="false">IF(LEFT(B1537,10)="Arsenal v ",MID(B1537,11,100),LEFT(B1537,FIND(" v ",B1537)-1))</f>
        <v>Swansea City</v>
      </c>
      <c r="I1537" s="2" t="str">
        <f aca="false">IF(F1537&lt;&gt;"","N",IF(LEFT(B1537,10)="Arsenal v ","H","A"))</f>
        <v>H</v>
      </c>
      <c r="J1537" s="2"/>
    </row>
    <row r="1538" customFormat="false" ht="15" hidden="false" customHeight="false" outlineLevel="0" collapsed="false">
      <c r="A1538" s="3" t="n">
        <v>42434</v>
      </c>
      <c r="B1538" s="2" t="s">
        <v>561</v>
      </c>
      <c r="C1538" s="2" t="s">
        <v>706</v>
      </c>
      <c r="D1538" s="2" t="s">
        <v>380</v>
      </c>
      <c r="E1538" s="2" t="s">
        <v>356</v>
      </c>
      <c r="F1538" s="2"/>
      <c r="G1538" s="2" t="s">
        <v>355</v>
      </c>
      <c r="H1538" s="2" t="str">
        <f aca="false">IF(LEFT(B1538,10)="Arsenal v ",MID(B1538,11,100),LEFT(B1538,FIND(" v ",B1538)-1))</f>
        <v>Tottenham Hotspur</v>
      </c>
      <c r="I1538" s="2" t="str">
        <f aca="false">IF(F1538&lt;&gt;"","N",IF(LEFT(B1538,10)="Arsenal v ","H","A"))</f>
        <v>A</v>
      </c>
      <c r="J1538" s="2"/>
    </row>
    <row r="1539" customFormat="false" ht="15" hidden="false" customHeight="false" outlineLevel="0" collapsed="false">
      <c r="A1539" s="3" t="n">
        <v>42437</v>
      </c>
      <c r="B1539" s="2" t="s">
        <v>467</v>
      </c>
      <c r="C1539" s="2" t="s">
        <v>702</v>
      </c>
      <c r="D1539" s="2" t="s">
        <v>365</v>
      </c>
      <c r="E1539" s="2" t="s">
        <v>362</v>
      </c>
      <c r="F1539" s="2"/>
      <c r="G1539" s="2" t="s">
        <v>355</v>
      </c>
      <c r="H1539" s="2" t="str">
        <f aca="false">IF(LEFT(B1539,10)="Arsenal v ",MID(B1539,11,100),LEFT(B1539,FIND(" v ",B1539)-1))</f>
        <v>Hull City</v>
      </c>
      <c r="I1539" s="2" t="str">
        <f aca="false">IF(F1539&lt;&gt;"","N",IF(LEFT(B1539,10)="Arsenal v ","H","A"))</f>
        <v>A</v>
      </c>
      <c r="J1539" s="2"/>
    </row>
    <row r="1540" customFormat="false" ht="15" hidden="false" customHeight="false" outlineLevel="0" collapsed="false">
      <c r="A1540" s="3" t="n">
        <v>42442</v>
      </c>
      <c r="B1540" s="2" t="s">
        <v>764</v>
      </c>
      <c r="C1540" s="2" t="s">
        <v>704</v>
      </c>
      <c r="D1540" s="2" t="s">
        <v>360</v>
      </c>
      <c r="E1540" s="2" t="s">
        <v>362</v>
      </c>
      <c r="F1540" s="2"/>
      <c r="G1540" s="2" t="s">
        <v>355</v>
      </c>
      <c r="H1540" s="2" t="str">
        <f aca="false">IF(LEFT(B1540,10)="Arsenal v ",MID(B1540,11,100),LEFT(B1540,FIND(" v ",B1540)-1))</f>
        <v>Watford</v>
      </c>
      <c r="I1540" s="2" t="str">
        <f aca="false">IF(F1540&lt;&gt;"","N",IF(LEFT(B1540,10)="Arsenal v ","H","A"))</f>
        <v>H</v>
      </c>
      <c r="J1540" s="2"/>
    </row>
    <row r="1541" customFormat="false" ht="15" hidden="false" customHeight="false" outlineLevel="0" collapsed="false">
      <c r="A1541" s="3" t="n">
        <v>42445</v>
      </c>
      <c r="B1541" s="2" t="s">
        <v>396</v>
      </c>
      <c r="C1541" s="2" t="s">
        <v>704</v>
      </c>
      <c r="D1541" s="2" t="s">
        <v>377</v>
      </c>
      <c r="E1541" s="2" t="s">
        <v>352</v>
      </c>
      <c r="F1541" s="2"/>
      <c r="G1541" s="2" t="s">
        <v>355</v>
      </c>
      <c r="H1541" s="2" t="str">
        <f aca="false">IF(LEFT(B1541,10)="Arsenal v ",MID(B1541,11,100),LEFT(B1541,FIND(" v ",B1541)-1))</f>
        <v>Barcelona</v>
      </c>
      <c r="I1541" s="2" t="str">
        <f aca="false">IF(F1541&lt;&gt;"","N",IF(LEFT(B1541,10)="Arsenal v ","H","A"))</f>
        <v>A</v>
      </c>
      <c r="J1541" s="2"/>
    </row>
    <row r="1542" customFormat="false" ht="15" hidden="false" customHeight="false" outlineLevel="0" collapsed="false">
      <c r="A1542" s="3" t="n">
        <v>42448</v>
      </c>
      <c r="B1542" s="2" t="s">
        <v>448</v>
      </c>
      <c r="C1542" s="2" t="s">
        <v>702</v>
      </c>
      <c r="D1542" s="2" t="s">
        <v>353</v>
      </c>
      <c r="E1542" s="2" t="s">
        <v>356</v>
      </c>
      <c r="F1542" s="2"/>
      <c r="G1542" s="2" t="s">
        <v>355</v>
      </c>
      <c r="H1542" s="2" t="str">
        <f aca="false">IF(LEFT(B1542,10)="Arsenal v ",MID(B1542,11,100),LEFT(B1542,FIND(" v ",B1542)-1))</f>
        <v>Everton</v>
      </c>
      <c r="I1542" s="2" t="str">
        <f aca="false">IF(F1542&lt;&gt;"","N",IF(LEFT(B1542,10)="Arsenal v ","H","A"))</f>
        <v>A</v>
      </c>
      <c r="J1542" s="2"/>
    </row>
    <row r="1543" customFormat="false" ht="15" hidden="false" customHeight="false" outlineLevel="0" collapsed="false">
      <c r="A1543" s="3" t="n">
        <v>42462</v>
      </c>
      <c r="B1543" s="2" t="s">
        <v>764</v>
      </c>
      <c r="C1543" s="2" t="s">
        <v>702</v>
      </c>
      <c r="D1543" s="2" t="s">
        <v>354</v>
      </c>
      <c r="E1543" s="2" t="s">
        <v>356</v>
      </c>
      <c r="F1543" s="2"/>
      <c r="G1543" s="2" t="s">
        <v>355</v>
      </c>
      <c r="H1543" s="2" t="str">
        <f aca="false">IF(LEFT(B1543,10)="Arsenal v ",MID(B1543,11,100),LEFT(B1543,FIND(" v ",B1543)-1))</f>
        <v>Watford</v>
      </c>
      <c r="I1543" s="2" t="str">
        <f aca="false">IF(F1543&lt;&gt;"","N",IF(LEFT(B1543,10)="Arsenal v ","H","A"))</f>
        <v>H</v>
      </c>
      <c r="J1543" s="2"/>
    </row>
    <row r="1544" customFormat="false" ht="15" hidden="false" customHeight="false" outlineLevel="0" collapsed="false">
      <c r="A1544" s="3" t="n">
        <v>42469</v>
      </c>
      <c r="B1544" s="2" t="s">
        <v>572</v>
      </c>
      <c r="C1544" s="2" t="s">
        <v>706</v>
      </c>
      <c r="D1544" s="2" t="s">
        <v>358</v>
      </c>
      <c r="E1544" s="2" t="s">
        <v>356</v>
      </c>
      <c r="F1544" s="2"/>
      <c r="G1544" s="2" t="s">
        <v>355</v>
      </c>
      <c r="H1544" s="2" t="str">
        <f aca="false">IF(LEFT(B1544,10)="Arsenal v ",MID(B1544,11,100),LEFT(B1544,FIND(" v ",B1544)-1))</f>
        <v>West Ham United</v>
      </c>
      <c r="I1544" s="2" t="str">
        <f aca="false">IF(F1544&lt;&gt;"","N",IF(LEFT(B1544,10)="Arsenal v ","H","A"))</f>
        <v>A</v>
      </c>
      <c r="J1544" s="2"/>
    </row>
    <row r="1545" customFormat="false" ht="15" hidden="false" customHeight="false" outlineLevel="0" collapsed="false">
      <c r="A1545" s="3" t="n">
        <v>42477</v>
      </c>
      <c r="B1545" s="2" t="s">
        <v>724</v>
      </c>
      <c r="C1545" s="2" t="s">
        <v>706</v>
      </c>
      <c r="D1545" s="2" t="s">
        <v>361</v>
      </c>
      <c r="E1545" s="2" t="s">
        <v>356</v>
      </c>
      <c r="F1545" s="2"/>
      <c r="G1545" s="2" t="s">
        <v>355</v>
      </c>
      <c r="H1545" s="2" t="str">
        <f aca="false">IF(LEFT(B1545,10)="Arsenal v ",MID(B1545,11,100),LEFT(B1545,FIND(" v ",B1545)-1))</f>
        <v>Crystal Palace</v>
      </c>
      <c r="I1545" s="2" t="str">
        <f aca="false">IF(F1545&lt;&gt;"","N",IF(LEFT(B1545,10)="Arsenal v ","H","A"))</f>
        <v>H</v>
      </c>
      <c r="J1545" s="2"/>
    </row>
    <row r="1546" customFormat="false" ht="15" hidden="false" customHeight="false" outlineLevel="0" collapsed="false">
      <c r="A1546" s="3" t="n">
        <v>42481</v>
      </c>
      <c r="B1546" s="2" t="s">
        <v>788</v>
      </c>
      <c r="C1546" s="2" t="s">
        <v>702</v>
      </c>
      <c r="D1546" s="2" t="s">
        <v>351</v>
      </c>
      <c r="E1546" s="2" t="s">
        <v>356</v>
      </c>
      <c r="F1546" s="2"/>
      <c r="G1546" s="2" t="s">
        <v>355</v>
      </c>
      <c r="H1546" s="2" t="str">
        <f aca="false">IF(LEFT(B1546,10)="Arsenal v ",MID(B1546,11,100),LEFT(B1546,FIND(" v ",B1546)-1))</f>
        <v>West Bromwich Albion</v>
      </c>
      <c r="I1546" s="2" t="str">
        <f aca="false">IF(F1546&lt;&gt;"","N",IF(LEFT(B1546,10)="Arsenal v ","H","A"))</f>
        <v>H</v>
      </c>
      <c r="J1546" s="2"/>
    </row>
    <row r="1547" customFormat="false" ht="15" hidden="false" customHeight="false" outlineLevel="0" collapsed="false">
      <c r="A1547" s="3" t="n">
        <v>42484</v>
      </c>
      <c r="B1547" s="2" t="s">
        <v>556</v>
      </c>
      <c r="C1547" s="2" t="s">
        <v>706</v>
      </c>
      <c r="D1547" s="2" t="s">
        <v>369</v>
      </c>
      <c r="E1547" s="2" t="s">
        <v>356</v>
      </c>
      <c r="F1547" s="2"/>
      <c r="G1547" s="2" t="s">
        <v>355</v>
      </c>
      <c r="H1547" s="2" t="str">
        <f aca="false">IF(LEFT(B1547,10)="Arsenal v ",MID(B1547,11,100),LEFT(B1547,FIND(" v ",B1547)-1))</f>
        <v>Sunderland</v>
      </c>
      <c r="I1547" s="2" t="str">
        <f aca="false">IF(F1547&lt;&gt;"","N",IF(LEFT(B1547,10)="Arsenal v ","H","A"))</f>
        <v>A</v>
      </c>
      <c r="J1547" s="2"/>
    </row>
    <row r="1548" customFormat="false" ht="15" hidden="false" customHeight="false" outlineLevel="0" collapsed="false">
      <c r="A1548" s="3" t="n">
        <v>42490</v>
      </c>
      <c r="B1548" s="2" t="s">
        <v>720</v>
      </c>
      <c r="C1548" s="2" t="s">
        <v>702</v>
      </c>
      <c r="D1548" s="2" t="s">
        <v>348</v>
      </c>
      <c r="E1548" s="2" t="s">
        <v>356</v>
      </c>
      <c r="F1548" s="2"/>
      <c r="G1548" s="2" t="s">
        <v>355</v>
      </c>
      <c r="H1548" s="2" t="str">
        <f aca="false">IF(LEFT(B1548,10)="Arsenal v ",MID(B1548,11,100),LEFT(B1548,FIND(" v ",B1548)-1))</f>
        <v>Norwich City</v>
      </c>
      <c r="I1548" s="2" t="str">
        <f aca="false">IF(F1548&lt;&gt;"","N",IF(LEFT(B1548,10)="Arsenal v ","H","A"))</f>
        <v>H</v>
      </c>
      <c r="J1548" s="2"/>
    </row>
    <row r="1549" customFormat="false" ht="15" hidden="false" customHeight="false" outlineLevel="0" collapsed="false">
      <c r="A1549" s="3" t="n">
        <v>42498</v>
      </c>
      <c r="B1549" s="2" t="s">
        <v>487</v>
      </c>
      <c r="C1549" s="2" t="s">
        <v>706</v>
      </c>
      <c r="D1549" s="2" t="s">
        <v>380</v>
      </c>
      <c r="E1549" s="2" t="s">
        <v>356</v>
      </c>
      <c r="F1549" s="2"/>
      <c r="G1549" s="2" t="s">
        <v>355</v>
      </c>
      <c r="H1549" s="2" t="str">
        <f aca="false">IF(LEFT(B1549,10)="Arsenal v ",MID(B1549,11,100),LEFT(B1549,FIND(" v ",B1549)-1))</f>
        <v>Manchester City</v>
      </c>
      <c r="I1549" s="2" t="str">
        <f aca="false">IF(F1549&lt;&gt;"","N",IF(LEFT(B1549,10)="Arsenal v ","H","A"))</f>
        <v>A</v>
      </c>
      <c r="J1549" s="2"/>
    </row>
    <row r="1550" customFormat="false" ht="15" hidden="false" customHeight="false" outlineLevel="0" collapsed="false">
      <c r="A1550" s="3" t="n">
        <v>42505</v>
      </c>
      <c r="B1550" s="2" t="s">
        <v>703</v>
      </c>
      <c r="C1550" s="2" t="s">
        <v>702</v>
      </c>
      <c r="D1550" s="2" t="s">
        <v>354</v>
      </c>
      <c r="E1550" s="2" t="s">
        <v>356</v>
      </c>
      <c r="F1550" s="2"/>
      <c r="G1550" s="2" t="s">
        <v>355</v>
      </c>
      <c r="H1550" s="2" t="str">
        <f aca="false">IF(LEFT(B1550,10)="Arsenal v ",MID(B1550,11,100),LEFT(B1550,FIND(" v ",B1550)-1))</f>
        <v>Aston Villa</v>
      </c>
      <c r="I1550" s="2" t="str">
        <f aca="false">IF(F1550&lt;&gt;"","N",IF(LEFT(B1550,10)="Arsenal v ","H","A"))</f>
        <v>H</v>
      </c>
      <c r="J1550" s="2"/>
    </row>
    <row r="1551" customFormat="false" ht="15" hidden="false" customHeight="false" outlineLevel="0" collapsed="false">
      <c r="A1551" s="3" t="n">
        <v>42596</v>
      </c>
      <c r="B1551" s="2" t="s">
        <v>710</v>
      </c>
      <c r="C1551" s="2" t="s">
        <v>704</v>
      </c>
      <c r="D1551" s="2" t="s">
        <v>486</v>
      </c>
      <c r="E1551" s="2" t="s">
        <v>356</v>
      </c>
      <c r="F1551" s="2"/>
      <c r="G1551" s="2" t="s">
        <v>138</v>
      </c>
      <c r="H1551" s="2" t="str">
        <f aca="false">IF(LEFT(B1551,10)="Arsenal v ",MID(B1551,11,100),LEFT(B1551,FIND(" v ",B1551)-1))</f>
        <v>Liverpool</v>
      </c>
      <c r="I1551" s="2" t="str">
        <f aca="false">IF(F1551&lt;&gt;"","N",IF(LEFT(B1551,10)="Arsenal v ","H","A"))</f>
        <v>H</v>
      </c>
      <c r="J1551" s="2"/>
    </row>
    <row r="1552" customFormat="false" ht="15" hidden="false" customHeight="false" outlineLevel="0" collapsed="false">
      <c r="A1552" s="3" t="n">
        <v>42602</v>
      </c>
      <c r="B1552" s="2" t="s">
        <v>474</v>
      </c>
      <c r="C1552" s="2" t="s">
        <v>706</v>
      </c>
      <c r="D1552" s="2" t="s">
        <v>369</v>
      </c>
      <c r="E1552" s="2" t="s">
        <v>356</v>
      </c>
      <c r="F1552" s="2"/>
      <c r="G1552" s="2" t="s">
        <v>138</v>
      </c>
      <c r="H1552" s="2" t="str">
        <f aca="false">IF(LEFT(B1552,10)="Arsenal v ",MID(B1552,11,100),LEFT(B1552,FIND(" v ",B1552)-1))</f>
        <v>Leicester City</v>
      </c>
      <c r="I1552" s="2" t="str">
        <f aca="false">IF(F1552&lt;&gt;"","N",IF(LEFT(B1552,10)="Arsenal v ","H","A"))</f>
        <v>A</v>
      </c>
      <c r="J1552" s="2"/>
    </row>
    <row r="1553" customFormat="false" ht="15" hidden="false" customHeight="false" outlineLevel="0" collapsed="false">
      <c r="A1553" s="3" t="n">
        <v>42609</v>
      </c>
      <c r="B1553" s="2" t="s">
        <v>569</v>
      </c>
      <c r="C1553" s="2" t="s">
        <v>702</v>
      </c>
      <c r="D1553" s="2" t="s">
        <v>373</v>
      </c>
      <c r="E1553" s="2" t="s">
        <v>356</v>
      </c>
      <c r="F1553" s="2"/>
      <c r="G1553" s="2" t="s">
        <v>138</v>
      </c>
      <c r="H1553" s="2" t="str">
        <f aca="false">IF(LEFT(B1553,10)="Arsenal v ",MID(B1553,11,100),LEFT(B1553,FIND(" v ",B1553)-1))</f>
        <v>Watford</v>
      </c>
      <c r="I1553" s="2" t="str">
        <f aca="false">IF(F1553&lt;&gt;"","N",IF(LEFT(B1553,10)="Arsenal v ","H","A"))</f>
        <v>A</v>
      </c>
      <c r="J1553" s="2"/>
    </row>
    <row r="1554" customFormat="false" ht="15" hidden="false" customHeight="false" outlineLevel="0" collapsed="false">
      <c r="A1554" s="3" t="n">
        <v>42623</v>
      </c>
      <c r="B1554" s="2" t="s">
        <v>705</v>
      </c>
      <c r="C1554" s="2" t="s">
        <v>702</v>
      </c>
      <c r="D1554" s="2" t="s">
        <v>359</v>
      </c>
      <c r="E1554" s="2" t="s">
        <v>356</v>
      </c>
      <c r="F1554" s="2"/>
      <c r="G1554" s="2" t="s">
        <v>138</v>
      </c>
      <c r="H1554" s="2" t="str">
        <f aca="false">IF(LEFT(B1554,10)="Arsenal v ",MID(B1554,11,100),LEFT(B1554,FIND(" v ",B1554)-1))</f>
        <v>Southampton</v>
      </c>
      <c r="I1554" s="2" t="str">
        <f aca="false">IF(F1554&lt;&gt;"","N",IF(LEFT(B1554,10)="Arsenal v ","H","A"))</f>
        <v>H</v>
      </c>
      <c r="J1554" s="2"/>
    </row>
    <row r="1555" customFormat="false" ht="15" hidden="false" customHeight="false" outlineLevel="0" collapsed="false">
      <c r="A1555" s="3" t="n">
        <v>42626</v>
      </c>
      <c r="B1555" s="2" t="s">
        <v>514</v>
      </c>
      <c r="C1555" s="2" t="s">
        <v>706</v>
      </c>
      <c r="D1555" s="2" t="s">
        <v>361</v>
      </c>
      <c r="E1555" s="2" t="s">
        <v>352</v>
      </c>
      <c r="F1555" s="2"/>
      <c r="G1555" s="2" t="s">
        <v>138</v>
      </c>
      <c r="H1555" s="2" t="str">
        <f aca="false">IF(LEFT(B1555,10)="Arsenal v ",MID(B1555,11,100),LEFT(B1555,FIND(" v ",B1555)-1))</f>
        <v>Paris St Germain</v>
      </c>
      <c r="I1555" s="2" t="str">
        <f aca="false">IF(F1555&lt;&gt;"","N",IF(LEFT(B1555,10)="Arsenal v ","H","A"))</f>
        <v>A</v>
      </c>
      <c r="J1555" s="2"/>
    </row>
    <row r="1556" customFormat="false" ht="15" hidden="false" customHeight="false" outlineLevel="0" collapsed="false">
      <c r="A1556" s="3" t="n">
        <v>42630</v>
      </c>
      <c r="B1556" s="2" t="s">
        <v>467</v>
      </c>
      <c r="C1556" s="2" t="s">
        <v>702</v>
      </c>
      <c r="D1556" s="2" t="s">
        <v>407</v>
      </c>
      <c r="E1556" s="2" t="s">
        <v>356</v>
      </c>
      <c r="F1556" s="2"/>
      <c r="G1556" s="2" t="s">
        <v>138</v>
      </c>
      <c r="H1556" s="2" t="str">
        <f aca="false">IF(LEFT(B1556,10)="Arsenal v ",MID(B1556,11,100),LEFT(B1556,FIND(" v ",B1556)-1))</f>
        <v>Hull City</v>
      </c>
      <c r="I1556" s="2" t="str">
        <f aca="false">IF(F1556&lt;&gt;"","N",IF(LEFT(B1556,10)="Arsenal v ","H","A"))</f>
        <v>A</v>
      </c>
      <c r="J1556" s="2"/>
    </row>
    <row r="1557" customFormat="false" ht="15" hidden="false" customHeight="false" outlineLevel="0" collapsed="false">
      <c r="A1557" s="3" t="n">
        <v>42633</v>
      </c>
      <c r="B1557" s="2" t="s">
        <v>503</v>
      </c>
      <c r="C1557" s="2" t="s">
        <v>702</v>
      </c>
      <c r="D1557" s="2" t="s">
        <v>365</v>
      </c>
      <c r="E1557" s="2" t="s">
        <v>379</v>
      </c>
      <c r="F1557" s="2"/>
      <c r="G1557" s="2" t="s">
        <v>138</v>
      </c>
      <c r="H1557" s="2" t="str">
        <f aca="false">IF(LEFT(B1557,10)="Arsenal v ",MID(B1557,11,100),LEFT(B1557,FIND(" v ",B1557)-1))</f>
        <v>Nottingham Forest</v>
      </c>
      <c r="I1557" s="2" t="str">
        <f aca="false">IF(F1557&lt;&gt;"","N",IF(LEFT(B1557,10)="Arsenal v ","H","A"))</f>
        <v>A</v>
      </c>
      <c r="J1557" s="2"/>
    </row>
    <row r="1558" customFormat="false" ht="15" hidden="false" customHeight="false" outlineLevel="0" collapsed="false">
      <c r="A1558" s="3" t="n">
        <v>42637</v>
      </c>
      <c r="B1558" s="2" t="s">
        <v>725</v>
      </c>
      <c r="C1558" s="2" t="s">
        <v>702</v>
      </c>
      <c r="D1558" s="2" t="s">
        <v>434</v>
      </c>
      <c r="E1558" s="2" t="s">
        <v>356</v>
      </c>
      <c r="F1558" s="2"/>
      <c r="G1558" s="2" t="s">
        <v>138</v>
      </c>
      <c r="H1558" s="2" t="str">
        <f aca="false">IF(LEFT(B1558,10)="Arsenal v ",MID(B1558,11,100),LEFT(B1558,FIND(" v ",B1558)-1))</f>
        <v>Chelsea</v>
      </c>
      <c r="I1558" s="2" t="str">
        <f aca="false">IF(F1558&lt;&gt;"","N",IF(LEFT(B1558,10)="Arsenal v ","H","A"))</f>
        <v>H</v>
      </c>
      <c r="J1558" s="2"/>
    </row>
    <row r="1559" customFormat="false" ht="15" hidden="false" customHeight="false" outlineLevel="0" collapsed="false">
      <c r="A1559" s="3" t="n">
        <v>42641</v>
      </c>
      <c r="B1559" s="2" t="s">
        <v>842</v>
      </c>
      <c r="C1559" s="2" t="s">
        <v>702</v>
      </c>
      <c r="D1559" s="2" t="s">
        <v>351</v>
      </c>
      <c r="E1559" s="2" t="s">
        <v>352</v>
      </c>
      <c r="F1559" s="2"/>
      <c r="G1559" s="2" t="s">
        <v>138</v>
      </c>
      <c r="H1559" s="2" t="str">
        <f aca="false">IF(LEFT(B1559,10)="Arsenal v ",MID(B1559,11,100),LEFT(B1559,FIND(" v ",B1559)-1))</f>
        <v>FC Basel</v>
      </c>
      <c r="I1559" s="2" t="str">
        <f aca="false">IF(F1559&lt;&gt;"","N",IF(LEFT(B1559,10)="Arsenal v ","H","A"))</f>
        <v>H</v>
      </c>
      <c r="J1559" s="2"/>
    </row>
    <row r="1560" customFormat="false" ht="15" hidden="false" customHeight="false" outlineLevel="0" collapsed="false">
      <c r="A1560" s="3" t="n">
        <v>42645</v>
      </c>
      <c r="B1560" s="2" t="s">
        <v>419</v>
      </c>
      <c r="C1560" s="2" t="s">
        <v>702</v>
      </c>
      <c r="D1560" s="2" t="s">
        <v>383</v>
      </c>
      <c r="E1560" s="2" t="s">
        <v>356</v>
      </c>
      <c r="F1560" s="2"/>
      <c r="G1560" s="2" t="s">
        <v>138</v>
      </c>
      <c r="H1560" s="2" t="str">
        <f aca="false">IF(LEFT(B1560,10)="Arsenal v ",MID(B1560,11,100),LEFT(B1560,FIND(" v ",B1560)-1))</f>
        <v>Burnley</v>
      </c>
      <c r="I1560" s="2" t="str">
        <f aca="false">IF(F1560&lt;&gt;"","N",IF(LEFT(B1560,10)="Arsenal v ","H","A"))</f>
        <v>A</v>
      </c>
      <c r="J1560" s="2"/>
    </row>
    <row r="1561" customFormat="false" ht="15" hidden="false" customHeight="false" outlineLevel="0" collapsed="false">
      <c r="A1561" s="3" t="n">
        <v>42658</v>
      </c>
      <c r="B1561" s="2" t="s">
        <v>831</v>
      </c>
      <c r="C1561" s="2" t="s">
        <v>702</v>
      </c>
      <c r="D1561" s="2" t="s">
        <v>382</v>
      </c>
      <c r="E1561" s="2" t="s">
        <v>356</v>
      </c>
      <c r="F1561" s="2"/>
      <c r="G1561" s="2" t="s">
        <v>138</v>
      </c>
      <c r="H1561" s="2" t="str">
        <f aca="false">IF(LEFT(B1561,10)="Arsenal v ",MID(B1561,11,100),LEFT(B1561,FIND(" v ",B1561)-1))</f>
        <v>Swansea City</v>
      </c>
      <c r="I1561" s="2" t="str">
        <f aca="false">IF(F1561&lt;&gt;"","N",IF(LEFT(B1561,10)="Arsenal v ","H","A"))</f>
        <v>H</v>
      </c>
      <c r="J1561" s="2"/>
    </row>
    <row r="1562" customFormat="false" ht="15" hidden="false" customHeight="false" outlineLevel="0" collapsed="false">
      <c r="A1562" s="3" t="n">
        <v>42662</v>
      </c>
      <c r="B1562" s="2" t="s">
        <v>843</v>
      </c>
      <c r="C1562" s="2" t="s">
        <v>702</v>
      </c>
      <c r="D1562" s="2" t="s">
        <v>428</v>
      </c>
      <c r="E1562" s="2" t="s">
        <v>352</v>
      </c>
      <c r="F1562" s="2"/>
      <c r="G1562" s="2" t="s">
        <v>138</v>
      </c>
      <c r="H1562" s="2" t="str">
        <f aca="false">IF(LEFT(B1562,10)="Arsenal v ",MID(B1562,11,100),LEFT(B1562,FIND(" v ",B1562)-1))</f>
        <v>PFC Ludogorets Razgrad</v>
      </c>
      <c r="I1562" s="2" t="str">
        <f aca="false">IF(F1562&lt;&gt;"","N",IF(LEFT(B1562,10)="Arsenal v ","H","A"))</f>
        <v>H</v>
      </c>
      <c r="J1562" s="2"/>
    </row>
    <row r="1563" customFormat="false" ht="15" hidden="false" customHeight="false" outlineLevel="0" collapsed="false">
      <c r="A1563" s="3" t="n">
        <v>42665</v>
      </c>
      <c r="B1563" s="2" t="s">
        <v>711</v>
      </c>
      <c r="C1563" s="2" t="s">
        <v>706</v>
      </c>
      <c r="D1563" s="2" t="s">
        <v>369</v>
      </c>
      <c r="E1563" s="2" t="s">
        <v>356</v>
      </c>
      <c r="F1563" s="2"/>
      <c r="G1563" s="2" t="s">
        <v>138</v>
      </c>
      <c r="H1563" s="2" t="str">
        <f aca="false">IF(LEFT(B1563,10)="Arsenal v ",MID(B1563,11,100),LEFT(B1563,FIND(" v ",B1563)-1))</f>
        <v>Middlesbrough</v>
      </c>
      <c r="I1563" s="2" t="str">
        <f aca="false">IF(F1563&lt;&gt;"","N",IF(LEFT(B1563,10)="Arsenal v ","H","A"))</f>
        <v>H</v>
      </c>
      <c r="J1563" s="2"/>
    </row>
    <row r="1564" customFormat="false" ht="15" hidden="false" customHeight="false" outlineLevel="0" collapsed="false">
      <c r="A1564" s="3" t="n">
        <v>42668</v>
      </c>
      <c r="B1564" s="2" t="s">
        <v>806</v>
      </c>
      <c r="C1564" s="2" t="s">
        <v>702</v>
      </c>
      <c r="D1564" s="2" t="s">
        <v>351</v>
      </c>
      <c r="E1564" s="2" t="s">
        <v>379</v>
      </c>
      <c r="F1564" s="2"/>
      <c r="G1564" s="2" t="s">
        <v>138</v>
      </c>
      <c r="H1564" s="2" t="str">
        <f aca="false">IF(LEFT(B1564,10)="Arsenal v ",MID(B1564,11,100),LEFT(B1564,FIND(" v ",B1564)-1))</f>
        <v>Reading</v>
      </c>
      <c r="I1564" s="2" t="str">
        <f aca="false">IF(F1564&lt;&gt;"","N",IF(LEFT(B1564,10)="Arsenal v ","H","A"))</f>
        <v>H</v>
      </c>
      <c r="J1564" s="2"/>
    </row>
    <row r="1565" customFormat="false" ht="15" hidden="false" customHeight="false" outlineLevel="0" collapsed="false">
      <c r="A1565" s="3" t="n">
        <v>42672</v>
      </c>
      <c r="B1565" s="2" t="s">
        <v>556</v>
      </c>
      <c r="C1565" s="2" t="s">
        <v>702</v>
      </c>
      <c r="D1565" s="2" t="s">
        <v>407</v>
      </c>
      <c r="E1565" s="2" t="s">
        <v>356</v>
      </c>
      <c r="F1565" s="2"/>
      <c r="G1565" s="2" t="s">
        <v>138</v>
      </c>
      <c r="H1565" s="2" t="str">
        <f aca="false">IF(LEFT(B1565,10)="Arsenal v ",MID(B1565,11,100),LEFT(B1565,FIND(" v ",B1565)-1))</f>
        <v>Sunderland</v>
      </c>
      <c r="I1565" s="2" t="str">
        <f aca="false">IF(F1565&lt;&gt;"","N",IF(LEFT(B1565,10)="Arsenal v ","H","A"))</f>
        <v>A</v>
      </c>
      <c r="J1565" s="2"/>
    </row>
    <row r="1566" customFormat="false" ht="15" hidden="false" customHeight="false" outlineLevel="0" collapsed="false">
      <c r="A1566" s="3" t="n">
        <v>42675</v>
      </c>
      <c r="B1566" s="2" t="s">
        <v>516</v>
      </c>
      <c r="C1566" s="2" t="s">
        <v>702</v>
      </c>
      <c r="D1566" s="2" t="s">
        <v>366</v>
      </c>
      <c r="E1566" s="2" t="s">
        <v>352</v>
      </c>
      <c r="F1566" s="2"/>
      <c r="G1566" s="2" t="s">
        <v>138</v>
      </c>
      <c r="H1566" s="2" t="str">
        <f aca="false">IF(LEFT(B1566,10)="Arsenal v ",MID(B1566,11,100),LEFT(B1566,FIND(" v ",B1566)-1))</f>
        <v>PFC Ludogorets Razgrad</v>
      </c>
      <c r="I1566" s="2" t="str">
        <f aca="false">IF(F1566&lt;&gt;"","N",IF(LEFT(B1566,10)="Arsenal v ","H","A"))</f>
        <v>A</v>
      </c>
      <c r="J1566" s="2"/>
    </row>
    <row r="1567" customFormat="false" ht="15" hidden="false" customHeight="false" outlineLevel="0" collapsed="false">
      <c r="A1567" s="3" t="n">
        <v>42680</v>
      </c>
      <c r="B1567" s="2" t="s">
        <v>655</v>
      </c>
      <c r="C1567" s="2" t="s">
        <v>706</v>
      </c>
      <c r="D1567" s="2" t="s">
        <v>361</v>
      </c>
      <c r="E1567" s="2" t="s">
        <v>356</v>
      </c>
      <c r="F1567" s="2"/>
      <c r="G1567" s="2" t="s">
        <v>138</v>
      </c>
      <c r="H1567" s="2" t="str">
        <f aca="false">IF(LEFT(B1567,10)="Arsenal v ",MID(B1567,11,100),LEFT(B1567,FIND(" v ",B1567)-1))</f>
        <v>Tottenham Hotspur</v>
      </c>
      <c r="I1567" s="2" t="str">
        <f aca="false">IF(F1567&lt;&gt;"","N",IF(LEFT(B1567,10)="Arsenal v ","H","A"))</f>
        <v>H</v>
      </c>
      <c r="J1567" s="2"/>
    </row>
    <row r="1568" customFormat="false" ht="15" hidden="false" customHeight="false" outlineLevel="0" collapsed="false">
      <c r="A1568" s="3" t="n">
        <v>42693</v>
      </c>
      <c r="B1568" s="2" t="s">
        <v>490</v>
      </c>
      <c r="C1568" s="2" t="s">
        <v>706</v>
      </c>
      <c r="D1568" s="2" t="s">
        <v>361</v>
      </c>
      <c r="E1568" s="2" t="s">
        <v>356</v>
      </c>
      <c r="F1568" s="2"/>
      <c r="G1568" s="2" t="s">
        <v>138</v>
      </c>
      <c r="H1568" s="2" t="str">
        <f aca="false">IF(LEFT(B1568,10)="Arsenal v ",MID(B1568,11,100),LEFT(B1568,FIND(" v ",B1568)-1))</f>
        <v>Manchester United</v>
      </c>
      <c r="I1568" s="2" t="str">
        <f aca="false">IF(F1568&lt;&gt;"","N",IF(LEFT(B1568,10)="Arsenal v ","H","A"))</f>
        <v>A</v>
      </c>
      <c r="J1568" s="2"/>
    </row>
    <row r="1569" customFormat="false" ht="15" hidden="false" customHeight="false" outlineLevel="0" collapsed="false">
      <c r="A1569" s="3" t="n">
        <v>42697</v>
      </c>
      <c r="B1569" s="2" t="s">
        <v>746</v>
      </c>
      <c r="C1569" s="2" t="s">
        <v>706</v>
      </c>
      <c r="D1569" s="2" t="s">
        <v>380</v>
      </c>
      <c r="E1569" s="2" t="s">
        <v>352</v>
      </c>
      <c r="F1569" s="2"/>
      <c r="G1569" s="2" t="s">
        <v>138</v>
      </c>
      <c r="H1569" s="2" t="str">
        <f aca="false">IF(LEFT(B1569,10)="Arsenal v ",MID(B1569,11,100),LEFT(B1569,FIND(" v ",B1569)-1))</f>
        <v>Paris St Germain</v>
      </c>
      <c r="I1569" s="2" t="str">
        <f aca="false">IF(F1569&lt;&gt;"","N",IF(LEFT(B1569,10)="Arsenal v ","H","A"))</f>
        <v>H</v>
      </c>
      <c r="J1569" s="2"/>
    </row>
    <row r="1570" customFormat="false" ht="15" hidden="false" customHeight="false" outlineLevel="0" collapsed="false">
      <c r="A1570" s="3" t="n">
        <v>42701</v>
      </c>
      <c r="B1570" s="2" t="s">
        <v>841</v>
      </c>
      <c r="C1570" s="2" t="s">
        <v>702</v>
      </c>
      <c r="D1570" s="2" t="s">
        <v>377</v>
      </c>
      <c r="E1570" s="2" t="s">
        <v>356</v>
      </c>
      <c r="F1570" s="2"/>
      <c r="G1570" s="2" t="s">
        <v>138</v>
      </c>
      <c r="H1570" s="2" t="str">
        <f aca="false">IF(LEFT(B1570,10)="Arsenal v ",MID(B1570,11,100),LEFT(B1570,FIND(" v ",B1570)-1))</f>
        <v>AFC Bournemouth</v>
      </c>
      <c r="I1570" s="2" t="str">
        <f aca="false">IF(F1570&lt;&gt;"","N",IF(LEFT(B1570,10)="Arsenal v ","H","A"))</f>
        <v>H</v>
      </c>
      <c r="J1570" s="2"/>
    </row>
    <row r="1571" customFormat="false" ht="15" hidden="false" customHeight="false" outlineLevel="0" collapsed="false">
      <c r="A1571" s="3" t="n">
        <v>42704</v>
      </c>
      <c r="B1571" s="2" t="s">
        <v>705</v>
      </c>
      <c r="C1571" s="2" t="s">
        <v>704</v>
      </c>
      <c r="D1571" s="2" t="s">
        <v>353</v>
      </c>
      <c r="E1571" s="2" t="s">
        <v>379</v>
      </c>
      <c r="F1571" s="2"/>
      <c r="G1571" s="2" t="s">
        <v>138</v>
      </c>
      <c r="H1571" s="2" t="str">
        <f aca="false">IF(LEFT(B1571,10)="Arsenal v ",MID(B1571,11,100),LEFT(B1571,FIND(" v ",B1571)-1))</f>
        <v>Southampton</v>
      </c>
      <c r="I1571" s="2" t="str">
        <f aca="false">IF(F1571&lt;&gt;"","N",IF(LEFT(B1571,10)="Arsenal v ","H","A"))</f>
        <v>H</v>
      </c>
      <c r="J1571" s="2"/>
    </row>
    <row r="1572" customFormat="false" ht="15" hidden="false" customHeight="false" outlineLevel="0" collapsed="false">
      <c r="A1572" s="3" t="n">
        <v>42707</v>
      </c>
      <c r="B1572" s="2" t="s">
        <v>572</v>
      </c>
      <c r="C1572" s="2" t="s">
        <v>702</v>
      </c>
      <c r="D1572" s="2" t="s">
        <v>435</v>
      </c>
      <c r="E1572" s="2" t="s">
        <v>356</v>
      </c>
      <c r="F1572" s="2"/>
      <c r="G1572" s="2" t="s">
        <v>138</v>
      </c>
      <c r="H1572" s="2" t="str">
        <f aca="false">IF(LEFT(B1572,10)="Arsenal v ",MID(B1572,11,100),LEFT(B1572,FIND(" v ",B1572)-1))</f>
        <v>West Ham United</v>
      </c>
      <c r="I1572" s="2" t="str">
        <f aca="false">IF(F1572&lt;&gt;"","N",IF(LEFT(B1572,10)="Arsenal v ","H","A"))</f>
        <v>A</v>
      </c>
      <c r="J1572" s="2"/>
    </row>
    <row r="1573" customFormat="false" ht="15" hidden="false" customHeight="false" outlineLevel="0" collapsed="false">
      <c r="A1573" s="3" t="n">
        <v>42710</v>
      </c>
      <c r="B1573" s="2" t="s">
        <v>452</v>
      </c>
      <c r="C1573" s="2" t="s">
        <v>702</v>
      </c>
      <c r="D1573" s="2" t="s">
        <v>407</v>
      </c>
      <c r="E1573" s="2" t="s">
        <v>352</v>
      </c>
      <c r="F1573" s="2"/>
      <c r="G1573" s="2" t="s">
        <v>138</v>
      </c>
      <c r="H1573" s="2" t="str">
        <f aca="false">IF(LEFT(B1573,10)="Arsenal v ",MID(B1573,11,100),LEFT(B1573,FIND(" v ",B1573)-1))</f>
        <v>FC Basel</v>
      </c>
      <c r="I1573" s="2" t="str">
        <f aca="false">IF(F1573&lt;&gt;"","N",IF(LEFT(B1573,10)="Arsenal v ","H","A"))</f>
        <v>A</v>
      </c>
      <c r="J1573" s="2"/>
    </row>
    <row r="1574" customFormat="false" ht="15" hidden="false" customHeight="false" outlineLevel="0" collapsed="false">
      <c r="A1574" s="3" t="n">
        <v>42714</v>
      </c>
      <c r="B1574" s="2" t="s">
        <v>757</v>
      </c>
      <c r="C1574" s="2" t="s">
        <v>702</v>
      </c>
      <c r="D1574" s="2" t="s">
        <v>377</v>
      </c>
      <c r="E1574" s="2" t="s">
        <v>356</v>
      </c>
      <c r="F1574" s="2"/>
      <c r="G1574" s="2" t="s">
        <v>138</v>
      </c>
      <c r="H1574" s="2" t="str">
        <f aca="false">IF(LEFT(B1574,10)="Arsenal v ",MID(B1574,11,100),LEFT(B1574,FIND(" v ",B1574)-1))</f>
        <v>Stoke City</v>
      </c>
      <c r="I1574" s="2" t="str">
        <f aca="false">IF(F1574&lt;&gt;"","N",IF(LEFT(B1574,10)="Arsenal v ","H","A"))</f>
        <v>H</v>
      </c>
      <c r="J1574" s="2"/>
    </row>
    <row r="1575" customFormat="false" ht="15" hidden="false" customHeight="false" outlineLevel="0" collapsed="false">
      <c r="A1575" s="3" t="n">
        <v>42717</v>
      </c>
      <c r="B1575" s="2" t="s">
        <v>448</v>
      </c>
      <c r="C1575" s="2" t="s">
        <v>704</v>
      </c>
      <c r="D1575" s="2" t="s">
        <v>359</v>
      </c>
      <c r="E1575" s="2" t="s">
        <v>356</v>
      </c>
      <c r="F1575" s="2"/>
      <c r="G1575" s="2" t="s">
        <v>138</v>
      </c>
      <c r="H1575" s="2" t="str">
        <f aca="false">IF(LEFT(B1575,10)="Arsenal v ",MID(B1575,11,100),LEFT(B1575,FIND(" v ",B1575)-1))</f>
        <v>Everton</v>
      </c>
      <c r="I1575" s="2" t="str">
        <f aca="false">IF(F1575&lt;&gt;"","N",IF(LEFT(B1575,10)="Arsenal v ","H","A"))</f>
        <v>A</v>
      </c>
      <c r="J1575" s="2"/>
    </row>
    <row r="1576" customFormat="false" ht="15" hidden="false" customHeight="false" outlineLevel="0" collapsed="false">
      <c r="A1576" s="3" t="n">
        <v>42722</v>
      </c>
      <c r="B1576" s="2" t="s">
        <v>487</v>
      </c>
      <c r="C1576" s="2" t="s">
        <v>704</v>
      </c>
      <c r="D1576" s="2" t="s">
        <v>359</v>
      </c>
      <c r="E1576" s="2" t="s">
        <v>356</v>
      </c>
      <c r="F1576" s="2"/>
      <c r="G1576" s="2" t="s">
        <v>138</v>
      </c>
      <c r="H1576" s="2" t="str">
        <f aca="false">IF(LEFT(B1576,10)="Arsenal v ",MID(B1576,11,100),LEFT(B1576,FIND(" v ",B1576)-1))</f>
        <v>Manchester City</v>
      </c>
      <c r="I1576" s="2" t="str">
        <f aca="false">IF(F1576&lt;&gt;"","N",IF(LEFT(B1576,10)="Arsenal v ","H","A"))</f>
        <v>A</v>
      </c>
      <c r="J1576" s="2"/>
    </row>
    <row r="1577" customFormat="false" ht="15" hidden="false" customHeight="false" outlineLevel="0" collapsed="false">
      <c r="A1577" s="3" t="n">
        <v>42730</v>
      </c>
      <c r="B1577" s="2" t="s">
        <v>788</v>
      </c>
      <c r="C1577" s="2" t="s">
        <v>702</v>
      </c>
      <c r="D1577" s="2" t="s">
        <v>348</v>
      </c>
      <c r="E1577" s="2" t="s">
        <v>356</v>
      </c>
      <c r="F1577" s="2"/>
      <c r="G1577" s="2" t="s">
        <v>138</v>
      </c>
      <c r="H1577" s="2" t="str">
        <f aca="false">IF(LEFT(B1577,10)="Arsenal v ",MID(B1577,11,100),LEFT(B1577,FIND(" v ",B1577)-1))</f>
        <v>West Bromwich Albion</v>
      </c>
      <c r="I1577" s="2" t="str">
        <f aca="false">IF(F1577&lt;&gt;"","N",IF(LEFT(B1577,10)="Arsenal v ","H","A"))</f>
        <v>H</v>
      </c>
      <c r="J1577" s="2"/>
    </row>
    <row r="1578" customFormat="false" ht="15" hidden="false" customHeight="false" outlineLevel="0" collapsed="false">
      <c r="A1578" s="3" t="n">
        <v>42736</v>
      </c>
      <c r="B1578" s="2" t="s">
        <v>724</v>
      </c>
      <c r="C1578" s="2" t="s">
        <v>702</v>
      </c>
      <c r="D1578" s="2" t="s">
        <v>351</v>
      </c>
      <c r="E1578" s="2" t="s">
        <v>356</v>
      </c>
      <c r="F1578" s="2"/>
      <c r="G1578" s="2" t="s">
        <v>138</v>
      </c>
      <c r="H1578" s="2" t="str">
        <f aca="false">IF(LEFT(B1578,10)="Arsenal v ",MID(B1578,11,100),LEFT(B1578,FIND(" v ",B1578)-1))</f>
        <v>Crystal Palace</v>
      </c>
      <c r="I1578" s="2" t="str">
        <f aca="false">IF(F1578&lt;&gt;"","N",IF(LEFT(B1578,10)="Arsenal v ","H","A"))</f>
        <v>H</v>
      </c>
      <c r="J1578" s="2"/>
    </row>
    <row r="1579" customFormat="false" ht="15" hidden="false" customHeight="false" outlineLevel="0" collapsed="false">
      <c r="A1579" s="3" t="n">
        <v>42738</v>
      </c>
      <c r="B1579" s="2" t="s">
        <v>357</v>
      </c>
      <c r="C1579" s="2" t="s">
        <v>706</v>
      </c>
      <c r="D1579" s="2" t="s">
        <v>358</v>
      </c>
      <c r="E1579" s="2" t="s">
        <v>356</v>
      </c>
      <c r="F1579" s="2"/>
      <c r="G1579" s="2" t="s">
        <v>138</v>
      </c>
      <c r="H1579" s="2" t="str">
        <f aca="false">IF(LEFT(B1579,10)="Arsenal v ",MID(B1579,11,100),LEFT(B1579,FIND(" v ",B1579)-1))</f>
        <v>AFC Bournemouth</v>
      </c>
      <c r="I1579" s="2" t="str">
        <f aca="false">IF(F1579&lt;&gt;"","N",IF(LEFT(B1579,10)="Arsenal v ","H","A"))</f>
        <v>A</v>
      </c>
      <c r="J1579" s="2"/>
    </row>
    <row r="1580" customFormat="false" ht="15" hidden="false" customHeight="false" outlineLevel="0" collapsed="false">
      <c r="A1580" s="3" t="n">
        <v>42742</v>
      </c>
      <c r="B1580" s="2" t="s">
        <v>521</v>
      </c>
      <c r="C1580" s="2" t="s">
        <v>702</v>
      </c>
      <c r="D1580" s="2" t="s">
        <v>360</v>
      </c>
      <c r="E1580" s="2" t="s">
        <v>362</v>
      </c>
      <c r="F1580" s="2"/>
      <c r="G1580" s="2" t="s">
        <v>138</v>
      </c>
      <c r="H1580" s="2" t="str">
        <f aca="false">IF(LEFT(B1580,10)="Arsenal v ",MID(B1580,11,100),LEFT(B1580,FIND(" v ",B1580)-1))</f>
        <v>Preston North End</v>
      </c>
      <c r="I1580" s="2" t="str">
        <f aca="false">IF(F1580&lt;&gt;"","N",IF(LEFT(B1580,10)="Arsenal v ","H","A"))</f>
        <v>A</v>
      </c>
      <c r="J1580" s="2"/>
    </row>
    <row r="1581" customFormat="false" ht="15" hidden="false" customHeight="false" outlineLevel="0" collapsed="false">
      <c r="A1581" s="3" t="n">
        <v>42749</v>
      </c>
      <c r="B1581" s="2" t="s">
        <v>558</v>
      </c>
      <c r="C1581" s="2" t="s">
        <v>702</v>
      </c>
      <c r="D1581" s="2" t="s">
        <v>365</v>
      </c>
      <c r="E1581" s="2" t="s">
        <v>356</v>
      </c>
      <c r="F1581" s="2"/>
      <c r="G1581" s="2" t="s">
        <v>138</v>
      </c>
      <c r="H1581" s="2" t="str">
        <f aca="false">IF(LEFT(B1581,10)="Arsenal v ",MID(B1581,11,100),LEFT(B1581,FIND(" v ",B1581)-1))</f>
        <v>Swansea City</v>
      </c>
      <c r="I1581" s="2" t="str">
        <f aca="false">IF(F1581&lt;&gt;"","N",IF(LEFT(B1581,10)="Arsenal v ","H","A"))</f>
        <v>A</v>
      </c>
      <c r="J1581" s="2"/>
    </row>
    <row r="1582" customFormat="false" ht="15" hidden="false" customHeight="false" outlineLevel="0" collapsed="false">
      <c r="A1582" s="3" t="n">
        <v>42757</v>
      </c>
      <c r="B1582" s="2" t="s">
        <v>822</v>
      </c>
      <c r="C1582" s="2" t="s">
        <v>702</v>
      </c>
      <c r="D1582" s="2" t="s">
        <v>359</v>
      </c>
      <c r="E1582" s="2" t="s">
        <v>356</v>
      </c>
      <c r="F1582" s="2"/>
      <c r="G1582" s="2" t="s">
        <v>138</v>
      </c>
      <c r="H1582" s="2" t="str">
        <f aca="false">IF(LEFT(B1582,10)="Arsenal v ",MID(B1582,11,100),LEFT(B1582,FIND(" v ",B1582)-1))</f>
        <v>Burnley</v>
      </c>
      <c r="I1582" s="2" t="str">
        <f aca="false">IF(F1582&lt;&gt;"","N",IF(LEFT(B1582,10)="Arsenal v ","H","A"))</f>
        <v>H</v>
      </c>
      <c r="J1582" s="2"/>
    </row>
    <row r="1583" customFormat="false" ht="15" hidden="false" customHeight="false" outlineLevel="0" collapsed="false">
      <c r="A1583" s="3" t="n">
        <v>42763</v>
      </c>
      <c r="B1583" s="2" t="s">
        <v>546</v>
      </c>
      <c r="C1583" s="2" t="s">
        <v>702</v>
      </c>
      <c r="D1583" s="2" t="s">
        <v>420</v>
      </c>
      <c r="E1583" s="2" t="s">
        <v>362</v>
      </c>
      <c r="F1583" s="2"/>
      <c r="G1583" s="2" t="s">
        <v>138</v>
      </c>
      <c r="H1583" s="2" t="str">
        <f aca="false">IF(LEFT(B1583,10)="Arsenal v ",MID(B1583,11,100),LEFT(B1583,FIND(" v ",B1583)-1))</f>
        <v>Southampton</v>
      </c>
      <c r="I1583" s="2" t="str">
        <f aca="false">IF(F1583&lt;&gt;"","N",IF(LEFT(B1583,10)="Arsenal v ","H","A"))</f>
        <v>A</v>
      </c>
      <c r="J1583" s="2"/>
    </row>
    <row r="1584" customFormat="false" ht="15" hidden="false" customHeight="false" outlineLevel="0" collapsed="false">
      <c r="A1584" s="3" t="n">
        <v>42766</v>
      </c>
      <c r="B1584" s="2" t="s">
        <v>764</v>
      </c>
      <c r="C1584" s="2" t="s">
        <v>704</v>
      </c>
      <c r="D1584" s="2" t="s">
        <v>360</v>
      </c>
      <c r="E1584" s="2" t="s">
        <v>356</v>
      </c>
      <c r="F1584" s="2"/>
      <c r="G1584" s="2" t="s">
        <v>138</v>
      </c>
      <c r="H1584" s="2" t="str">
        <f aca="false">IF(LEFT(B1584,10)="Arsenal v ",MID(B1584,11,100),LEFT(B1584,FIND(" v ",B1584)-1))</f>
        <v>Watford</v>
      </c>
      <c r="I1584" s="2" t="str">
        <f aca="false">IF(F1584&lt;&gt;"","N",IF(LEFT(B1584,10)="Arsenal v ","H","A"))</f>
        <v>H</v>
      </c>
      <c r="J1584" s="2"/>
    </row>
    <row r="1585" customFormat="false" ht="15" hidden="false" customHeight="false" outlineLevel="0" collapsed="false">
      <c r="A1585" s="3" t="n">
        <v>42770</v>
      </c>
      <c r="B1585" s="2" t="s">
        <v>426</v>
      </c>
      <c r="C1585" s="2" t="s">
        <v>704</v>
      </c>
      <c r="D1585" s="2" t="s">
        <v>377</v>
      </c>
      <c r="E1585" s="2" t="s">
        <v>356</v>
      </c>
      <c r="F1585" s="2"/>
      <c r="G1585" s="2" t="s">
        <v>138</v>
      </c>
      <c r="H1585" s="2" t="str">
        <f aca="false">IF(LEFT(B1585,10)="Arsenal v ",MID(B1585,11,100),LEFT(B1585,FIND(" v ",B1585)-1))</f>
        <v>Chelsea</v>
      </c>
      <c r="I1585" s="2" t="str">
        <f aca="false">IF(F1585&lt;&gt;"","N",IF(LEFT(B1585,10)="Arsenal v ","H","A"))</f>
        <v>A</v>
      </c>
      <c r="J1585" s="2"/>
    </row>
    <row r="1586" customFormat="false" ht="15" hidden="false" customHeight="false" outlineLevel="0" collapsed="false">
      <c r="A1586" s="3" t="n">
        <v>42777</v>
      </c>
      <c r="B1586" s="2" t="s">
        <v>707</v>
      </c>
      <c r="C1586" s="2" t="s">
        <v>702</v>
      </c>
      <c r="D1586" s="2" t="s">
        <v>351</v>
      </c>
      <c r="E1586" s="2" t="s">
        <v>356</v>
      </c>
      <c r="F1586" s="2"/>
      <c r="G1586" s="2" t="s">
        <v>138</v>
      </c>
      <c r="H1586" s="2" t="str">
        <f aca="false">IF(LEFT(B1586,10)="Arsenal v ",MID(B1586,11,100),LEFT(B1586,FIND(" v ",B1586)-1))</f>
        <v>Hull City</v>
      </c>
      <c r="I1586" s="2" t="str">
        <f aca="false">IF(F1586&lt;&gt;"","N",IF(LEFT(B1586,10)="Arsenal v ","H","A"))</f>
        <v>H</v>
      </c>
      <c r="J1586" s="2"/>
    </row>
    <row r="1587" customFormat="false" ht="15" hidden="false" customHeight="false" outlineLevel="0" collapsed="false">
      <c r="A1587" s="3" t="n">
        <v>42781</v>
      </c>
      <c r="B1587" s="2" t="s">
        <v>402</v>
      </c>
      <c r="C1587" s="2" t="s">
        <v>704</v>
      </c>
      <c r="D1587" s="2" t="s">
        <v>401</v>
      </c>
      <c r="E1587" s="2" t="s">
        <v>352</v>
      </c>
      <c r="F1587" s="2"/>
      <c r="G1587" s="2" t="s">
        <v>138</v>
      </c>
      <c r="H1587" s="2" t="str">
        <f aca="false">IF(LEFT(B1587,10)="Arsenal v ",MID(B1587,11,100),LEFT(B1587,FIND(" v ",B1587)-1))</f>
        <v>Bayern München</v>
      </c>
      <c r="I1587" s="2" t="str">
        <f aca="false">IF(F1587&lt;&gt;"","N",IF(LEFT(B1587,10)="Arsenal v ","H","A"))</f>
        <v>A</v>
      </c>
      <c r="J1587" s="2"/>
    </row>
    <row r="1588" customFormat="false" ht="15" hidden="false" customHeight="false" outlineLevel="0" collapsed="false">
      <c r="A1588" s="3" t="n">
        <v>42786</v>
      </c>
      <c r="B1588" s="2" t="s">
        <v>557</v>
      </c>
      <c r="C1588" s="2" t="s">
        <v>702</v>
      </c>
      <c r="D1588" s="2" t="s">
        <v>353</v>
      </c>
      <c r="E1588" s="2" t="s">
        <v>362</v>
      </c>
      <c r="F1588" s="2"/>
      <c r="G1588" s="2" t="s">
        <v>138</v>
      </c>
      <c r="H1588" s="2" t="str">
        <f aca="false">IF(LEFT(B1588,10)="Arsenal v ",MID(B1588,11,100),LEFT(B1588,FIND(" v ",B1588)-1))</f>
        <v>Sutton United</v>
      </c>
      <c r="I1588" s="2" t="str">
        <f aca="false">IF(F1588&lt;&gt;"","N",IF(LEFT(B1588,10)="Arsenal v ","H","A"))</f>
        <v>A</v>
      </c>
      <c r="J1588" s="2"/>
    </row>
    <row r="1589" customFormat="false" ht="15" hidden="false" customHeight="false" outlineLevel="0" collapsed="false">
      <c r="A1589" s="3" t="n">
        <v>42798</v>
      </c>
      <c r="B1589" s="2" t="s">
        <v>477</v>
      </c>
      <c r="C1589" s="2" t="s">
        <v>704</v>
      </c>
      <c r="D1589" s="2" t="s">
        <v>377</v>
      </c>
      <c r="E1589" s="2" t="s">
        <v>356</v>
      </c>
      <c r="F1589" s="2"/>
      <c r="G1589" s="2" t="s">
        <v>138</v>
      </c>
      <c r="H1589" s="2" t="str">
        <f aca="false">IF(LEFT(B1589,10)="Arsenal v ",MID(B1589,11,100),LEFT(B1589,FIND(" v ",B1589)-1))</f>
        <v>Liverpool</v>
      </c>
      <c r="I1589" s="2" t="str">
        <f aca="false">IF(F1589&lt;&gt;"","N",IF(LEFT(B1589,10)="Arsenal v ","H","A"))</f>
        <v>A</v>
      </c>
      <c r="J1589" s="2"/>
    </row>
    <row r="1590" customFormat="false" ht="15" hidden="false" customHeight="false" outlineLevel="0" collapsed="false">
      <c r="A1590" s="3" t="n">
        <v>42801</v>
      </c>
      <c r="B1590" s="2" t="s">
        <v>775</v>
      </c>
      <c r="C1590" s="2" t="s">
        <v>704</v>
      </c>
      <c r="D1590" s="2" t="s">
        <v>435</v>
      </c>
      <c r="E1590" s="2" t="s">
        <v>352</v>
      </c>
      <c r="F1590" s="2"/>
      <c r="G1590" s="2" t="s">
        <v>138</v>
      </c>
      <c r="H1590" s="2" t="str">
        <f aca="false">IF(LEFT(B1590,10)="Arsenal v ",MID(B1590,11,100),LEFT(B1590,FIND(" v ",B1590)-1))</f>
        <v>Bayern München</v>
      </c>
      <c r="I1590" s="2" t="str">
        <f aca="false">IF(F1590&lt;&gt;"","N",IF(LEFT(B1590,10)="Arsenal v ","H","A"))</f>
        <v>H</v>
      </c>
      <c r="J1590" s="2"/>
    </row>
    <row r="1591" customFormat="false" ht="15" hidden="false" customHeight="false" outlineLevel="0" collapsed="false">
      <c r="A1591" s="3" t="n">
        <v>42805</v>
      </c>
      <c r="B1591" s="2" t="s">
        <v>844</v>
      </c>
      <c r="C1591" s="2" t="s">
        <v>702</v>
      </c>
      <c r="D1591" s="2" t="s">
        <v>489</v>
      </c>
      <c r="E1591" s="2" t="s">
        <v>362</v>
      </c>
      <c r="F1591" s="2"/>
      <c r="G1591" s="2" t="s">
        <v>138</v>
      </c>
      <c r="H1591" s="2" t="str">
        <f aca="false">IF(LEFT(B1591,10)="Arsenal v ",MID(B1591,11,100),LEFT(B1591,FIND(" v ",B1591)-1))</f>
        <v>Lincoln City</v>
      </c>
      <c r="I1591" s="2" t="str">
        <f aca="false">IF(F1591&lt;&gt;"","N",IF(LEFT(B1591,10)="Arsenal v ","H","A"))</f>
        <v>H</v>
      </c>
      <c r="J1591" s="2"/>
    </row>
    <row r="1592" customFormat="false" ht="15" hidden="false" customHeight="false" outlineLevel="0" collapsed="false">
      <c r="A1592" s="3" t="n">
        <v>42812</v>
      </c>
      <c r="B1592" s="2" t="s">
        <v>571</v>
      </c>
      <c r="C1592" s="2" t="s">
        <v>704</v>
      </c>
      <c r="D1592" s="2" t="s">
        <v>377</v>
      </c>
      <c r="E1592" s="2" t="s">
        <v>356</v>
      </c>
      <c r="F1592" s="2"/>
      <c r="G1592" s="2" t="s">
        <v>138</v>
      </c>
      <c r="H1592" s="2" t="str">
        <f aca="false">IF(LEFT(B1592,10)="Arsenal v ",MID(B1592,11,100),LEFT(B1592,FIND(" v ",B1592)-1))</f>
        <v>West Bromwich Albion</v>
      </c>
      <c r="I1592" s="2" t="str">
        <f aca="false">IF(F1592&lt;&gt;"","N",IF(LEFT(B1592,10)="Arsenal v ","H","A"))</f>
        <v>A</v>
      </c>
      <c r="J1592" s="2"/>
    </row>
    <row r="1593" customFormat="false" ht="15" hidden="false" customHeight="false" outlineLevel="0" collapsed="false">
      <c r="A1593" s="3" t="n">
        <v>42827</v>
      </c>
      <c r="B1593" s="2" t="s">
        <v>657</v>
      </c>
      <c r="C1593" s="2" t="s">
        <v>706</v>
      </c>
      <c r="D1593" s="2" t="s">
        <v>380</v>
      </c>
      <c r="E1593" s="2" t="s">
        <v>356</v>
      </c>
      <c r="F1593" s="2"/>
      <c r="G1593" s="2" t="s">
        <v>138</v>
      </c>
      <c r="H1593" s="2" t="str">
        <f aca="false">IF(LEFT(B1593,10)="Arsenal v ",MID(B1593,11,100),LEFT(B1593,FIND(" v ",B1593)-1))</f>
        <v>Manchester City</v>
      </c>
      <c r="I1593" s="2" t="str">
        <f aca="false">IF(F1593&lt;&gt;"","N",IF(LEFT(B1593,10)="Arsenal v ","H","A"))</f>
        <v>H</v>
      </c>
      <c r="J1593" s="2"/>
    </row>
    <row r="1594" customFormat="false" ht="15" hidden="false" customHeight="false" outlineLevel="0" collapsed="false">
      <c r="A1594" s="3" t="n">
        <v>42830</v>
      </c>
      <c r="B1594" s="2" t="s">
        <v>712</v>
      </c>
      <c r="C1594" s="2" t="s">
        <v>702</v>
      </c>
      <c r="D1594" s="2" t="s">
        <v>434</v>
      </c>
      <c r="E1594" s="2" t="s">
        <v>356</v>
      </c>
      <c r="F1594" s="2"/>
      <c r="G1594" s="2" t="s">
        <v>138</v>
      </c>
      <c r="H1594" s="2" t="str">
        <f aca="false">IF(LEFT(B1594,10)="Arsenal v ",MID(B1594,11,100),LEFT(B1594,FIND(" v ",B1594)-1))</f>
        <v>West Ham United</v>
      </c>
      <c r="I1594" s="2" t="str">
        <f aca="false">IF(F1594&lt;&gt;"","N",IF(LEFT(B1594,10)="Arsenal v ","H","A"))</f>
        <v>H</v>
      </c>
      <c r="J1594" s="2"/>
    </row>
    <row r="1595" customFormat="false" ht="15" hidden="false" customHeight="false" outlineLevel="0" collapsed="false">
      <c r="A1595" s="3" t="n">
        <v>42835</v>
      </c>
      <c r="B1595" s="2" t="s">
        <v>433</v>
      </c>
      <c r="C1595" s="2" t="s">
        <v>704</v>
      </c>
      <c r="D1595" s="2" t="s">
        <v>434</v>
      </c>
      <c r="E1595" s="2" t="s">
        <v>356</v>
      </c>
      <c r="F1595" s="2"/>
      <c r="G1595" s="2" t="s">
        <v>138</v>
      </c>
      <c r="H1595" s="2" t="str">
        <f aca="false">IF(LEFT(B1595,10)="Arsenal v ",MID(B1595,11,100),LEFT(B1595,FIND(" v ",B1595)-1))</f>
        <v>Crystal Palace</v>
      </c>
      <c r="I1595" s="2" t="str">
        <f aca="false">IF(F1595&lt;&gt;"","N",IF(LEFT(B1595,10)="Arsenal v ","H","A"))</f>
        <v>A</v>
      </c>
      <c r="J1595" s="2"/>
    </row>
    <row r="1596" customFormat="false" ht="15" hidden="false" customHeight="false" outlineLevel="0" collapsed="false">
      <c r="A1596" s="3" t="n">
        <v>42842</v>
      </c>
      <c r="B1596" s="2" t="s">
        <v>494</v>
      </c>
      <c r="C1596" s="2" t="s">
        <v>702</v>
      </c>
      <c r="D1596" s="2" t="s">
        <v>360</v>
      </c>
      <c r="E1596" s="2" t="s">
        <v>356</v>
      </c>
      <c r="F1596" s="2"/>
      <c r="G1596" s="2" t="s">
        <v>138</v>
      </c>
      <c r="H1596" s="2" t="str">
        <f aca="false">IF(LEFT(B1596,10)="Arsenal v ",MID(B1596,11,100),LEFT(B1596,FIND(" v ",B1596)-1))</f>
        <v>Middlesbrough</v>
      </c>
      <c r="I1596" s="2" t="str">
        <f aca="false">IF(F1596&lt;&gt;"","N",IF(LEFT(B1596,10)="Arsenal v ","H","A"))</f>
        <v>A</v>
      </c>
      <c r="J1596" s="2"/>
    </row>
    <row r="1597" customFormat="false" ht="15" hidden="false" customHeight="false" outlineLevel="0" collapsed="false">
      <c r="A1597" s="3" t="n">
        <v>42848</v>
      </c>
      <c r="B1597" s="2" t="s">
        <v>657</v>
      </c>
      <c r="C1597" s="2" t="s">
        <v>702</v>
      </c>
      <c r="D1597" s="2" t="s">
        <v>359</v>
      </c>
      <c r="E1597" s="2" t="s">
        <v>362</v>
      </c>
      <c r="F1597" s="2" t="s">
        <v>652</v>
      </c>
      <c r="G1597" s="2" t="s">
        <v>138</v>
      </c>
      <c r="H1597" s="2" t="str">
        <f aca="false">IF(LEFT(B1597,10)="Arsenal v ",MID(B1597,11,100),LEFT(B1597,FIND(" v ",B1597)-1))</f>
        <v>Manchester City</v>
      </c>
      <c r="I1597" s="2" t="str">
        <f aca="false">IF(F1597&lt;&gt;"","N",IF(LEFT(B1597,10)="Arsenal v ","H","A"))</f>
        <v>N</v>
      </c>
      <c r="J1597" s="2"/>
    </row>
    <row r="1598" customFormat="false" ht="15" hidden="false" customHeight="false" outlineLevel="0" collapsed="false">
      <c r="A1598" s="3" t="n">
        <v>42851</v>
      </c>
      <c r="B1598" s="2" t="s">
        <v>733</v>
      </c>
      <c r="C1598" s="2" t="s">
        <v>702</v>
      </c>
      <c r="D1598" s="2" t="s">
        <v>348</v>
      </c>
      <c r="E1598" s="2" t="s">
        <v>356</v>
      </c>
      <c r="F1598" s="2"/>
      <c r="G1598" s="2" t="s">
        <v>138</v>
      </c>
      <c r="H1598" s="2" t="str">
        <f aca="false">IF(LEFT(B1598,10)="Arsenal v ",MID(B1598,11,100),LEFT(B1598,FIND(" v ",B1598)-1))</f>
        <v>Leicester City</v>
      </c>
      <c r="I1598" s="2" t="str">
        <f aca="false">IF(F1598&lt;&gt;"","N",IF(LEFT(B1598,10)="Arsenal v ","H","A"))</f>
        <v>H</v>
      </c>
      <c r="J1598" s="2"/>
    </row>
    <row r="1599" customFormat="false" ht="15" hidden="false" customHeight="false" outlineLevel="0" collapsed="false">
      <c r="A1599" s="3" t="n">
        <v>42855</v>
      </c>
      <c r="B1599" s="2" t="s">
        <v>561</v>
      </c>
      <c r="C1599" s="2" t="s">
        <v>704</v>
      </c>
      <c r="D1599" s="2" t="s">
        <v>351</v>
      </c>
      <c r="E1599" s="2" t="s">
        <v>356</v>
      </c>
      <c r="F1599" s="2"/>
      <c r="G1599" s="2" t="s">
        <v>138</v>
      </c>
      <c r="H1599" s="2" t="str">
        <f aca="false">IF(LEFT(B1599,10)="Arsenal v ",MID(B1599,11,100),LEFT(B1599,FIND(" v ",B1599)-1))</f>
        <v>Tottenham Hotspur</v>
      </c>
      <c r="I1599" s="2" t="str">
        <f aca="false">IF(F1599&lt;&gt;"","N",IF(LEFT(B1599,10)="Arsenal v ","H","A"))</f>
        <v>A</v>
      </c>
      <c r="J1599" s="2"/>
    </row>
    <row r="1600" customFormat="false" ht="15" hidden="false" customHeight="false" outlineLevel="0" collapsed="false">
      <c r="A1600" s="3" t="n">
        <v>42862</v>
      </c>
      <c r="B1600" s="2" t="s">
        <v>656</v>
      </c>
      <c r="C1600" s="2" t="s">
        <v>702</v>
      </c>
      <c r="D1600" s="2" t="s">
        <v>351</v>
      </c>
      <c r="E1600" s="2" t="s">
        <v>356</v>
      </c>
      <c r="F1600" s="2"/>
      <c r="G1600" s="2" t="s">
        <v>138</v>
      </c>
      <c r="H1600" s="2" t="str">
        <f aca="false">IF(LEFT(B1600,10)="Arsenal v ",MID(B1600,11,100),LEFT(B1600,FIND(" v ",B1600)-1))</f>
        <v>Manchester United</v>
      </c>
      <c r="I1600" s="2" t="str">
        <f aca="false">IF(F1600&lt;&gt;"","N",IF(LEFT(B1600,10)="Arsenal v ","H","A"))</f>
        <v>H</v>
      </c>
      <c r="J1600" s="2"/>
    </row>
    <row r="1601" customFormat="false" ht="15" hidden="false" customHeight="false" outlineLevel="0" collapsed="false">
      <c r="A1601" s="3" t="n">
        <v>42865</v>
      </c>
      <c r="B1601" s="2" t="s">
        <v>546</v>
      </c>
      <c r="C1601" s="2" t="s">
        <v>702</v>
      </c>
      <c r="D1601" s="2" t="s">
        <v>353</v>
      </c>
      <c r="E1601" s="2" t="s">
        <v>356</v>
      </c>
      <c r="F1601" s="2"/>
      <c r="G1601" s="2" t="s">
        <v>138</v>
      </c>
      <c r="H1601" s="2" t="str">
        <f aca="false">IF(LEFT(B1601,10)="Arsenal v ",MID(B1601,11,100),LEFT(B1601,FIND(" v ",B1601)-1))</f>
        <v>Southampton</v>
      </c>
      <c r="I1601" s="2" t="str">
        <f aca="false">IF(F1601&lt;&gt;"","N",IF(LEFT(B1601,10)="Arsenal v ","H","A"))</f>
        <v>A</v>
      </c>
      <c r="J1601" s="2"/>
    </row>
    <row r="1602" customFormat="false" ht="15" hidden="false" customHeight="false" outlineLevel="0" collapsed="false">
      <c r="A1602" s="3" t="n">
        <v>42868</v>
      </c>
      <c r="B1602" s="2" t="s">
        <v>555</v>
      </c>
      <c r="C1602" s="2" t="s">
        <v>702</v>
      </c>
      <c r="D1602" s="2" t="s">
        <v>407</v>
      </c>
      <c r="E1602" s="2" t="s">
        <v>356</v>
      </c>
      <c r="F1602" s="2"/>
      <c r="G1602" s="2" t="s">
        <v>138</v>
      </c>
      <c r="H1602" s="2" t="str">
        <f aca="false">IF(LEFT(B1602,10)="Arsenal v ",MID(B1602,11,100),LEFT(B1602,FIND(" v ",B1602)-1))</f>
        <v>Stoke City</v>
      </c>
      <c r="I1602" s="2" t="str">
        <f aca="false">IF(F1602&lt;&gt;"","N",IF(LEFT(B1602,10)="Arsenal v ","H","A"))</f>
        <v>A</v>
      </c>
      <c r="J1602" s="2"/>
    </row>
    <row r="1603" customFormat="false" ht="15" hidden="false" customHeight="false" outlineLevel="0" collapsed="false">
      <c r="A1603" s="3" t="n">
        <v>42871</v>
      </c>
      <c r="B1603" s="2" t="s">
        <v>727</v>
      </c>
      <c r="C1603" s="2" t="s">
        <v>702</v>
      </c>
      <c r="D1603" s="2" t="s">
        <v>351</v>
      </c>
      <c r="E1603" s="2" t="s">
        <v>356</v>
      </c>
      <c r="F1603" s="2"/>
      <c r="G1603" s="2" t="s">
        <v>138</v>
      </c>
      <c r="H1603" s="2" t="str">
        <f aca="false">IF(LEFT(B1603,10)="Arsenal v ",MID(B1603,11,100),LEFT(B1603,FIND(" v ",B1603)-1))</f>
        <v>Sunderland</v>
      </c>
      <c r="I1603" s="2" t="str">
        <f aca="false">IF(F1603&lt;&gt;"","N",IF(LEFT(B1603,10)="Arsenal v ","H","A"))</f>
        <v>H</v>
      </c>
      <c r="J1603" s="2"/>
    </row>
    <row r="1604" customFormat="false" ht="15" hidden="false" customHeight="false" outlineLevel="0" collapsed="false">
      <c r="A1604" s="3" t="n">
        <v>42876</v>
      </c>
      <c r="B1604" s="2" t="s">
        <v>718</v>
      </c>
      <c r="C1604" s="2" t="s">
        <v>702</v>
      </c>
      <c r="D1604" s="2" t="s">
        <v>377</v>
      </c>
      <c r="E1604" s="2" t="s">
        <v>356</v>
      </c>
      <c r="F1604" s="2"/>
      <c r="G1604" s="2" t="s">
        <v>138</v>
      </c>
      <c r="H1604" s="2" t="str">
        <f aca="false">IF(LEFT(B1604,10)="Arsenal v ",MID(B1604,11,100),LEFT(B1604,FIND(" v ",B1604)-1))</f>
        <v>Everton</v>
      </c>
      <c r="I1604" s="2" t="str">
        <f aca="false">IF(F1604&lt;&gt;"","N",IF(LEFT(B1604,10)="Arsenal v ","H","A"))</f>
        <v>H</v>
      </c>
      <c r="J1604" s="2"/>
    </row>
    <row r="1605" customFormat="false" ht="15" hidden="false" customHeight="false" outlineLevel="0" collapsed="false">
      <c r="A1605" s="3" t="n">
        <v>42882</v>
      </c>
      <c r="B1605" s="2" t="s">
        <v>725</v>
      </c>
      <c r="C1605" s="2" t="s">
        <v>702</v>
      </c>
      <c r="D1605" s="2" t="s">
        <v>359</v>
      </c>
      <c r="E1605" s="2" t="s">
        <v>362</v>
      </c>
      <c r="F1605" s="2" t="s">
        <v>652</v>
      </c>
      <c r="G1605" s="2" t="s">
        <v>138</v>
      </c>
      <c r="H1605" s="2" t="str">
        <f aca="false">IF(LEFT(B1605,10)="Arsenal v ",MID(B1605,11,100),LEFT(B1605,FIND(" v ",B1605)-1))</f>
        <v>Chelsea</v>
      </c>
      <c r="I1605" s="2" t="str">
        <f aca="false">IF(F1605&lt;&gt;"","N",IF(LEFT(B1605,10)="Arsenal v ","H","A"))</f>
        <v>N</v>
      </c>
      <c r="J1605" s="2"/>
    </row>
    <row r="1606" customFormat="false" ht="15" hidden="false" customHeight="false" outlineLevel="0" collapsed="false">
      <c r="A1606" s="3" t="n">
        <v>42953</v>
      </c>
      <c r="B1606" s="2" t="s">
        <v>725</v>
      </c>
      <c r="C1606" s="2" t="s">
        <v>702</v>
      </c>
      <c r="D1606" s="2" t="s">
        <v>845</v>
      </c>
      <c r="E1606" s="2" t="s">
        <v>787</v>
      </c>
      <c r="F1606" s="2" t="s">
        <v>652</v>
      </c>
      <c r="G1606" s="2" t="s">
        <v>11</v>
      </c>
      <c r="H1606" s="2" t="str">
        <f aca="false">IF(LEFT(B1606,10)="Arsenal v ",MID(B1606,11,100),LEFT(B1606,FIND(" v ",B1606)-1))</f>
        <v>Chelsea</v>
      </c>
      <c r="I1606" s="2" t="str">
        <f aca="false">IF(F1606&lt;&gt;"","N",IF(LEFT(B1606,10)="Arsenal v ","H","A"))</f>
        <v>N</v>
      </c>
      <c r="J1606" s="2"/>
    </row>
    <row r="1607" customFormat="false" ht="15" hidden="false" customHeight="false" outlineLevel="0" collapsed="false">
      <c r="A1607" s="3" t="n">
        <v>42958</v>
      </c>
      <c r="B1607" s="2" t="s">
        <v>733</v>
      </c>
      <c r="C1607" s="2" t="s">
        <v>702</v>
      </c>
      <c r="D1607" s="2" t="s">
        <v>408</v>
      </c>
      <c r="E1607" s="2" t="s">
        <v>356</v>
      </c>
      <c r="F1607" s="2"/>
      <c r="G1607" s="2" t="s">
        <v>11</v>
      </c>
      <c r="H1607" s="2" t="str">
        <f aca="false">IF(LEFT(B1607,10)="Arsenal v ",MID(B1607,11,100),LEFT(B1607,FIND(" v ",B1607)-1))</f>
        <v>Leicester City</v>
      </c>
      <c r="I1607" s="2" t="str">
        <f aca="false">IF(F1607&lt;&gt;"","N",IF(LEFT(B1607,10)="Arsenal v ","H","A"))</f>
        <v>H</v>
      </c>
      <c r="J1607" s="2"/>
    </row>
    <row r="1608" customFormat="false" ht="15" hidden="false" customHeight="false" outlineLevel="0" collapsed="false">
      <c r="A1608" s="3" t="n">
        <v>42966</v>
      </c>
      <c r="B1608" s="2" t="s">
        <v>555</v>
      </c>
      <c r="C1608" s="2" t="s">
        <v>704</v>
      </c>
      <c r="D1608" s="2" t="s">
        <v>348</v>
      </c>
      <c r="E1608" s="2" t="s">
        <v>356</v>
      </c>
      <c r="F1608" s="2"/>
      <c r="G1608" s="2" t="s">
        <v>11</v>
      </c>
      <c r="H1608" s="2" t="str">
        <f aca="false">IF(LEFT(B1608,10)="Arsenal v ",MID(B1608,11,100),LEFT(B1608,FIND(" v ",B1608)-1))</f>
        <v>Stoke City</v>
      </c>
      <c r="I1608" s="2" t="str">
        <f aca="false">IF(F1608&lt;&gt;"","N",IF(LEFT(B1608,10)="Arsenal v ","H","A"))</f>
        <v>A</v>
      </c>
      <c r="J1608" s="2"/>
    </row>
    <row r="1609" customFormat="false" ht="15" hidden="false" customHeight="false" outlineLevel="0" collapsed="false">
      <c r="A1609" s="3" t="n">
        <v>42974</v>
      </c>
      <c r="B1609" s="2" t="s">
        <v>477</v>
      </c>
      <c r="C1609" s="2" t="s">
        <v>704</v>
      </c>
      <c r="D1609" s="2" t="s">
        <v>354</v>
      </c>
      <c r="E1609" s="2" t="s">
        <v>356</v>
      </c>
      <c r="F1609" s="2"/>
      <c r="G1609" s="2" t="s">
        <v>11</v>
      </c>
      <c r="H1609" s="2" t="str">
        <f aca="false">IF(LEFT(B1609,10)="Arsenal v ",MID(B1609,11,100),LEFT(B1609,FIND(" v ",B1609)-1))</f>
        <v>Liverpool</v>
      </c>
      <c r="I1609" s="2" t="str">
        <f aca="false">IF(F1609&lt;&gt;"","N",IF(LEFT(B1609,10)="Arsenal v ","H","A"))</f>
        <v>A</v>
      </c>
      <c r="J1609" s="2"/>
    </row>
    <row r="1610" customFormat="false" ht="15" hidden="false" customHeight="false" outlineLevel="0" collapsed="false">
      <c r="A1610" s="3" t="n">
        <v>42987</v>
      </c>
      <c r="B1610" s="2" t="s">
        <v>841</v>
      </c>
      <c r="C1610" s="2" t="s">
        <v>702</v>
      </c>
      <c r="D1610" s="2" t="s">
        <v>434</v>
      </c>
      <c r="E1610" s="2" t="s">
        <v>356</v>
      </c>
      <c r="F1610" s="2"/>
      <c r="G1610" s="2" t="s">
        <v>11</v>
      </c>
      <c r="H1610" s="2" t="str">
        <f aca="false">IF(LEFT(B1610,10)="Arsenal v ",MID(B1610,11,100),LEFT(B1610,FIND(" v ",B1610)-1))</f>
        <v>AFC Bournemouth</v>
      </c>
      <c r="I1610" s="2" t="str">
        <f aca="false">IF(F1610&lt;&gt;"","N",IF(LEFT(B1610,10)="Arsenal v ","H","A"))</f>
        <v>H</v>
      </c>
      <c r="J1610" s="2"/>
    </row>
    <row r="1611" customFormat="false" ht="15" hidden="false" customHeight="false" outlineLevel="0" collapsed="false">
      <c r="A1611" s="3" t="n">
        <v>42992</v>
      </c>
      <c r="B1611" s="2" t="s">
        <v>846</v>
      </c>
      <c r="C1611" s="2" t="s">
        <v>702</v>
      </c>
      <c r="D1611" s="2" t="s">
        <v>377</v>
      </c>
      <c r="E1611" s="2" t="s">
        <v>346</v>
      </c>
      <c r="F1611" s="2"/>
      <c r="G1611" s="2" t="s">
        <v>11</v>
      </c>
      <c r="H1611" s="2" t="str">
        <f aca="false">IF(LEFT(B1611,10)="Arsenal v ",MID(B1611,11,100),LEFT(B1611,FIND(" v ",B1611)-1))</f>
        <v>1.FC Köln</v>
      </c>
      <c r="I1611" s="2" t="str">
        <f aca="false">IF(F1611&lt;&gt;"","N",IF(LEFT(B1611,10)="Arsenal v ","H","A"))</f>
        <v>H</v>
      </c>
      <c r="J1611" s="2"/>
    </row>
    <row r="1612" customFormat="false" ht="15" hidden="false" customHeight="false" outlineLevel="0" collapsed="false">
      <c r="A1612" s="3" t="n">
        <v>42995</v>
      </c>
      <c r="B1612" s="2" t="s">
        <v>426</v>
      </c>
      <c r="C1612" s="2" t="s">
        <v>706</v>
      </c>
      <c r="D1612" s="2" t="s">
        <v>369</v>
      </c>
      <c r="E1612" s="2" t="s">
        <v>356</v>
      </c>
      <c r="F1612" s="2"/>
      <c r="G1612" s="2" t="s">
        <v>11</v>
      </c>
      <c r="H1612" s="2" t="str">
        <f aca="false">IF(LEFT(B1612,10)="Arsenal v ",MID(B1612,11,100),LEFT(B1612,FIND(" v ",B1612)-1))</f>
        <v>Chelsea</v>
      </c>
      <c r="I1612" s="2" t="str">
        <f aca="false">IF(F1612&lt;&gt;"","N",IF(LEFT(B1612,10)="Arsenal v ","H","A"))</f>
        <v>A</v>
      </c>
      <c r="J1612" s="2"/>
    </row>
    <row r="1613" customFormat="false" ht="15" hidden="false" customHeight="false" outlineLevel="0" collapsed="false">
      <c r="A1613" s="3" t="n">
        <v>42998</v>
      </c>
      <c r="B1613" s="2" t="s">
        <v>847</v>
      </c>
      <c r="C1613" s="2" t="s">
        <v>702</v>
      </c>
      <c r="D1613" s="2" t="s">
        <v>348</v>
      </c>
      <c r="E1613" s="2" t="s">
        <v>379</v>
      </c>
      <c r="F1613" s="2"/>
      <c r="G1613" s="2" t="s">
        <v>11</v>
      </c>
      <c r="H1613" s="2" t="str">
        <f aca="false">IF(LEFT(B1613,10)="Arsenal v ",MID(B1613,11,100),LEFT(B1613,FIND(" v ",B1613)-1))</f>
        <v>Doncaster Rovers</v>
      </c>
      <c r="I1613" s="2" t="str">
        <f aca="false">IF(F1613&lt;&gt;"","N",IF(LEFT(B1613,10)="Arsenal v ","H","A"))</f>
        <v>H</v>
      </c>
      <c r="J1613" s="2"/>
    </row>
    <row r="1614" customFormat="false" ht="15" hidden="false" customHeight="false" outlineLevel="0" collapsed="false">
      <c r="A1614" s="3" t="n">
        <v>43003</v>
      </c>
      <c r="B1614" s="2" t="s">
        <v>788</v>
      </c>
      <c r="C1614" s="2" t="s">
        <v>702</v>
      </c>
      <c r="D1614" s="2" t="s">
        <v>351</v>
      </c>
      <c r="E1614" s="2" t="s">
        <v>356</v>
      </c>
      <c r="F1614" s="2"/>
      <c r="G1614" s="2" t="s">
        <v>11</v>
      </c>
      <c r="H1614" s="2" t="str">
        <f aca="false">IF(LEFT(B1614,10)="Arsenal v ",MID(B1614,11,100),LEFT(B1614,FIND(" v ",B1614)-1))</f>
        <v>West Bromwich Albion</v>
      </c>
      <c r="I1614" s="2" t="str">
        <f aca="false">IF(F1614&lt;&gt;"","N",IF(LEFT(B1614,10)="Arsenal v ","H","A"))</f>
        <v>H</v>
      </c>
      <c r="J1614" s="2"/>
    </row>
    <row r="1615" customFormat="false" ht="15" hidden="false" customHeight="false" outlineLevel="0" collapsed="false">
      <c r="A1615" s="3" t="n">
        <v>43006</v>
      </c>
      <c r="B1615" s="2" t="s">
        <v>453</v>
      </c>
      <c r="C1615" s="2" t="s">
        <v>702</v>
      </c>
      <c r="D1615" s="2" t="s">
        <v>384</v>
      </c>
      <c r="E1615" s="2" t="s">
        <v>346</v>
      </c>
      <c r="F1615" s="2"/>
      <c r="G1615" s="2" t="s">
        <v>11</v>
      </c>
      <c r="H1615" s="2" t="str">
        <f aca="false">IF(LEFT(B1615,10)="Arsenal v ",MID(B1615,11,100),LEFT(B1615,FIND(" v ",B1615)-1))</f>
        <v>FC BATE Borisov</v>
      </c>
      <c r="I1615" s="2" t="str">
        <f aca="false">IF(F1615&lt;&gt;"","N",IF(LEFT(B1615,10)="Arsenal v ","H","A"))</f>
        <v>A</v>
      </c>
      <c r="J1615" s="2"/>
    </row>
    <row r="1616" customFormat="false" ht="15" hidden="false" customHeight="false" outlineLevel="0" collapsed="false">
      <c r="A1616" s="3" t="n">
        <v>43009</v>
      </c>
      <c r="B1616" s="2" t="s">
        <v>848</v>
      </c>
      <c r="C1616" s="2" t="s">
        <v>702</v>
      </c>
      <c r="D1616" s="2" t="s">
        <v>351</v>
      </c>
      <c r="E1616" s="2" t="s">
        <v>356</v>
      </c>
      <c r="F1616" s="2"/>
      <c r="G1616" s="2" t="s">
        <v>11</v>
      </c>
      <c r="H1616" s="2" t="str">
        <f aca="false">IF(LEFT(B1616,10)="Arsenal v ",MID(B1616,11,100),LEFT(B1616,FIND(" v ",B1616)-1))</f>
        <v>Brighton and Hove Albion</v>
      </c>
      <c r="I1616" s="2" t="str">
        <f aca="false">IF(F1616&lt;&gt;"","N",IF(LEFT(B1616,10)="Arsenal v ","H","A"))</f>
        <v>H</v>
      </c>
      <c r="J1616" s="2"/>
    </row>
    <row r="1617" customFormat="false" ht="15" hidden="false" customHeight="false" outlineLevel="0" collapsed="false">
      <c r="A1617" s="3" t="n">
        <v>43022</v>
      </c>
      <c r="B1617" s="2" t="s">
        <v>569</v>
      </c>
      <c r="C1617" s="2" t="s">
        <v>704</v>
      </c>
      <c r="D1617" s="2" t="s">
        <v>359</v>
      </c>
      <c r="E1617" s="2" t="s">
        <v>356</v>
      </c>
      <c r="F1617" s="2"/>
      <c r="G1617" s="2" t="s">
        <v>11</v>
      </c>
      <c r="H1617" s="2" t="str">
        <f aca="false">IF(LEFT(B1617,10)="Arsenal v ",MID(B1617,11,100),LEFT(B1617,FIND(" v ",B1617)-1))</f>
        <v>Watford</v>
      </c>
      <c r="I1617" s="2" t="str">
        <f aca="false">IF(F1617&lt;&gt;"","N",IF(LEFT(B1617,10)="Arsenal v ","H","A"))</f>
        <v>A</v>
      </c>
      <c r="J1617" s="2"/>
    </row>
    <row r="1618" customFormat="false" ht="15" hidden="false" customHeight="false" outlineLevel="0" collapsed="false">
      <c r="A1618" s="3" t="n">
        <v>43027</v>
      </c>
      <c r="B1618" s="2" t="s">
        <v>432</v>
      </c>
      <c r="C1618" s="2" t="s">
        <v>702</v>
      </c>
      <c r="D1618" s="2" t="s">
        <v>383</v>
      </c>
      <c r="E1618" s="2" t="s">
        <v>346</v>
      </c>
      <c r="F1618" s="2"/>
      <c r="G1618" s="2" t="s">
        <v>11</v>
      </c>
      <c r="H1618" s="2" t="str">
        <f aca="false">IF(LEFT(B1618,10)="Arsenal v ",MID(B1618,11,100),LEFT(B1618,FIND(" v ",B1618)-1))</f>
        <v>Crvena Zvezda</v>
      </c>
      <c r="I1618" s="2" t="str">
        <f aca="false">IF(F1618&lt;&gt;"","N",IF(LEFT(B1618,10)="Arsenal v ","H","A"))</f>
        <v>A</v>
      </c>
      <c r="J1618" s="2"/>
    </row>
    <row r="1619" customFormat="false" ht="15" hidden="false" customHeight="false" outlineLevel="0" collapsed="false">
      <c r="A1619" s="3" t="n">
        <v>43030</v>
      </c>
      <c r="B1619" s="2" t="s">
        <v>448</v>
      </c>
      <c r="C1619" s="2" t="s">
        <v>702</v>
      </c>
      <c r="D1619" s="2" t="s">
        <v>450</v>
      </c>
      <c r="E1619" s="2" t="s">
        <v>356</v>
      </c>
      <c r="F1619" s="2"/>
      <c r="G1619" s="2" t="s">
        <v>11</v>
      </c>
      <c r="H1619" s="2" t="str">
        <f aca="false">IF(LEFT(B1619,10)="Arsenal v ",MID(B1619,11,100),LEFT(B1619,FIND(" v ",B1619)-1))</f>
        <v>Everton</v>
      </c>
      <c r="I1619" s="2" t="str">
        <f aca="false">IF(F1619&lt;&gt;"","N",IF(LEFT(B1619,10)="Arsenal v ","H","A"))</f>
        <v>A</v>
      </c>
      <c r="J1619" s="2"/>
    </row>
    <row r="1620" customFormat="false" ht="15" hidden="false" customHeight="false" outlineLevel="0" collapsed="false">
      <c r="A1620" s="3" t="n">
        <v>43032</v>
      </c>
      <c r="B1620" s="2" t="s">
        <v>720</v>
      </c>
      <c r="C1620" s="2" t="s">
        <v>702</v>
      </c>
      <c r="D1620" s="2" t="s">
        <v>359</v>
      </c>
      <c r="E1620" s="2" t="s">
        <v>379</v>
      </c>
      <c r="F1620" s="2"/>
      <c r="G1620" s="2" t="s">
        <v>11</v>
      </c>
      <c r="H1620" s="2" t="str">
        <f aca="false">IF(LEFT(B1620,10)="Arsenal v ",MID(B1620,11,100),LEFT(B1620,FIND(" v ",B1620)-1))</f>
        <v>Norwich City</v>
      </c>
      <c r="I1620" s="2" t="str">
        <f aca="false">IF(F1620&lt;&gt;"","N",IF(LEFT(B1620,10)="Arsenal v ","H","A"))</f>
        <v>H</v>
      </c>
      <c r="J1620" s="2"/>
    </row>
    <row r="1621" customFormat="false" ht="15" hidden="false" customHeight="false" outlineLevel="0" collapsed="false">
      <c r="A1621" s="3" t="n">
        <v>43036</v>
      </c>
      <c r="B1621" s="2" t="s">
        <v>831</v>
      </c>
      <c r="C1621" s="2" t="s">
        <v>702</v>
      </c>
      <c r="D1621" s="2" t="s">
        <v>359</v>
      </c>
      <c r="E1621" s="2" t="s">
        <v>356</v>
      </c>
      <c r="F1621" s="2"/>
      <c r="G1621" s="2" t="s">
        <v>11</v>
      </c>
      <c r="H1621" s="2" t="str">
        <f aca="false">IF(LEFT(B1621,10)="Arsenal v ",MID(B1621,11,100),LEFT(B1621,FIND(" v ",B1621)-1))</f>
        <v>Swansea City</v>
      </c>
      <c r="I1621" s="2" t="str">
        <f aca="false">IF(F1621&lt;&gt;"","N",IF(LEFT(B1621,10)="Arsenal v ","H","A"))</f>
        <v>H</v>
      </c>
      <c r="J1621" s="2"/>
    </row>
    <row r="1622" customFormat="false" ht="15" hidden="false" customHeight="false" outlineLevel="0" collapsed="false">
      <c r="A1622" s="3" t="n">
        <v>43041</v>
      </c>
      <c r="B1622" s="2" t="s">
        <v>849</v>
      </c>
      <c r="C1622" s="2" t="s">
        <v>706</v>
      </c>
      <c r="D1622" s="2" t="s">
        <v>369</v>
      </c>
      <c r="E1622" s="2" t="s">
        <v>346</v>
      </c>
      <c r="F1622" s="2"/>
      <c r="G1622" s="2" t="s">
        <v>11</v>
      </c>
      <c r="H1622" s="2" t="str">
        <f aca="false">IF(LEFT(B1622,10)="Arsenal v ",MID(B1622,11,100),LEFT(B1622,FIND(" v ",B1622)-1))</f>
        <v>Crvena Zvezda</v>
      </c>
      <c r="I1622" s="2" t="str">
        <f aca="false">IF(F1622&lt;&gt;"","N",IF(LEFT(B1622,10)="Arsenal v ","H","A"))</f>
        <v>H</v>
      </c>
      <c r="J1622" s="2"/>
    </row>
    <row r="1623" customFormat="false" ht="15" hidden="false" customHeight="false" outlineLevel="0" collapsed="false">
      <c r="A1623" s="3" t="n">
        <v>43044</v>
      </c>
      <c r="B1623" s="2" t="s">
        <v>487</v>
      </c>
      <c r="C1623" s="2" t="s">
        <v>704</v>
      </c>
      <c r="D1623" s="2" t="s">
        <v>377</v>
      </c>
      <c r="E1623" s="2" t="s">
        <v>356</v>
      </c>
      <c r="F1623" s="2"/>
      <c r="G1623" s="2" t="s">
        <v>11</v>
      </c>
      <c r="H1623" s="2" t="str">
        <f aca="false">IF(LEFT(B1623,10)="Arsenal v ",MID(B1623,11,100),LEFT(B1623,FIND(" v ",B1623)-1))</f>
        <v>Manchester City</v>
      </c>
      <c r="I1623" s="2" t="str">
        <f aca="false">IF(F1623&lt;&gt;"","N",IF(LEFT(B1623,10)="Arsenal v ","H","A"))</f>
        <v>A</v>
      </c>
      <c r="J1623" s="2"/>
    </row>
    <row r="1624" customFormat="false" ht="15" hidden="false" customHeight="false" outlineLevel="0" collapsed="false">
      <c r="A1624" s="3" t="n">
        <v>43057</v>
      </c>
      <c r="B1624" s="2" t="s">
        <v>655</v>
      </c>
      <c r="C1624" s="2" t="s">
        <v>702</v>
      </c>
      <c r="D1624" s="2" t="s">
        <v>351</v>
      </c>
      <c r="E1624" s="2" t="s">
        <v>356</v>
      </c>
      <c r="F1624" s="2"/>
      <c r="G1624" s="2" t="s">
        <v>11</v>
      </c>
      <c r="H1624" s="2" t="str">
        <f aca="false">IF(LEFT(B1624,10)="Arsenal v ",MID(B1624,11,100),LEFT(B1624,FIND(" v ",B1624)-1))</f>
        <v>Tottenham Hotspur</v>
      </c>
      <c r="I1624" s="2" t="str">
        <f aca="false">IF(F1624&lt;&gt;"","N",IF(LEFT(B1624,10)="Arsenal v ","H","A"))</f>
        <v>H</v>
      </c>
      <c r="J1624" s="2"/>
    </row>
    <row r="1625" customFormat="false" ht="15" hidden="false" customHeight="false" outlineLevel="0" collapsed="false">
      <c r="A1625" s="3" t="n">
        <v>43062</v>
      </c>
      <c r="B1625" s="2" t="s">
        <v>347</v>
      </c>
      <c r="C1625" s="2" t="s">
        <v>704</v>
      </c>
      <c r="D1625" s="2" t="s">
        <v>348</v>
      </c>
      <c r="E1625" s="2" t="s">
        <v>346</v>
      </c>
      <c r="F1625" s="2"/>
      <c r="G1625" s="2" t="s">
        <v>11</v>
      </c>
      <c r="H1625" s="2" t="str">
        <f aca="false">IF(LEFT(B1625,10)="Arsenal v ",MID(B1625,11,100),LEFT(B1625,FIND(" v ",B1625)-1))</f>
        <v>1.FC Köln</v>
      </c>
      <c r="I1625" s="2" t="str">
        <f aca="false">IF(F1625&lt;&gt;"","N",IF(LEFT(B1625,10)="Arsenal v ","H","A"))</f>
        <v>A</v>
      </c>
      <c r="J1625" s="2"/>
    </row>
    <row r="1626" customFormat="false" ht="15" hidden="false" customHeight="false" outlineLevel="0" collapsed="false">
      <c r="A1626" s="3" t="n">
        <v>43065</v>
      </c>
      <c r="B1626" s="2" t="s">
        <v>419</v>
      </c>
      <c r="C1626" s="2" t="s">
        <v>702</v>
      </c>
      <c r="D1626" s="2" t="s">
        <v>383</v>
      </c>
      <c r="E1626" s="2" t="s">
        <v>356</v>
      </c>
      <c r="F1626" s="2"/>
      <c r="G1626" s="2" t="s">
        <v>11</v>
      </c>
      <c r="H1626" s="2" t="str">
        <f aca="false">IF(LEFT(B1626,10)="Arsenal v ",MID(B1626,11,100),LEFT(B1626,FIND(" v ",B1626)-1))</f>
        <v>Burnley</v>
      </c>
      <c r="I1626" s="2" t="str">
        <f aca="false">IF(F1626&lt;&gt;"","N",IF(LEFT(B1626,10)="Arsenal v ","H","A"))</f>
        <v>A</v>
      </c>
      <c r="J1626" s="2"/>
    </row>
    <row r="1627" customFormat="false" ht="15" hidden="false" customHeight="false" outlineLevel="0" collapsed="false">
      <c r="A1627" s="3" t="n">
        <v>43068</v>
      </c>
      <c r="B1627" s="2" t="s">
        <v>741</v>
      </c>
      <c r="C1627" s="2" t="s">
        <v>702</v>
      </c>
      <c r="D1627" s="2" t="s">
        <v>489</v>
      </c>
      <c r="E1627" s="2" t="s">
        <v>356</v>
      </c>
      <c r="F1627" s="2"/>
      <c r="G1627" s="2" t="s">
        <v>11</v>
      </c>
      <c r="H1627" s="2" t="str">
        <f aca="false">IF(LEFT(B1627,10)="Arsenal v ",MID(B1627,11,100),LEFT(B1627,FIND(" v ",B1627)-1))</f>
        <v>Huddersfield Town</v>
      </c>
      <c r="I1627" s="2" t="str">
        <f aca="false">IF(F1627&lt;&gt;"","N",IF(LEFT(B1627,10)="Arsenal v ","H","A"))</f>
        <v>H</v>
      </c>
      <c r="J1627" s="2"/>
    </row>
    <row r="1628" customFormat="false" ht="15" hidden="false" customHeight="false" outlineLevel="0" collapsed="false">
      <c r="A1628" s="3" t="n">
        <v>43071</v>
      </c>
      <c r="B1628" s="2" t="s">
        <v>656</v>
      </c>
      <c r="C1628" s="2" t="s">
        <v>704</v>
      </c>
      <c r="D1628" s="2" t="s">
        <v>373</v>
      </c>
      <c r="E1628" s="2" t="s">
        <v>356</v>
      </c>
      <c r="F1628" s="2"/>
      <c r="G1628" s="2" t="s">
        <v>11</v>
      </c>
      <c r="H1628" s="2" t="str">
        <f aca="false">IF(LEFT(B1628,10)="Arsenal v ",MID(B1628,11,100),LEFT(B1628,FIND(" v ",B1628)-1))</f>
        <v>Manchester United</v>
      </c>
      <c r="I1628" s="2" t="str">
        <f aca="false">IF(F1628&lt;&gt;"","N",IF(LEFT(B1628,10)="Arsenal v ","H","A"))</f>
        <v>H</v>
      </c>
      <c r="J1628" s="2"/>
    </row>
    <row r="1629" customFormat="false" ht="15" hidden="false" customHeight="false" outlineLevel="0" collapsed="false">
      <c r="A1629" s="3" t="n">
        <v>43076</v>
      </c>
      <c r="B1629" s="2" t="s">
        <v>850</v>
      </c>
      <c r="C1629" s="2" t="s">
        <v>702</v>
      </c>
      <c r="D1629" s="2" t="s">
        <v>428</v>
      </c>
      <c r="E1629" s="2" t="s">
        <v>346</v>
      </c>
      <c r="F1629" s="2"/>
      <c r="G1629" s="2" t="s">
        <v>11</v>
      </c>
      <c r="H1629" s="2" t="str">
        <f aca="false">IF(LEFT(B1629,10)="Arsenal v ",MID(B1629,11,100),LEFT(B1629,FIND(" v ",B1629)-1))</f>
        <v>FC BATE Borisov</v>
      </c>
      <c r="I1629" s="2" t="str">
        <f aca="false">IF(F1629&lt;&gt;"","N",IF(LEFT(B1629,10)="Arsenal v ","H","A"))</f>
        <v>H</v>
      </c>
      <c r="J1629" s="2"/>
    </row>
    <row r="1630" customFormat="false" ht="15" hidden="false" customHeight="false" outlineLevel="0" collapsed="false">
      <c r="A1630" s="3" t="n">
        <v>43079</v>
      </c>
      <c r="B1630" s="2" t="s">
        <v>546</v>
      </c>
      <c r="C1630" s="2" t="s">
        <v>706</v>
      </c>
      <c r="D1630" s="2" t="s">
        <v>361</v>
      </c>
      <c r="E1630" s="2" t="s">
        <v>356</v>
      </c>
      <c r="F1630" s="2"/>
      <c r="G1630" s="2" t="s">
        <v>11</v>
      </c>
      <c r="H1630" s="2" t="str">
        <f aca="false">IF(LEFT(B1630,10)="Arsenal v ",MID(B1630,11,100),LEFT(B1630,FIND(" v ",B1630)-1))</f>
        <v>Southampton</v>
      </c>
      <c r="I1630" s="2" t="str">
        <f aca="false">IF(F1630&lt;&gt;"","N",IF(LEFT(B1630,10)="Arsenal v ","H","A"))</f>
        <v>A</v>
      </c>
      <c r="J1630" s="2"/>
    </row>
    <row r="1631" customFormat="false" ht="15" hidden="false" customHeight="false" outlineLevel="0" collapsed="false">
      <c r="A1631" s="3" t="n">
        <v>43082</v>
      </c>
      <c r="B1631" s="2" t="s">
        <v>572</v>
      </c>
      <c r="C1631" s="2" t="s">
        <v>706</v>
      </c>
      <c r="D1631" s="2" t="s">
        <v>369</v>
      </c>
      <c r="E1631" s="2" t="s">
        <v>356</v>
      </c>
      <c r="F1631" s="2"/>
      <c r="G1631" s="2" t="s">
        <v>11</v>
      </c>
      <c r="H1631" s="2" t="str">
        <f aca="false">IF(LEFT(B1631,10)="Arsenal v ",MID(B1631,11,100),LEFT(B1631,FIND(" v ",B1631)-1))</f>
        <v>West Ham United</v>
      </c>
      <c r="I1631" s="2" t="str">
        <f aca="false">IF(F1631&lt;&gt;"","N",IF(LEFT(B1631,10)="Arsenal v ","H","A"))</f>
        <v>A</v>
      </c>
      <c r="J1631" s="2"/>
    </row>
    <row r="1632" customFormat="false" ht="15" hidden="false" customHeight="false" outlineLevel="0" collapsed="false">
      <c r="A1632" s="3" t="n">
        <v>43085</v>
      </c>
      <c r="B1632" s="2" t="s">
        <v>719</v>
      </c>
      <c r="C1632" s="2" t="s">
        <v>702</v>
      </c>
      <c r="D1632" s="2" t="s">
        <v>348</v>
      </c>
      <c r="E1632" s="2" t="s">
        <v>356</v>
      </c>
      <c r="F1632" s="2"/>
      <c r="G1632" s="2" t="s">
        <v>11</v>
      </c>
      <c r="H1632" s="2" t="str">
        <f aca="false">IF(LEFT(B1632,10)="Arsenal v ",MID(B1632,11,100),LEFT(B1632,FIND(" v ",B1632)-1))</f>
        <v>Newcastle United</v>
      </c>
      <c r="I1632" s="2" t="str">
        <f aca="false">IF(F1632&lt;&gt;"","N",IF(LEFT(B1632,10)="Arsenal v ","H","A"))</f>
        <v>H</v>
      </c>
      <c r="J1632" s="2"/>
    </row>
    <row r="1633" customFormat="false" ht="15" hidden="false" customHeight="false" outlineLevel="0" collapsed="false">
      <c r="A1633" s="3" t="n">
        <v>43088</v>
      </c>
      <c r="B1633" s="2" t="s">
        <v>712</v>
      </c>
      <c r="C1633" s="2" t="s">
        <v>702</v>
      </c>
      <c r="D1633" s="2" t="s">
        <v>348</v>
      </c>
      <c r="E1633" s="2" t="s">
        <v>379</v>
      </c>
      <c r="F1633" s="2"/>
      <c r="G1633" s="2" t="s">
        <v>11</v>
      </c>
      <c r="H1633" s="2" t="str">
        <f aca="false">IF(LEFT(B1633,10)="Arsenal v ",MID(B1633,11,100),LEFT(B1633,FIND(" v ",B1633)-1))</f>
        <v>West Ham United</v>
      </c>
      <c r="I1633" s="2" t="str">
        <f aca="false">IF(F1633&lt;&gt;"","N",IF(LEFT(B1633,10)="Arsenal v ","H","A"))</f>
        <v>H</v>
      </c>
      <c r="J1633" s="2"/>
    </row>
    <row r="1634" customFormat="false" ht="15" hidden="false" customHeight="false" outlineLevel="0" collapsed="false">
      <c r="A1634" s="3" t="n">
        <v>43091</v>
      </c>
      <c r="B1634" s="2" t="s">
        <v>710</v>
      </c>
      <c r="C1634" s="2" t="s">
        <v>706</v>
      </c>
      <c r="D1634" s="2" t="s">
        <v>358</v>
      </c>
      <c r="E1634" s="2" t="s">
        <v>356</v>
      </c>
      <c r="F1634" s="2"/>
      <c r="G1634" s="2" t="s">
        <v>11</v>
      </c>
      <c r="H1634" s="2" t="str">
        <f aca="false">IF(LEFT(B1634,10)="Arsenal v ",MID(B1634,11,100),LEFT(B1634,FIND(" v ",B1634)-1))</f>
        <v>Liverpool</v>
      </c>
      <c r="I1634" s="2" t="str">
        <f aca="false">IF(F1634&lt;&gt;"","N",IF(LEFT(B1634,10)="Arsenal v ","H","A"))</f>
        <v>H</v>
      </c>
      <c r="J1634" s="2"/>
    </row>
    <row r="1635" customFormat="false" ht="15" hidden="false" customHeight="false" outlineLevel="0" collapsed="false">
      <c r="A1635" s="3" t="n">
        <v>43097</v>
      </c>
      <c r="B1635" s="2" t="s">
        <v>433</v>
      </c>
      <c r="C1635" s="2" t="s">
        <v>702</v>
      </c>
      <c r="D1635" s="2" t="s">
        <v>366</v>
      </c>
      <c r="E1635" s="2" t="s">
        <v>356</v>
      </c>
      <c r="F1635" s="2"/>
      <c r="G1635" s="2" t="s">
        <v>11</v>
      </c>
      <c r="H1635" s="2" t="str">
        <f aca="false">IF(LEFT(B1635,10)="Arsenal v ",MID(B1635,11,100),LEFT(B1635,FIND(" v ",B1635)-1))</f>
        <v>Crystal Palace</v>
      </c>
      <c r="I1635" s="2" t="str">
        <f aca="false">IF(F1635&lt;&gt;"","N",IF(LEFT(B1635,10)="Arsenal v ","H","A"))</f>
        <v>A</v>
      </c>
      <c r="J1635" s="2"/>
    </row>
    <row r="1636" customFormat="false" ht="15" hidden="false" customHeight="false" outlineLevel="0" collapsed="false">
      <c r="A1636" s="3" t="n">
        <v>43100</v>
      </c>
      <c r="B1636" s="2" t="s">
        <v>571</v>
      </c>
      <c r="C1636" s="2" t="s">
        <v>706</v>
      </c>
      <c r="D1636" s="2" t="s">
        <v>361</v>
      </c>
      <c r="E1636" s="2" t="s">
        <v>356</v>
      </c>
      <c r="F1636" s="2"/>
      <c r="G1636" s="2" t="s">
        <v>11</v>
      </c>
      <c r="H1636" s="2" t="str">
        <f aca="false">IF(LEFT(B1636,10)="Arsenal v ",MID(B1636,11,100),LEFT(B1636,FIND(" v ",B1636)-1))</f>
        <v>West Bromwich Albion</v>
      </c>
      <c r="I1636" s="2" t="str">
        <f aca="false">IF(F1636&lt;&gt;"","N",IF(LEFT(B1636,10)="Arsenal v ","H","A"))</f>
        <v>A</v>
      </c>
      <c r="J1636" s="2"/>
    </row>
    <row r="1637" customFormat="false" ht="15" hidden="false" customHeight="false" outlineLevel="0" collapsed="false">
      <c r="A1637" s="3" t="n">
        <v>43103</v>
      </c>
      <c r="B1637" s="2" t="s">
        <v>725</v>
      </c>
      <c r="C1637" s="2" t="s">
        <v>706</v>
      </c>
      <c r="D1637" s="2" t="s">
        <v>380</v>
      </c>
      <c r="E1637" s="2" t="s">
        <v>356</v>
      </c>
      <c r="F1637" s="2"/>
      <c r="G1637" s="2" t="s">
        <v>11</v>
      </c>
      <c r="H1637" s="2" t="str">
        <f aca="false">IF(LEFT(B1637,10)="Arsenal v ",MID(B1637,11,100),LEFT(B1637,FIND(" v ",B1637)-1))</f>
        <v>Chelsea</v>
      </c>
      <c r="I1637" s="2" t="str">
        <f aca="false">IF(F1637&lt;&gt;"","N",IF(LEFT(B1637,10)="Arsenal v ","H","A"))</f>
        <v>H</v>
      </c>
      <c r="J1637" s="2"/>
    </row>
    <row r="1638" customFormat="false" ht="15" hidden="false" customHeight="false" outlineLevel="0" collapsed="false">
      <c r="A1638" s="3" t="n">
        <v>43107</v>
      </c>
      <c r="B1638" s="2" t="s">
        <v>503</v>
      </c>
      <c r="C1638" s="2" t="s">
        <v>704</v>
      </c>
      <c r="D1638" s="2" t="s">
        <v>479</v>
      </c>
      <c r="E1638" s="2" t="s">
        <v>362</v>
      </c>
      <c r="F1638" s="2"/>
      <c r="G1638" s="2" t="s">
        <v>11</v>
      </c>
      <c r="H1638" s="2" t="str">
        <f aca="false">IF(LEFT(B1638,10)="Arsenal v ",MID(B1638,11,100),LEFT(B1638,FIND(" v ",B1638)-1))</f>
        <v>Nottingham Forest</v>
      </c>
      <c r="I1638" s="2" t="str">
        <f aca="false">IF(F1638&lt;&gt;"","N",IF(LEFT(B1638,10)="Arsenal v ","H","A"))</f>
        <v>A</v>
      </c>
      <c r="J1638" s="2"/>
    </row>
    <row r="1639" customFormat="false" ht="15" hidden="false" customHeight="false" outlineLevel="0" collapsed="false">
      <c r="A1639" s="3" t="n">
        <v>43110</v>
      </c>
      <c r="B1639" s="2" t="s">
        <v>426</v>
      </c>
      <c r="C1639" s="2" t="s">
        <v>706</v>
      </c>
      <c r="D1639" s="2" t="s">
        <v>369</v>
      </c>
      <c r="E1639" s="2" t="s">
        <v>379</v>
      </c>
      <c r="F1639" s="2"/>
      <c r="G1639" s="2" t="s">
        <v>11</v>
      </c>
      <c r="H1639" s="2" t="str">
        <f aca="false">IF(LEFT(B1639,10)="Arsenal v ",MID(B1639,11,100),LEFT(B1639,FIND(" v ",B1639)-1))</f>
        <v>Chelsea</v>
      </c>
      <c r="I1639" s="2" t="str">
        <f aca="false">IF(F1639&lt;&gt;"","N",IF(LEFT(B1639,10)="Arsenal v ","H","A"))</f>
        <v>A</v>
      </c>
      <c r="J1639" s="2"/>
    </row>
    <row r="1640" customFormat="false" ht="15" hidden="false" customHeight="false" outlineLevel="0" collapsed="false">
      <c r="A1640" s="3" t="n">
        <v>43114</v>
      </c>
      <c r="B1640" s="2" t="s">
        <v>357</v>
      </c>
      <c r="C1640" s="2" t="s">
        <v>704</v>
      </c>
      <c r="D1640" s="2" t="s">
        <v>359</v>
      </c>
      <c r="E1640" s="2" t="s">
        <v>356</v>
      </c>
      <c r="F1640" s="2"/>
      <c r="G1640" s="2" t="s">
        <v>11</v>
      </c>
      <c r="H1640" s="2" t="str">
        <f aca="false">IF(LEFT(B1640,10)="Arsenal v ",MID(B1640,11,100),LEFT(B1640,FIND(" v ",B1640)-1))</f>
        <v>AFC Bournemouth</v>
      </c>
      <c r="I1640" s="2" t="str">
        <f aca="false">IF(F1640&lt;&gt;"","N",IF(LEFT(B1640,10)="Arsenal v ","H","A"))</f>
        <v>A</v>
      </c>
      <c r="J1640" s="2"/>
    </row>
    <row r="1641" customFormat="false" ht="15" hidden="false" customHeight="false" outlineLevel="0" collapsed="false">
      <c r="A1641" s="3" t="n">
        <v>43120</v>
      </c>
      <c r="B1641" s="2" t="s">
        <v>724</v>
      </c>
      <c r="C1641" s="2" t="s">
        <v>702</v>
      </c>
      <c r="D1641" s="2" t="s">
        <v>397</v>
      </c>
      <c r="E1641" s="2" t="s">
        <v>356</v>
      </c>
      <c r="F1641" s="2"/>
      <c r="G1641" s="2" t="s">
        <v>11</v>
      </c>
      <c r="H1641" s="2" t="str">
        <f aca="false">IF(LEFT(B1641,10)="Arsenal v ",MID(B1641,11,100),LEFT(B1641,FIND(" v ",B1641)-1))</f>
        <v>Crystal Palace</v>
      </c>
      <c r="I1641" s="2" t="str">
        <f aca="false">IF(F1641&lt;&gt;"","N",IF(LEFT(B1641,10)="Arsenal v ","H","A"))</f>
        <v>H</v>
      </c>
      <c r="J1641" s="2"/>
    </row>
    <row r="1642" customFormat="false" ht="15" hidden="false" customHeight="false" outlineLevel="0" collapsed="false">
      <c r="A1642" s="3" t="n">
        <v>43124</v>
      </c>
      <c r="B1642" s="2" t="s">
        <v>725</v>
      </c>
      <c r="C1642" s="2" t="s">
        <v>702</v>
      </c>
      <c r="D1642" s="2" t="s">
        <v>359</v>
      </c>
      <c r="E1642" s="2" t="s">
        <v>379</v>
      </c>
      <c r="F1642" s="2"/>
      <c r="G1642" s="2" t="s">
        <v>11</v>
      </c>
      <c r="H1642" s="2" t="str">
        <f aca="false">IF(LEFT(B1642,10)="Arsenal v ",MID(B1642,11,100),LEFT(B1642,FIND(" v ",B1642)-1))</f>
        <v>Chelsea</v>
      </c>
      <c r="I1642" s="2" t="str">
        <f aca="false">IF(F1642&lt;&gt;"","N",IF(LEFT(B1642,10)="Arsenal v ","H","A"))</f>
        <v>H</v>
      </c>
      <c r="J1642" s="2"/>
    </row>
    <row r="1643" customFormat="false" ht="15" hidden="false" customHeight="false" outlineLevel="0" collapsed="false">
      <c r="A1643" s="3" t="n">
        <v>43130</v>
      </c>
      <c r="B1643" s="2" t="s">
        <v>558</v>
      </c>
      <c r="C1643" s="2" t="s">
        <v>704</v>
      </c>
      <c r="D1643" s="2" t="s">
        <v>377</v>
      </c>
      <c r="E1643" s="2" t="s">
        <v>356</v>
      </c>
      <c r="F1643" s="2"/>
      <c r="G1643" s="2" t="s">
        <v>11</v>
      </c>
      <c r="H1643" s="2" t="str">
        <f aca="false">IF(LEFT(B1643,10)="Arsenal v ",MID(B1643,11,100),LEFT(B1643,FIND(" v ",B1643)-1))</f>
        <v>Swansea City</v>
      </c>
      <c r="I1643" s="2" t="str">
        <f aca="false">IF(F1643&lt;&gt;"","N",IF(LEFT(B1643,10)="Arsenal v ","H","A"))</f>
        <v>A</v>
      </c>
      <c r="J1643" s="2"/>
    </row>
    <row r="1644" customFormat="false" ht="15" hidden="false" customHeight="false" outlineLevel="0" collapsed="false">
      <c r="A1644" s="3" t="n">
        <v>43134</v>
      </c>
      <c r="B1644" s="2" t="s">
        <v>718</v>
      </c>
      <c r="C1644" s="2" t="s">
        <v>702</v>
      </c>
      <c r="D1644" s="2" t="s">
        <v>401</v>
      </c>
      <c r="E1644" s="2" t="s">
        <v>356</v>
      </c>
      <c r="F1644" s="2"/>
      <c r="G1644" s="2" t="s">
        <v>11</v>
      </c>
      <c r="H1644" s="2" t="str">
        <f aca="false">IF(LEFT(B1644,10)="Arsenal v ",MID(B1644,11,100),LEFT(B1644,FIND(" v ",B1644)-1))</f>
        <v>Everton</v>
      </c>
      <c r="I1644" s="2" t="str">
        <f aca="false">IF(F1644&lt;&gt;"","N",IF(LEFT(B1644,10)="Arsenal v ","H","A"))</f>
        <v>H</v>
      </c>
      <c r="J1644" s="2"/>
    </row>
    <row r="1645" customFormat="false" ht="15" hidden="false" customHeight="false" outlineLevel="0" collapsed="false">
      <c r="A1645" s="3" t="n">
        <v>43141</v>
      </c>
      <c r="B1645" s="2" t="s">
        <v>561</v>
      </c>
      <c r="C1645" s="2" t="s">
        <v>704</v>
      </c>
      <c r="D1645" s="2" t="s">
        <v>348</v>
      </c>
      <c r="E1645" s="2" t="s">
        <v>356</v>
      </c>
      <c r="F1645" s="2"/>
      <c r="G1645" s="2" t="s">
        <v>11</v>
      </c>
      <c r="H1645" s="2" t="str">
        <f aca="false">IF(LEFT(B1645,10)="Arsenal v ",MID(B1645,11,100),LEFT(B1645,FIND(" v ",B1645)-1))</f>
        <v>Tottenham Hotspur</v>
      </c>
      <c r="I1645" s="2" t="str">
        <f aca="false">IF(F1645&lt;&gt;"","N",IF(LEFT(B1645,10)="Arsenal v ","H","A"))</f>
        <v>A</v>
      </c>
      <c r="J1645" s="2"/>
    </row>
    <row r="1646" customFormat="false" ht="15" hidden="false" customHeight="false" outlineLevel="0" collapsed="false">
      <c r="A1646" s="3" t="n">
        <v>43146</v>
      </c>
      <c r="B1646" s="2" t="s">
        <v>578</v>
      </c>
      <c r="C1646" s="2" t="s">
        <v>702</v>
      </c>
      <c r="D1646" s="2" t="s">
        <v>363</v>
      </c>
      <c r="E1646" s="2" t="s">
        <v>346</v>
      </c>
      <c r="F1646" s="2"/>
      <c r="G1646" s="2" t="s">
        <v>11</v>
      </c>
      <c r="H1646" s="2" t="str">
        <f aca="false">IF(LEFT(B1646,10)="Arsenal v ",MID(B1646,11,100),LEFT(B1646,FIND(" v ",B1646)-1))</f>
        <v>Östersunds FK</v>
      </c>
      <c r="I1646" s="2" t="str">
        <f aca="false">IF(F1646&lt;&gt;"","N",IF(LEFT(B1646,10)="Arsenal v ","H","A"))</f>
        <v>A</v>
      </c>
      <c r="J1646" s="2"/>
    </row>
    <row r="1647" customFormat="false" ht="15" hidden="false" customHeight="false" outlineLevel="0" collapsed="false">
      <c r="A1647" s="3" t="n">
        <v>43153</v>
      </c>
      <c r="B1647" s="2" t="s">
        <v>851</v>
      </c>
      <c r="C1647" s="2" t="s">
        <v>704</v>
      </c>
      <c r="D1647" s="2" t="s">
        <v>360</v>
      </c>
      <c r="E1647" s="2" t="s">
        <v>346</v>
      </c>
      <c r="F1647" s="2"/>
      <c r="G1647" s="2" t="s">
        <v>11</v>
      </c>
      <c r="H1647" s="2" t="str">
        <f aca="false">IF(LEFT(B1647,10)="Arsenal v ",MID(B1647,11,100),LEFT(B1647,FIND(" v ",B1647)-1))</f>
        <v>Östersunds FK</v>
      </c>
      <c r="I1647" s="2" t="str">
        <f aca="false">IF(F1647&lt;&gt;"","N",IF(LEFT(B1647,10)="Arsenal v ","H","A"))</f>
        <v>H</v>
      </c>
      <c r="J1647" s="2"/>
    </row>
    <row r="1648" customFormat="false" ht="15" hidden="false" customHeight="false" outlineLevel="0" collapsed="false">
      <c r="A1648" s="3" t="n">
        <v>43156</v>
      </c>
      <c r="B1648" s="2" t="s">
        <v>657</v>
      </c>
      <c r="C1648" s="2" t="s">
        <v>704</v>
      </c>
      <c r="D1648" s="2" t="s">
        <v>363</v>
      </c>
      <c r="E1648" s="2" t="s">
        <v>379</v>
      </c>
      <c r="F1648" s="2" t="s">
        <v>652</v>
      </c>
      <c r="G1648" s="2" t="s">
        <v>11</v>
      </c>
      <c r="H1648" s="2" t="str">
        <f aca="false">IF(LEFT(B1648,10)="Arsenal v ",MID(B1648,11,100),LEFT(B1648,FIND(" v ",B1648)-1))</f>
        <v>Manchester City</v>
      </c>
      <c r="I1648" s="2" t="str">
        <f aca="false">IF(F1648&lt;&gt;"","N",IF(LEFT(B1648,10)="Arsenal v ","H","A"))</f>
        <v>N</v>
      </c>
      <c r="J1648" s="2"/>
    </row>
    <row r="1649" customFormat="false" ht="15" hidden="false" customHeight="false" outlineLevel="0" collapsed="false">
      <c r="A1649" s="3" t="n">
        <v>43160</v>
      </c>
      <c r="B1649" s="2" t="s">
        <v>657</v>
      </c>
      <c r="C1649" s="2" t="s">
        <v>704</v>
      </c>
      <c r="D1649" s="2" t="s">
        <v>363</v>
      </c>
      <c r="E1649" s="2" t="s">
        <v>356</v>
      </c>
      <c r="F1649" s="2"/>
      <c r="G1649" s="2" t="s">
        <v>11</v>
      </c>
      <c r="H1649" s="2" t="str">
        <f aca="false">IF(LEFT(B1649,10)="Arsenal v ",MID(B1649,11,100),LEFT(B1649,FIND(" v ",B1649)-1))</f>
        <v>Manchester City</v>
      </c>
      <c r="I1649" s="2" t="str">
        <f aca="false">IF(F1649&lt;&gt;"","N",IF(LEFT(B1649,10)="Arsenal v ","H","A"))</f>
        <v>H</v>
      </c>
      <c r="J1649" s="2"/>
    </row>
    <row r="1650" customFormat="false" ht="15" hidden="false" customHeight="false" outlineLevel="0" collapsed="false">
      <c r="A1650" s="3" t="n">
        <v>43163</v>
      </c>
      <c r="B1650" s="2" t="s">
        <v>417</v>
      </c>
      <c r="C1650" s="2" t="s">
        <v>704</v>
      </c>
      <c r="D1650" s="2" t="s">
        <v>359</v>
      </c>
      <c r="E1650" s="2" t="s">
        <v>356</v>
      </c>
      <c r="F1650" s="2"/>
      <c r="G1650" s="2" t="s">
        <v>11</v>
      </c>
      <c r="H1650" s="2" t="str">
        <f aca="false">IF(LEFT(B1650,10)="Arsenal v ",MID(B1650,11,100),LEFT(B1650,FIND(" v ",B1650)-1))</f>
        <v>Brighton and Hove Albion</v>
      </c>
      <c r="I1650" s="2" t="str">
        <f aca="false">IF(F1650&lt;&gt;"","N",IF(LEFT(B1650,10)="Arsenal v ","H","A"))</f>
        <v>A</v>
      </c>
      <c r="J1650" s="2"/>
    </row>
    <row r="1651" customFormat="false" ht="15" hidden="false" customHeight="false" outlineLevel="0" collapsed="false">
      <c r="A1651" s="3" t="n">
        <v>43167</v>
      </c>
      <c r="B1651" s="2" t="s">
        <v>350</v>
      </c>
      <c r="C1651" s="2" t="s">
        <v>702</v>
      </c>
      <c r="D1651" s="2" t="s">
        <v>353</v>
      </c>
      <c r="E1651" s="2" t="s">
        <v>346</v>
      </c>
      <c r="F1651" s="2"/>
      <c r="G1651" s="2" t="s">
        <v>11</v>
      </c>
      <c r="H1651" s="2" t="str">
        <f aca="false">IF(LEFT(B1651,10)="Arsenal v ",MID(B1651,11,100),LEFT(B1651,FIND(" v ",B1651)-1))</f>
        <v>AC Milan</v>
      </c>
      <c r="I1651" s="2" t="str">
        <f aca="false">IF(F1651&lt;&gt;"","N",IF(LEFT(B1651,10)="Arsenal v ","H","A"))</f>
        <v>A</v>
      </c>
      <c r="J1651" s="2"/>
    </row>
    <row r="1652" customFormat="false" ht="15" hidden="false" customHeight="false" outlineLevel="0" collapsed="false">
      <c r="A1652" s="3" t="n">
        <v>43170</v>
      </c>
      <c r="B1652" s="2" t="s">
        <v>764</v>
      </c>
      <c r="C1652" s="2" t="s">
        <v>702</v>
      </c>
      <c r="D1652" s="2" t="s">
        <v>434</v>
      </c>
      <c r="E1652" s="2" t="s">
        <v>356</v>
      </c>
      <c r="F1652" s="2"/>
      <c r="G1652" s="2" t="s">
        <v>11</v>
      </c>
      <c r="H1652" s="2" t="str">
        <f aca="false">IF(LEFT(B1652,10)="Arsenal v ",MID(B1652,11,100),LEFT(B1652,FIND(" v ",B1652)-1))</f>
        <v>Watford</v>
      </c>
      <c r="I1652" s="2" t="str">
        <f aca="false">IF(F1652&lt;&gt;"","N",IF(LEFT(B1652,10)="Arsenal v ","H","A"))</f>
        <v>H</v>
      </c>
      <c r="J1652" s="2"/>
    </row>
    <row r="1653" customFormat="false" ht="15" hidden="false" customHeight="false" outlineLevel="0" collapsed="false">
      <c r="A1653" s="3" t="n">
        <v>43174</v>
      </c>
      <c r="B1653" s="2" t="s">
        <v>751</v>
      </c>
      <c r="C1653" s="2" t="s">
        <v>702</v>
      </c>
      <c r="D1653" s="2" t="s">
        <v>377</v>
      </c>
      <c r="E1653" s="2" t="s">
        <v>346</v>
      </c>
      <c r="F1653" s="2"/>
      <c r="G1653" s="2" t="s">
        <v>11</v>
      </c>
      <c r="H1653" s="2" t="str">
        <f aca="false">IF(LEFT(B1653,10)="Arsenal v ",MID(B1653,11,100),LEFT(B1653,FIND(" v ",B1653)-1))</f>
        <v>AC Milan</v>
      </c>
      <c r="I1653" s="2" t="str">
        <f aca="false">IF(F1653&lt;&gt;"","N",IF(LEFT(B1653,10)="Arsenal v ","H","A"))</f>
        <v>H</v>
      </c>
      <c r="J1653" s="2"/>
    </row>
    <row r="1654" customFormat="false" ht="15" hidden="false" customHeight="false" outlineLevel="0" collapsed="false">
      <c r="A1654" s="3" t="n">
        <v>43191</v>
      </c>
      <c r="B1654" s="2" t="s">
        <v>757</v>
      </c>
      <c r="C1654" s="2" t="s">
        <v>702</v>
      </c>
      <c r="D1654" s="2" t="s">
        <v>434</v>
      </c>
      <c r="E1654" s="2" t="s">
        <v>356</v>
      </c>
      <c r="F1654" s="2"/>
      <c r="G1654" s="2" t="s">
        <v>11</v>
      </c>
      <c r="H1654" s="2" t="str">
        <f aca="false">IF(LEFT(B1654,10)="Arsenal v ",MID(B1654,11,100),LEFT(B1654,FIND(" v ",B1654)-1))</f>
        <v>Stoke City</v>
      </c>
      <c r="I1654" s="2" t="str">
        <f aca="false">IF(F1654&lt;&gt;"","N",IF(LEFT(B1654,10)="Arsenal v ","H","A"))</f>
        <v>H</v>
      </c>
      <c r="J1654" s="2"/>
    </row>
    <row r="1655" customFormat="false" ht="15" hidden="false" customHeight="false" outlineLevel="0" collapsed="false">
      <c r="A1655" s="3" t="n">
        <v>43195</v>
      </c>
      <c r="B1655" s="2" t="s">
        <v>852</v>
      </c>
      <c r="C1655" s="2" t="s">
        <v>702</v>
      </c>
      <c r="D1655" s="2" t="s">
        <v>397</v>
      </c>
      <c r="E1655" s="2" t="s">
        <v>346</v>
      </c>
      <c r="F1655" s="2"/>
      <c r="G1655" s="2" t="s">
        <v>11</v>
      </c>
      <c r="H1655" s="2" t="str">
        <f aca="false">IF(LEFT(B1655,10)="Arsenal v ",MID(B1655,11,100),LEFT(B1655,FIND(" v ",B1655)-1))</f>
        <v>CSKA Moscow</v>
      </c>
      <c r="I1655" s="2" t="str">
        <f aca="false">IF(F1655&lt;&gt;"","N",IF(LEFT(B1655,10)="Arsenal v ","H","A"))</f>
        <v>H</v>
      </c>
      <c r="J1655" s="2"/>
    </row>
    <row r="1656" customFormat="false" ht="15" hidden="false" customHeight="false" outlineLevel="0" collapsed="false">
      <c r="A1656" s="3" t="n">
        <v>43198</v>
      </c>
      <c r="B1656" s="2" t="s">
        <v>705</v>
      </c>
      <c r="C1656" s="2" t="s">
        <v>702</v>
      </c>
      <c r="D1656" s="2" t="s">
        <v>382</v>
      </c>
      <c r="E1656" s="2" t="s">
        <v>356</v>
      </c>
      <c r="F1656" s="2"/>
      <c r="G1656" s="2" t="s">
        <v>11</v>
      </c>
      <c r="H1656" s="2" t="str">
        <f aca="false">IF(LEFT(B1656,10)="Arsenal v ",MID(B1656,11,100),LEFT(B1656,FIND(" v ",B1656)-1))</f>
        <v>Southampton</v>
      </c>
      <c r="I1656" s="2" t="str">
        <f aca="false">IF(F1656&lt;&gt;"","N",IF(LEFT(B1656,10)="Arsenal v ","H","A"))</f>
        <v>H</v>
      </c>
      <c r="J1656" s="2"/>
    </row>
    <row r="1657" customFormat="false" ht="15" hidden="false" customHeight="false" outlineLevel="0" collapsed="false">
      <c r="A1657" s="3" t="n">
        <v>43202</v>
      </c>
      <c r="B1657" s="2" t="s">
        <v>436</v>
      </c>
      <c r="C1657" s="2" t="s">
        <v>706</v>
      </c>
      <c r="D1657" s="2" t="s">
        <v>380</v>
      </c>
      <c r="E1657" s="2" t="s">
        <v>346</v>
      </c>
      <c r="F1657" s="2"/>
      <c r="G1657" s="2" t="s">
        <v>11</v>
      </c>
      <c r="H1657" s="2" t="str">
        <f aca="false">IF(LEFT(B1657,10)="Arsenal v ",MID(B1657,11,100),LEFT(B1657,FIND(" v ",B1657)-1))</f>
        <v>CSKA Moscow</v>
      </c>
      <c r="I1657" s="2" t="str">
        <f aca="false">IF(F1657&lt;&gt;"","N",IF(LEFT(B1657,10)="Arsenal v ","H","A"))</f>
        <v>A</v>
      </c>
      <c r="J1657" s="2"/>
    </row>
    <row r="1658" customFormat="false" ht="15" hidden="false" customHeight="false" outlineLevel="0" collapsed="false">
      <c r="A1658" s="3" t="n">
        <v>43205</v>
      </c>
      <c r="B1658" s="2" t="s">
        <v>501</v>
      </c>
      <c r="C1658" s="2" t="s">
        <v>704</v>
      </c>
      <c r="D1658" s="2" t="s">
        <v>359</v>
      </c>
      <c r="E1658" s="2" t="s">
        <v>356</v>
      </c>
      <c r="F1658" s="2"/>
      <c r="G1658" s="2" t="s">
        <v>11</v>
      </c>
      <c r="H1658" s="2" t="str">
        <f aca="false">IF(LEFT(B1658,10)="Arsenal v ",MID(B1658,11,100),LEFT(B1658,FIND(" v ",B1658)-1))</f>
        <v>Newcastle United</v>
      </c>
      <c r="I1658" s="2" t="str">
        <f aca="false">IF(F1658&lt;&gt;"","N",IF(LEFT(B1658,10)="Arsenal v ","H","A"))</f>
        <v>A</v>
      </c>
      <c r="J1658" s="2"/>
    </row>
    <row r="1659" customFormat="false" ht="15" hidden="false" customHeight="false" outlineLevel="0" collapsed="false">
      <c r="A1659" s="3" t="n">
        <v>43212</v>
      </c>
      <c r="B1659" s="2" t="s">
        <v>712</v>
      </c>
      <c r="C1659" s="2" t="s">
        <v>702</v>
      </c>
      <c r="D1659" s="2" t="s">
        <v>397</v>
      </c>
      <c r="E1659" s="2" t="s">
        <v>356</v>
      </c>
      <c r="F1659" s="2"/>
      <c r="G1659" s="2" t="s">
        <v>11</v>
      </c>
      <c r="H1659" s="2" t="str">
        <f aca="false">IF(LEFT(B1659,10)="Arsenal v ",MID(B1659,11,100),LEFT(B1659,FIND(" v ",B1659)-1))</f>
        <v>West Ham United</v>
      </c>
      <c r="I1659" s="2" t="str">
        <f aca="false">IF(F1659&lt;&gt;"","N",IF(LEFT(B1659,10)="Arsenal v ","H","A"))</f>
        <v>H</v>
      </c>
      <c r="J1659" s="2"/>
    </row>
    <row r="1660" customFormat="false" ht="15" hidden="false" customHeight="false" outlineLevel="0" collapsed="false">
      <c r="A1660" s="3" t="n">
        <v>43216</v>
      </c>
      <c r="B1660" s="2" t="s">
        <v>853</v>
      </c>
      <c r="C1660" s="2" t="s">
        <v>706</v>
      </c>
      <c r="D1660" s="2" t="s">
        <v>361</v>
      </c>
      <c r="E1660" s="2" t="s">
        <v>346</v>
      </c>
      <c r="F1660" s="2"/>
      <c r="G1660" s="2" t="s">
        <v>11</v>
      </c>
      <c r="H1660" s="2" t="str">
        <f aca="false">IF(LEFT(B1660,10)="Arsenal v ",MID(B1660,11,100),LEFT(B1660,FIND(" v ",B1660)-1))</f>
        <v>Atlético Madrid</v>
      </c>
      <c r="I1660" s="2" t="str">
        <f aca="false">IF(F1660&lt;&gt;"","N",IF(LEFT(B1660,10)="Arsenal v ","H","A"))</f>
        <v>H</v>
      </c>
      <c r="J1660" s="2"/>
    </row>
    <row r="1661" customFormat="false" ht="15" hidden="false" customHeight="false" outlineLevel="0" collapsed="false">
      <c r="A1661" s="3" t="n">
        <v>43219</v>
      </c>
      <c r="B1661" s="2" t="s">
        <v>490</v>
      </c>
      <c r="C1661" s="2" t="s">
        <v>704</v>
      </c>
      <c r="D1661" s="2" t="s">
        <v>359</v>
      </c>
      <c r="E1661" s="2" t="s">
        <v>356</v>
      </c>
      <c r="F1661" s="2"/>
      <c r="G1661" s="2" t="s">
        <v>11</v>
      </c>
      <c r="H1661" s="2" t="str">
        <f aca="false">IF(LEFT(B1661,10)="Arsenal v ",MID(B1661,11,100),LEFT(B1661,FIND(" v ",B1661)-1))</f>
        <v>Manchester United</v>
      </c>
      <c r="I1661" s="2" t="str">
        <f aca="false">IF(F1661&lt;&gt;"","N",IF(LEFT(B1661,10)="Arsenal v ","H","A"))</f>
        <v>A</v>
      </c>
      <c r="J1661" s="2"/>
    </row>
    <row r="1662" customFormat="false" ht="15" hidden="false" customHeight="false" outlineLevel="0" collapsed="false">
      <c r="A1662" s="3" t="n">
        <v>43223</v>
      </c>
      <c r="B1662" s="2" t="s">
        <v>390</v>
      </c>
      <c r="C1662" s="2" t="s">
        <v>704</v>
      </c>
      <c r="D1662" s="2" t="s">
        <v>348</v>
      </c>
      <c r="E1662" s="2" t="s">
        <v>346</v>
      </c>
      <c r="F1662" s="2"/>
      <c r="G1662" s="2" t="s">
        <v>11</v>
      </c>
      <c r="H1662" s="2" t="str">
        <f aca="false">IF(LEFT(B1662,10)="Arsenal v ",MID(B1662,11,100),LEFT(B1662,FIND(" v ",B1662)-1))</f>
        <v>Atlético Madrid</v>
      </c>
      <c r="I1662" s="2" t="str">
        <f aca="false">IF(F1662&lt;&gt;"","N",IF(LEFT(B1662,10)="Arsenal v ","H","A"))</f>
        <v>A</v>
      </c>
      <c r="J1662" s="2"/>
    </row>
    <row r="1663" customFormat="false" ht="15" hidden="false" customHeight="false" outlineLevel="0" collapsed="false">
      <c r="A1663" s="3" t="n">
        <v>43226</v>
      </c>
      <c r="B1663" s="2" t="s">
        <v>822</v>
      </c>
      <c r="C1663" s="2" t="s">
        <v>702</v>
      </c>
      <c r="D1663" s="2" t="s">
        <v>489</v>
      </c>
      <c r="E1663" s="2" t="s">
        <v>356</v>
      </c>
      <c r="F1663" s="2"/>
      <c r="G1663" s="2" t="s">
        <v>11</v>
      </c>
      <c r="H1663" s="2" t="str">
        <f aca="false">IF(LEFT(B1663,10)="Arsenal v ",MID(B1663,11,100),LEFT(B1663,FIND(" v ",B1663)-1))</f>
        <v>Burnley</v>
      </c>
      <c r="I1663" s="2" t="str">
        <f aca="false">IF(F1663&lt;&gt;"","N",IF(LEFT(B1663,10)="Arsenal v ","H","A"))</f>
        <v>H</v>
      </c>
      <c r="J1663" s="2"/>
    </row>
    <row r="1664" customFormat="false" ht="15" hidden="false" customHeight="false" outlineLevel="0" collapsed="false">
      <c r="A1664" s="3" t="n">
        <v>43229</v>
      </c>
      <c r="B1664" s="2" t="s">
        <v>474</v>
      </c>
      <c r="C1664" s="2" t="s">
        <v>704</v>
      </c>
      <c r="D1664" s="2" t="s">
        <v>377</v>
      </c>
      <c r="E1664" s="2" t="s">
        <v>356</v>
      </c>
      <c r="F1664" s="2"/>
      <c r="G1664" s="2" t="s">
        <v>11</v>
      </c>
      <c r="H1664" s="2" t="str">
        <f aca="false">IF(LEFT(B1664,10)="Arsenal v ",MID(B1664,11,100),LEFT(B1664,FIND(" v ",B1664)-1))</f>
        <v>Leicester City</v>
      </c>
      <c r="I1664" s="2" t="str">
        <f aca="false">IF(F1664&lt;&gt;"","N",IF(LEFT(B1664,10)="Arsenal v ","H","A"))</f>
        <v>A</v>
      </c>
      <c r="J1664" s="2"/>
    </row>
    <row r="1665" customFormat="false" ht="15" hidden="false" customHeight="false" outlineLevel="0" collapsed="false">
      <c r="A1665" s="3" t="n">
        <v>43233</v>
      </c>
      <c r="B1665" s="2" t="s">
        <v>466</v>
      </c>
      <c r="C1665" s="2" t="s">
        <v>702</v>
      </c>
      <c r="D1665" s="2" t="s">
        <v>383</v>
      </c>
      <c r="E1665" s="2" t="s">
        <v>356</v>
      </c>
      <c r="F1665" s="2"/>
      <c r="G1665" s="2" t="s">
        <v>11</v>
      </c>
      <c r="H1665" s="2" t="str">
        <f aca="false">IF(LEFT(B1665,10)="Arsenal v ",MID(B1665,11,100),LEFT(B1665,FIND(" v ",B1665)-1))</f>
        <v>Huddersfield Town</v>
      </c>
      <c r="I1665" s="2" t="str">
        <f aca="false">IF(F1665&lt;&gt;"","N",IF(LEFT(B1665,10)="Arsenal v ","H","A"))</f>
        <v>A</v>
      </c>
      <c r="J1665" s="2"/>
    </row>
    <row r="1666" customFormat="false" ht="15" hidden="false" customHeight="false" outlineLevel="0" collapsed="false">
      <c r="A1666" s="3" t="n">
        <v>43324</v>
      </c>
      <c r="B1666" s="2" t="s">
        <v>657</v>
      </c>
      <c r="C1666" s="2" t="s">
        <v>704</v>
      </c>
      <c r="D1666" s="2" t="s">
        <v>353</v>
      </c>
      <c r="E1666" s="2" t="s">
        <v>356</v>
      </c>
      <c r="F1666" s="2"/>
      <c r="G1666" s="2" t="s">
        <v>153</v>
      </c>
      <c r="H1666" s="2" t="str">
        <f aca="false">IF(LEFT(B1666,10)="Arsenal v ",MID(B1666,11,100),LEFT(B1666,FIND(" v ",B1666)-1))</f>
        <v>Manchester City</v>
      </c>
      <c r="I1666" s="2" t="str">
        <f aca="false">IF(F1666&lt;&gt;"","N",IF(LEFT(B1666,10)="Arsenal v ","H","A"))</f>
        <v>H</v>
      </c>
      <c r="J1666" s="2"/>
    </row>
    <row r="1667" customFormat="false" ht="15" hidden="false" customHeight="false" outlineLevel="0" collapsed="false">
      <c r="A1667" s="3" t="n">
        <v>43330</v>
      </c>
      <c r="B1667" s="2" t="s">
        <v>426</v>
      </c>
      <c r="C1667" s="2" t="s">
        <v>704</v>
      </c>
      <c r="D1667" s="2" t="s">
        <v>382</v>
      </c>
      <c r="E1667" s="2" t="s">
        <v>356</v>
      </c>
      <c r="F1667" s="2"/>
      <c r="G1667" s="2" t="s">
        <v>153</v>
      </c>
      <c r="H1667" s="2" t="str">
        <f aca="false">IF(LEFT(B1667,10)="Arsenal v ",MID(B1667,11,100),LEFT(B1667,FIND(" v ",B1667)-1))</f>
        <v>Chelsea</v>
      </c>
      <c r="I1667" s="2" t="str">
        <f aca="false">IF(F1667&lt;&gt;"","N",IF(LEFT(B1667,10)="Arsenal v ","H","A"))</f>
        <v>A</v>
      </c>
      <c r="J1667" s="2"/>
    </row>
    <row r="1668" customFormat="false" ht="15" hidden="false" customHeight="false" outlineLevel="0" collapsed="false">
      <c r="A1668" s="3" t="n">
        <v>43337</v>
      </c>
      <c r="B1668" s="2" t="s">
        <v>712</v>
      </c>
      <c r="C1668" s="2" t="s">
        <v>702</v>
      </c>
      <c r="D1668" s="2" t="s">
        <v>377</v>
      </c>
      <c r="E1668" s="2" t="s">
        <v>356</v>
      </c>
      <c r="F1668" s="2"/>
      <c r="G1668" s="2" t="s">
        <v>153</v>
      </c>
      <c r="H1668" s="2" t="str">
        <f aca="false">IF(LEFT(B1668,10)="Arsenal v ",MID(B1668,11,100),LEFT(B1668,FIND(" v ",B1668)-1))</f>
        <v>West Ham United</v>
      </c>
      <c r="I1668" s="2" t="str">
        <f aca="false">IF(F1668&lt;&gt;"","N",IF(LEFT(B1668,10)="Arsenal v ","H","A"))</f>
        <v>H</v>
      </c>
      <c r="J1668" s="2"/>
    </row>
    <row r="1669" customFormat="false" ht="15" hidden="false" customHeight="false" outlineLevel="0" collapsed="false">
      <c r="A1669" s="3" t="n">
        <v>43345</v>
      </c>
      <c r="B1669" s="2" t="s">
        <v>421</v>
      </c>
      <c r="C1669" s="2" t="s">
        <v>702</v>
      </c>
      <c r="D1669" s="2" t="s">
        <v>366</v>
      </c>
      <c r="E1669" s="2" t="s">
        <v>356</v>
      </c>
      <c r="F1669" s="2"/>
      <c r="G1669" s="2" t="s">
        <v>153</v>
      </c>
      <c r="H1669" s="2" t="str">
        <f aca="false">IF(LEFT(B1669,10)="Arsenal v ",MID(B1669,11,100),LEFT(B1669,FIND(" v ",B1669)-1))</f>
        <v>Cardiff City</v>
      </c>
      <c r="I1669" s="2" t="str">
        <f aca="false">IF(F1669&lt;&gt;"","N",IF(LEFT(B1669,10)="Arsenal v ","H","A"))</f>
        <v>A</v>
      </c>
      <c r="J1669" s="2"/>
    </row>
    <row r="1670" customFormat="false" ht="15" hidden="false" customHeight="false" outlineLevel="0" collapsed="false">
      <c r="A1670" s="3" t="n">
        <v>43358</v>
      </c>
      <c r="B1670" s="2" t="s">
        <v>501</v>
      </c>
      <c r="C1670" s="2" t="s">
        <v>702</v>
      </c>
      <c r="D1670" s="2" t="s">
        <v>360</v>
      </c>
      <c r="E1670" s="2" t="s">
        <v>356</v>
      </c>
      <c r="F1670" s="2"/>
      <c r="G1670" s="2" t="s">
        <v>153</v>
      </c>
      <c r="H1670" s="2" t="str">
        <f aca="false">IF(LEFT(B1670,10)="Arsenal v ",MID(B1670,11,100),LEFT(B1670,FIND(" v ",B1670)-1))</f>
        <v>Newcastle United</v>
      </c>
      <c r="I1670" s="2" t="str">
        <f aca="false">IF(F1670&lt;&gt;"","N",IF(LEFT(B1670,10)="Arsenal v ","H","A"))</f>
        <v>A</v>
      </c>
      <c r="J1670" s="2"/>
    </row>
    <row r="1671" customFormat="false" ht="15" hidden="false" customHeight="false" outlineLevel="0" collapsed="false">
      <c r="A1671" s="3" t="n">
        <v>43363</v>
      </c>
      <c r="B1671" s="2" t="s">
        <v>854</v>
      </c>
      <c r="C1671" s="2" t="s">
        <v>702</v>
      </c>
      <c r="D1671" s="2" t="s">
        <v>479</v>
      </c>
      <c r="E1671" s="2" t="s">
        <v>346</v>
      </c>
      <c r="F1671" s="2"/>
      <c r="G1671" s="2" t="s">
        <v>153</v>
      </c>
      <c r="H1671" s="2" t="str">
        <f aca="false">IF(LEFT(B1671,10)="Arsenal v ",MID(B1671,11,100),LEFT(B1671,FIND(" v ",B1671)-1))</f>
        <v>Vorskla Poltava</v>
      </c>
      <c r="I1671" s="2" t="str">
        <f aca="false">IF(F1671&lt;&gt;"","N",IF(LEFT(B1671,10)="Arsenal v ","H","A"))</f>
        <v>H</v>
      </c>
      <c r="J1671" s="2"/>
    </row>
    <row r="1672" customFormat="false" ht="15" hidden="false" customHeight="false" outlineLevel="0" collapsed="false">
      <c r="A1672" s="3" t="n">
        <v>43366</v>
      </c>
      <c r="B1672" s="2" t="s">
        <v>718</v>
      </c>
      <c r="C1672" s="2" t="s">
        <v>702</v>
      </c>
      <c r="D1672" s="2" t="s">
        <v>351</v>
      </c>
      <c r="E1672" s="2" t="s">
        <v>356</v>
      </c>
      <c r="F1672" s="2"/>
      <c r="G1672" s="2" t="s">
        <v>153</v>
      </c>
      <c r="H1672" s="2" t="str">
        <f aca="false">IF(LEFT(B1672,10)="Arsenal v ",MID(B1672,11,100),LEFT(B1672,FIND(" v ",B1672)-1))</f>
        <v>Everton</v>
      </c>
      <c r="I1672" s="2" t="str">
        <f aca="false">IF(F1672&lt;&gt;"","N",IF(LEFT(B1672,10)="Arsenal v ","H","A"))</f>
        <v>H</v>
      </c>
      <c r="J1672" s="2"/>
    </row>
    <row r="1673" customFormat="false" ht="15" hidden="false" customHeight="false" outlineLevel="0" collapsed="false">
      <c r="A1673" s="3" t="n">
        <v>43369</v>
      </c>
      <c r="B1673" s="2" t="s">
        <v>855</v>
      </c>
      <c r="C1673" s="2" t="s">
        <v>702</v>
      </c>
      <c r="D1673" s="2" t="s">
        <v>377</v>
      </c>
      <c r="E1673" s="2" t="s">
        <v>379</v>
      </c>
      <c r="F1673" s="2"/>
      <c r="G1673" s="2" t="s">
        <v>153</v>
      </c>
      <c r="H1673" s="2" t="str">
        <f aca="false">IF(LEFT(B1673,10)="Arsenal v ",MID(B1673,11,100),LEFT(B1673,FIND(" v ",B1673)-1))</f>
        <v>Brentford</v>
      </c>
      <c r="I1673" s="2" t="str">
        <f aca="false">IF(F1673&lt;&gt;"","N",IF(LEFT(B1673,10)="Arsenal v ","H","A"))</f>
        <v>H</v>
      </c>
      <c r="J1673" s="2"/>
    </row>
    <row r="1674" customFormat="false" ht="15" hidden="false" customHeight="false" outlineLevel="0" collapsed="false">
      <c r="A1674" s="3" t="n">
        <v>43372</v>
      </c>
      <c r="B1674" s="2" t="s">
        <v>764</v>
      </c>
      <c r="C1674" s="2" t="s">
        <v>702</v>
      </c>
      <c r="D1674" s="2" t="s">
        <v>351</v>
      </c>
      <c r="E1674" s="2" t="s">
        <v>356</v>
      </c>
      <c r="F1674" s="2"/>
      <c r="G1674" s="2" t="s">
        <v>153</v>
      </c>
      <c r="H1674" s="2" t="str">
        <f aca="false">IF(LEFT(B1674,10)="Arsenal v ",MID(B1674,11,100),LEFT(B1674,FIND(" v ",B1674)-1))</f>
        <v>Watford</v>
      </c>
      <c r="I1674" s="2" t="str">
        <f aca="false">IF(F1674&lt;&gt;"","N",IF(LEFT(B1674,10)="Arsenal v ","H","A"))</f>
        <v>H</v>
      </c>
      <c r="J1674" s="2"/>
    </row>
    <row r="1675" customFormat="false" ht="15" hidden="false" customHeight="false" outlineLevel="0" collapsed="false">
      <c r="A1675" s="3" t="n">
        <v>43377</v>
      </c>
      <c r="B1675" s="2" t="s">
        <v>460</v>
      </c>
      <c r="C1675" s="2" t="s">
        <v>702</v>
      </c>
      <c r="D1675" s="2" t="s">
        <v>363</v>
      </c>
      <c r="E1675" s="2" t="s">
        <v>346</v>
      </c>
      <c r="F1675" s="2"/>
      <c r="G1675" s="2" t="s">
        <v>153</v>
      </c>
      <c r="H1675" s="2" t="str">
        <f aca="false">IF(LEFT(B1675,10)="Arsenal v ",MID(B1675,11,100),LEFT(B1675,FIND(" v ",B1675)-1))</f>
        <v>FK Qarabağ Agdam</v>
      </c>
      <c r="I1675" s="2" t="str">
        <f aca="false">IF(F1675&lt;&gt;"","N",IF(LEFT(B1675,10)="Arsenal v ","H","A"))</f>
        <v>A</v>
      </c>
      <c r="J1675" s="2"/>
    </row>
    <row r="1676" customFormat="false" ht="15" hidden="false" customHeight="false" outlineLevel="0" collapsed="false">
      <c r="A1676" s="3" t="n">
        <v>43380</v>
      </c>
      <c r="B1676" s="2" t="s">
        <v>461</v>
      </c>
      <c r="C1676" s="2" t="s">
        <v>702</v>
      </c>
      <c r="D1676" s="2" t="s">
        <v>435</v>
      </c>
      <c r="E1676" s="2" t="s">
        <v>356</v>
      </c>
      <c r="F1676" s="2"/>
      <c r="G1676" s="2" t="s">
        <v>153</v>
      </c>
      <c r="H1676" s="2" t="str">
        <f aca="false">IF(LEFT(B1676,10)="Arsenal v ",MID(B1676,11,100),LEFT(B1676,FIND(" v ",B1676)-1))</f>
        <v>Fulham</v>
      </c>
      <c r="I1676" s="2" t="str">
        <f aca="false">IF(F1676&lt;&gt;"","N",IF(LEFT(B1676,10)="Arsenal v ","H","A"))</f>
        <v>A</v>
      </c>
      <c r="J1676" s="2"/>
    </row>
    <row r="1677" customFormat="false" ht="15" hidden="false" customHeight="false" outlineLevel="0" collapsed="false">
      <c r="A1677" s="3" t="n">
        <v>43395</v>
      </c>
      <c r="B1677" s="2" t="s">
        <v>733</v>
      </c>
      <c r="C1677" s="2" t="s">
        <v>702</v>
      </c>
      <c r="D1677" s="2" t="s">
        <v>377</v>
      </c>
      <c r="E1677" s="2" t="s">
        <v>356</v>
      </c>
      <c r="F1677" s="2"/>
      <c r="G1677" s="2" t="s">
        <v>153</v>
      </c>
      <c r="H1677" s="2" t="str">
        <f aca="false">IF(LEFT(B1677,10)="Arsenal v ",MID(B1677,11,100),LEFT(B1677,FIND(" v ",B1677)-1))</f>
        <v>Leicester City</v>
      </c>
      <c r="I1677" s="2" t="str">
        <f aca="false">IF(F1677&lt;&gt;"","N",IF(LEFT(B1677,10)="Arsenal v ","H","A"))</f>
        <v>H</v>
      </c>
      <c r="J1677" s="2"/>
    </row>
    <row r="1678" customFormat="false" ht="15" hidden="false" customHeight="false" outlineLevel="0" collapsed="false">
      <c r="A1678" s="3" t="n">
        <v>43398</v>
      </c>
      <c r="B1678" s="2" t="s">
        <v>550</v>
      </c>
      <c r="C1678" s="2" t="s">
        <v>702</v>
      </c>
      <c r="D1678" s="2" t="s">
        <v>383</v>
      </c>
      <c r="E1678" s="2" t="s">
        <v>346</v>
      </c>
      <c r="F1678" s="2"/>
      <c r="G1678" s="2" t="s">
        <v>153</v>
      </c>
      <c r="H1678" s="2" t="str">
        <f aca="false">IF(LEFT(B1678,10)="Arsenal v ",MID(B1678,11,100),LEFT(B1678,FIND(" v ",B1678)-1))</f>
        <v>Sporting Clube Portugal</v>
      </c>
      <c r="I1678" s="2" t="str">
        <f aca="false">IF(F1678&lt;&gt;"","N",IF(LEFT(B1678,10)="Arsenal v ","H","A"))</f>
        <v>A</v>
      </c>
      <c r="J1678" s="2"/>
    </row>
    <row r="1679" customFormat="false" ht="15" hidden="false" customHeight="false" outlineLevel="0" collapsed="false">
      <c r="A1679" s="3" t="n">
        <v>43401</v>
      </c>
      <c r="B1679" s="2" t="s">
        <v>433</v>
      </c>
      <c r="C1679" s="2" t="s">
        <v>706</v>
      </c>
      <c r="D1679" s="2" t="s">
        <v>380</v>
      </c>
      <c r="E1679" s="2" t="s">
        <v>356</v>
      </c>
      <c r="F1679" s="2"/>
      <c r="G1679" s="2" t="s">
        <v>153</v>
      </c>
      <c r="H1679" s="2" t="str">
        <f aca="false">IF(LEFT(B1679,10)="Arsenal v ",MID(B1679,11,100),LEFT(B1679,FIND(" v ",B1679)-1))</f>
        <v>Crystal Palace</v>
      </c>
      <c r="I1679" s="2" t="str">
        <f aca="false">IF(F1679&lt;&gt;"","N",IF(LEFT(B1679,10)="Arsenal v ","H","A"))</f>
        <v>A</v>
      </c>
      <c r="J1679" s="2"/>
    </row>
    <row r="1680" customFormat="false" ht="15" hidden="false" customHeight="false" outlineLevel="0" collapsed="false">
      <c r="A1680" s="3" t="n">
        <v>43404</v>
      </c>
      <c r="B1680" s="2" t="s">
        <v>767</v>
      </c>
      <c r="C1680" s="2" t="s">
        <v>702</v>
      </c>
      <c r="D1680" s="2" t="s">
        <v>359</v>
      </c>
      <c r="E1680" s="2" t="s">
        <v>379</v>
      </c>
      <c r="F1680" s="2"/>
      <c r="G1680" s="2" t="s">
        <v>153</v>
      </c>
      <c r="H1680" s="2" t="str">
        <f aca="false">IF(LEFT(B1680,10)="Arsenal v ",MID(B1680,11,100),LEFT(B1680,FIND(" v ",B1680)-1))</f>
        <v>Blackpool</v>
      </c>
      <c r="I1680" s="2" t="str">
        <f aca="false">IF(F1680&lt;&gt;"","N",IF(LEFT(B1680,10)="Arsenal v ","H","A"))</f>
        <v>H</v>
      </c>
      <c r="J1680" s="2"/>
    </row>
    <row r="1681" customFormat="false" ht="15" hidden="false" customHeight="false" outlineLevel="0" collapsed="false">
      <c r="A1681" s="3" t="n">
        <v>43407</v>
      </c>
      <c r="B1681" s="2" t="s">
        <v>710</v>
      </c>
      <c r="C1681" s="2" t="s">
        <v>706</v>
      </c>
      <c r="D1681" s="2" t="s">
        <v>361</v>
      </c>
      <c r="E1681" s="2" t="s">
        <v>356</v>
      </c>
      <c r="F1681" s="2"/>
      <c r="G1681" s="2" t="s">
        <v>153</v>
      </c>
      <c r="H1681" s="2" t="str">
        <f aca="false">IF(LEFT(B1681,10)="Arsenal v ",MID(B1681,11,100),LEFT(B1681,FIND(" v ",B1681)-1))</f>
        <v>Liverpool</v>
      </c>
      <c r="I1681" s="2" t="str">
        <f aca="false">IF(F1681&lt;&gt;"","N",IF(LEFT(B1681,10)="Arsenal v ","H","A"))</f>
        <v>H</v>
      </c>
      <c r="J1681" s="2"/>
    </row>
    <row r="1682" customFormat="false" ht="15" hidden="false" customHeight="false" outlineLevel="0" collapsed="false">
      <c r="A1682" s="3" t="n">
        <v>43412</v>
      </c>
      <c r="B1682" s="2" t="s">
        <v>856</v>
      </c>
      <c r="C1682" s="2" t="s">
        <v>706</v>
      </c>
      <c r="D1682" s="2" t="s">
        <v>369</v>
      </c>
      <c r="E1682" s="2" t="s">
        <v>346</v>
      </c>
      <c r="F1682" s="2"/>
      <c r="G1682" s="2" t="s">
        <v>153</v>
      </c>
      <c r="H1682" s="2" t="str">
        <f aca="false">IF(LEFT(B1682,10)="Arsenal v ",MID(B1682,11,100),LEFT(B1682,FIND(" v ",B1682)-1))</f>
        <v>Sporting Clube Portugal</v>
      </c>
      <c r="I1682" s="2" t="str">
        <f aca="false">IF(F1682&lt;&gt;"","N",IF(LEFT(B1682,10)="Arsenal v ","H","A"))</f>
        <v>H</v>
      </c>
      <c r="J1682" s="2"/>
    </row>
    <row r="1683" customFormat="false" ht="15" hidden="false" customHeight="false" outlineLevel="0" collapsed="false">
      <c r="A1683" s="3" t="n">
        <v>43415</v>
      </c>
      <c r="B1683" s="2" t="s">
        <v>762</v>
      </c>
      <c r="C1683" s="2" t="s">
        <v>706</v>
      </c>
      <c r="D1683" s="2" t="s">
        <v>361</v>
      </c>
      <c r="E1683" s="2" t="s">
        <v>356</v>
      </c>
      <c r="F1683" s="2"/>
      <c r="G1683" s="2" t="s">
        <v>153</v>
      </c>
      <c r="H1683" s="2" t="str">
        <f aca="false">IF(LEFT(B1683,10)="Arsenal v ",MID(B1683,11,100),LEFT(B1683,FIND(" v ",B1683)-1))</f>
        <v>Wolverhampton Wanderers</v>
      </c>
      <c r="I1683" s="2" t="str">
        <f aca="false">IF(F1683&lt;&gt;"","N",IF(LEFT(B1683,10)="Arsenal v ","H","A"))</f>
        <v>H</v>
      </c>
      <c r="J1683" s="2"/>
    </row>
    <row r="1684" customFormat="false" ht="15" hidden="false" customHeight="false" outlineLevel="0" collapsed="false">
      <c r="A1684" s="3" t="n">
        <v>43429</v>
      </c>
      <c r="B1684" s="2" t="s">
        <v>357</v>
      </c>
      <c r="C1684" s="2" t="s">
        <v>702</v>
      </c>
      <c r="D1684" s="2" t="s">
        <v>360</v>
      </c>
      <c r="E1684" s="2" t="s">
        <v>356</v>
      </c>
      <c r="F1684" s="2"/>
      <c r="G1684" s="2" t="s">
        <v>153</v>
      </c>
      <c r="H1684" s="2" t="str">
        <f aca="false">IF(LEFT(B1684,10)="Arsenal v ",MID(B1684,11,100),LEFT(B1684,FIND(" v ",B1684)-1))</f>
        <v>AFC Bournemouth</v>
      </c>
      <c r="I1684" s="2" t="str">
        <f aca="false">IF(F1684&lt;&gt;"","N",IF(LEFT(B1684,10)="Arsenal v ","H","A"))</f>
        <v>A</v>
      </c>
      <c r="J1684" s="2"/>
    </row>
    <row r="1685" customFormat="false" ht="15" hidden="false" customHeight="false" outlineLevel="0" collapsed="false">
      <c r="A1685" s="3" t="n">
        <v>43433</v>
      </c>
      <c r="B1685" s="2" t="s">
        <v>568</v>
      </c>
      <c r="C1685" s="2" t="s">
        <v>702</v>
      </c>
      <c r="D1685" s="2" t="s">
        <v>363</v>
      </c>
      <c r="E1685" s="2" t="s">
        <v>346</v>
      </c>
      <c r="F1685" s="2"/>
      <c r="G1685" s="2" t="s">
        <v>153</v>
      </c>
      <c r="H1685" s="2" t="str">
        <f aca="false">IF(LEFT(B1685,10)="Arsenal v ",MID(B1685,11,100),LEFT(B1685,FIND(" v ",B1685)-1))</f>
        <v>Vorskla Poltava</v>
      </c>
      <c r="I1685" s="2" t="str">
        <f aca="false">IF(F1685&lt;&gt;"","N",IF(LEFT(B1685,10)="Arsenal v ","H","A"))</f>
        <v>A</v>
      </c>
      <c r="J1685" s="2"/>
    </row>
    <row r="1686" customFormat="false" ht="15" hidden="false" customHeight="false" outlineLevel="0" collapsed="false">
      <c r="A1686" s="3" t="n">
        <v>43436</v>
      </c>
      <c r="B1686" s="2" t="s">
        <v>655</v>
      </c>
      <c r="C1686" s="2" t="s">
        <v>702</v>
      </c>
      <c r="D1686" s="2" t="s">
        <v>479</v>
      </c>
      <c r="E1686" s="2" t="s">
        <v>356</v>
      </c>
      <c r="F1686" s="2"/>
      <c r="G1686" s="2" t="s">
        <v>153</v>
      </c>
      <c r="H1686" s="2" t="str">
        <f aca="false">IF(LEFT(B1686,10)="Arsenal v ",MID(B1686,11,100),LEFT(B1686,FIND(" v ",B1686)-1))</f>
        <v>Tottenham Hotspur</v>
      </c>
      <c r="I1686" s="2" t="str">
        <f aca="false">IF(F1686&lt;&gt;"","N",IF(LEFT(B1686,10)="Arsenal v ","H","A"))</f>
        <v>H</v>
      </c>
      <c r="J1686" s="2"/>
    </row>
    <row r="1687" customFormat="false" ht="15" hidden="false" customHeight="false" outlineLevel="0" collapsed="false">
      <c r="A1687" s="3" t="n">
        <v>43439</v>
      </c>
      <c r="B1687" s="2" t="s">
        <v>490</v>
      </c>
      <c r="C1687" s="2" t="s">
        <v>706</v>
      </c>
      <c r="D1687" s="2" t="s">
        <v>380</v>
      </c>
      <c r="E1687" s="2" t="s">
        <v>356</v>
      </c>
      <c r="F1687" s="2"/>
      <c r="G1687" s="2" t="s">
        <v>153</v>
      </c>
      <c r="H1687" s="2" t="str">
        <f aca="false">IF(LEFT(B1687,10)="Arsenal v ",MID(B1687,11,100),LEFT(B1687,FIND(" v ",B1687)-1))</f>
        <v>Manchester United</v>
      </c>
      <c r="I1687" s="2" t="str">
        <f aca="false">IF(F1687&lt;&gt;"","N",IF(LEFT(B1687,10)="Arsenal v ","H","A"))</f>
        <v>A</v>
      </c>
      <c r="J1687" s="2"/>
    </row>
    <row r="1688" customFormat="false" ht="15" hidden="false" customHeight="false" outlineLevel="0" collapsed="false">
      <c r="A1688" s="3" t="n">
        <v>43442</v>
      </c>
      <c r="B1688" s="2" t="s">
        <v>741</v>
      </c>
      <c r="C1688" s="2" t="s">
        <v>702</v>
      </c>
      <c r="D1688" s="2" t="s">
        <v>348</v>
      </c>
      <c r="E1688" s="2" t="s">
        <v>356</v>
      </c>
      <c r="F1688" s="2"/>
      <c r="G1688" s="2" t="s">
        <v>153</v>
      </c>
      <c r="H1688" s="2" t="str">
        <f aca="false">IF(LEFT(B1688,10)="Arsenal v ",MID(B1688,11,100),LEFT(B1688,FIND(" v ",B1688)-1))</f>
        <v>Huddersfield Town</v>
      </c>
      <c r="I1688" s="2" t="str">
        <f aca="false">IF(F1688&lt;&gt;"","N",IF(LEFT(B1688,10)="Arsenal v ","H","A"))</f>
        <v>H</v>
      </c>
      <c r="J1688" s="2"/>
    </row>
    <row r="1689" customFormat="false" ht="15" hidden="false" customHeight="false" outlineLevel="0" collapsed="false">
      <c r="A1689" s="3" t="n">
        <v>43447</v>
      </c>
      <c r="B1689" s="2" t="s">
        <v>857</v>
      </c>
      <c r="C1689" s="2" t="s">
        <v>702</v>
      </c>
      <c r="D1689" s="2" t="s">
        <v>348</v>
      </c>
      <c r="E1689" s="2" t="s">
        <v>346</v>
      </c>
      <c r="F1689" s="2"/>
      <c r="G1689" s="2" t="s">
        <v>153</v>
      </c>
      <c r="H1689" s="2" t="str">
        <f aca="false">IF(LEFT(B1689,10)="Arsenal v ",MID(B1689,11,100),LEFT(B1689,FIND(" v ",B1689)-1))</f>
        <v>FK Qarabağ Agdam</v>
      </c>
      <c r="I1689" s="2" t="str">
        <f aca="false">IF(F1689&lt;&gt;"","N",IF(LEFT(B1689,10)="Arsenal v ","H","A"))</f>
        <v>H</v>
      </c>
      <c r="J1689" s="2"/>
    </row>
    <row r="1690" customFormat="false" ht="15" hidden="false" customHeight="false" outlineLevel="0" collapsed="false">
      <c r="A1690" s="3" t="n">
        <v>43450</v>
      </c>
      <c r="B1690" s="2" t="s">
        <v>546</v>
      </c>
      <c r="C1690" s="2" t="s">
        <v>704</v>
      </c>
      <c r="D1690" s="2" t="s">
        <v>382</v>
      </c>
      <c r="E1690" s="2" t="s">
        <v>356</v>
      </c>
      <c r="F1690" s="2"/>
      <c r="G1690" s="2" t="s">
        <v>153</v>
      </c>
      <c r="H1690" s="2" t="str">
        <f aca="false">IF(LEFT(B1690,10)="Arsenal v ",MID(B1690,11,100),LEFT(B1690,FIND(" v ",B1690)-1))</f>
        <v>Southampton</v>
      </c>
      <c r="I1690" s="2" t="str">
        <f aca="false">IF(F1690&lt;&gt;"","N",IF(LEFT(B1690,10)="Arsenal v ","H","A"))</f>
        <v>A</v>
      </c>
      <c r="J1690" s="2"/>
    </row>
    <row r="1691" customFormat="false" ht="15" hidden="false" customHeight="false" outlineLevel="0" collapsed="false">
      <c r="A1691" s="3" t="n">
        <v>43453</v>
      </c>
      <c r="B1691" s="2" t="s">
        <v>655</v>
      </c>
      <c r="C1691" s="2" t="s">
        <v>704</v>
      </c>
      <c r="D1691" s="2" t="s">
        <v>353</v>
      </c>
      <c r="E1691" s="2" t="s">
        <v>379</v>
      </c>
      <c r="F1691" s="2"/>
      <c r="G1691" s="2" t="s">
        <v>153</v>
      </c>
      <c r="H1691" s="2" t="str">
        <f aca="false">IF(LEFT(B1691,10)="Arsenal v ",MID(B1691,11,100),LEFT(B1691,FIND(" v ",B1691)-1))</f>
        <v>Tottenham Hotspur</v>
      </c>
      <c r="I1691" s="2" t="str">
        <f aca="false">IF(F1691&lt;&gt;"","N",IF(LEFT(B1691,10)="Arsenal v ","H","A"))</f>
        <v>H</v>
      </c>
      <c r="J1691" s="2"/>
    </row>
    <row r="1692" customFormat="false" ht="15" hidden="false" customHeight="false" outlineLevel="0" collapsed="false">
      <c r="A1692" s="3" t="n">
        <v>43456</v>
      </c>
      <c r="B1692" s="2" t="s">
        <v>822</v>
      </c>
      <c r="C1692" s="2" t="s">
        <v>702</v>
      </c>
      <c r="D1692" s="2" t="s">
        <v>377</v>
      </c>
      <c r="E1692" s="2" t="s">
        <v>356</v>
      </c>
      <c r="F1692" s="2"/>
      <c r="G1692" s="2" t="s">
        <v>153</v>
      </c>
      <c r="H1692" s="2" t="str">
        <f aca="false">IF(LEFT(B1692,10)="Arsenal v ",MID(B1692,11,100),LEFT(B1692,FIND(" v ",B1692)-1))</f>
        <v>Burnley</v>
      </c>
      <c r="I1692" s="2" t="str">
        <f aca="false">IF(F1692&lt;&gt;"","N",IF(LEFT(B1692,10)="Arsenal v ","H","A"))</f>
        <v>H</v>
      </c>
      <c r="J1692" s="2"/>
    </row>
    <row r="1693" customFormat="false" ht="15" hidden="false" customHeight="false" outlineLevel="0" collapsed="false">
      <c r="A1693" s="3" t="n">
        <v>43460</v>
      </c>
      <c r="B1693" s="2" t="s">
        <v>417</v>
      </c>
      <c r="C1693" s="2" t="s">
        <v>706</v>
      </c>
      <c r="D1693" s="2" t="s">
        <v>361</v>
      </c>
      <c r="E1693" s="2" t="s">
        <v>356</v>
      </c>
      <c r="F1693" s="2"/>
      <c r="G1693" s="2" t="s">
        <v>153</v>
      </c>
      <c r="H1693" s="2" t="str">
        <f aca="false">IF(LEFT(B1693,10)="Arsenal v ",MID(B1693,11,100),LEFT(B1693,FIND(" v ",B1693)-1))</f>
        <v>Brighton and Hove Albion</v>
      </c>
      <c r="I1693" s="2" t="str">
        <f aca="false">IF(F1693&lt;&gt;"","N",IF(LEFT(B1693,10)="Arsenal v ","H","A"))</f>
        <v>A</v>
      </c>
      <c r="J1693" s="2"/>
    </row>
    <row r="1694" customFormat="false" ht="15" hidden="false" customHeight="false" outlineLevel="0" collapsed="false">
      <c r="A1694" s="3" t="n">
        <v>43463</v>
      </c>
      <c r="B1694" s="2" t="s">
        <v>477</v>
      </c>
      <c r="C1694" s="2" t="s">
        <v>704</v>
      </c>
      <c r="D1694" s="2" t="s">
        <v>401</v>
      </c>
      <c r="E1694" s="2" t="s">
        <v>356</v>
      </c>
      <c r="F1694" s="2"/>
      <c r="G1694" s="2" t="s">
        <v>153</v>
      </c>
      <c r="H1694" s="2" t="str">
        <f aca="false">IF(LEFT(B1694,10)="Arsenal v ",MID(B1694,11,100),LEFT(B1694,FIND(" v ",B1694)-1))</f>
        <v>Liverpool</v>
      </c>
      <c r="I1694" s="2" t="str">
        <f aca="false">IF(F1694&lt;&gt;"","N",IF(LEFT(B1694,10)="Arsenal v ","H","A"))</f>
        <v>A</v>
      </c>
      <c r="J1694" s="2"/>
    </row>
    <row r="1695" customFormat="false" ht="15" hidden="false" customHeight="false" outlineLevel="0" collapsed="false">
      <c r="A1695" s="3" t="n">
        <v>43466</v>
      </c>
      <c r="B1695" s="2" t="s">
        <v>784</v>
      </c>
      <c r="C1695" s="2" t="s">
        <v>702</v>
      </c>
      <c r="D1695" s="2" t="s">
        <v>397</v>
      </c>
      <c r="E1695" s="2" t="s">
        <v>356</v>
      </c>
      <c r="F1695" s="2"/>
      <c r="G1695" s="2" t="s">
        <v>153</v>
      </c>
      <c r="H1695" s="2" t="str">
        <f aca="false">IF(LEFT(B1695,10)="Arsenal v ",MID(B1695,11,100),LEFT(B1695,FIND(" v ",B1695)-1))</f>
        <v>Fulham</v>
      </c>
      <c r="I1695" s="2" t="str">
        <f aca="false">IF(F1695&lt;&gt;"","N",IF(LEFT(B1695,10)="Arsenal v ","H","A"))</f>
        <v>H</v>
      </c>
      <c r="J1695" s="2"/>
    </row>
    <row r="1696" customFormat="false" ht="15" hidden="false" customHeight="false" outlineLevel="0" collapsed="false">
      <c r="A1696" s="3" t="n">
        <v>43470</v>
      </c>
      <c r="B1696" s="2" t="s">
        <v>409</v>
      </c>
      <c r="C1696" s="2" t="s">
        <v>702</v>
      </c>
      <c r="D1696" s="2" t="s">
        <v>363</v>
      </c>
      <c r="E1696" s="2" t="s">
        <v>362</v>
      </c>
      <c r="F1696" s="2"/>
      <c r="G1696" s="2" t="s">
        <v>153</v>
      </c>
      <c r="H1696" s="2" t="str">
        <f aca="false">IF(LEFT(B1696,10)="Arsenal v ",MID(B1696,11,100),LEFT(B1696,FIND(" v ",B1696)-1))</f>
        <v>Blackpool</v>
      </c>
      <c r="I1696" s="2" t="str">
        <f aca="false">IF(F1696&lt;&gt;"","N",IF(LEFT(B1696,10)="Arsenal v ","H","A"))</f>
        <v>A</v>
      </c>
      <c r="J1696" s="2"/>
    </row>
    <row r="1697" customFormat="false" ht="15" hidden="false" customHeight="false" outlineLevel="0" collapsed="false">
      <c r="A1697" s="3" t="n">
        <v>43477</v>
      </c>
      <c r="B1697" s="2" t="s">
        <v>572</v>
      </c>
      <c r="C1697" s="2" t="s">
        <v>704</v>
      </c>
      <c r="D1697" s="2" t="s">
        <v>348</v>
      </c>
      <c r="E1697" s="2" t="s">
        <v>356</v>
      </c>
      <c r="F1697" s="2"/>
      <c r="G1697" s="2" t="s">
        <v>153</v>
      </c>
      <c r="H1697" s="2" t="str">
        <f aca="false">IF(LEFT(B1697,10)="Arsenal v ",MID(B1697,11,100),LEFT(B1697,FIND(" v ",B1697)-1))</f>
        <v>West Ham United</v>
      </c>
      <c r="I1697" s="2" t="str">
        <f aca="false">IF(F1697&lt;&gt;"","N",IF(LEFT(B1697,10)="Arsenal v ","H","A"))</f>
        <v>A</v>
      </c>
      <c r="J1697" s="2"/>
    </row>
    <row r="1698" customFormat="false" ht="15" hidden="false" customHeight="false" outlineLevel="0" collapsed="false">
      <c r="A1698" s="3" t="n">
        <v>43484</v>
      </c>
      <c r="B1698" s="2" t="s">
        <v>725</v>
      </c>
      <c r="C1698" s="2" t="s">
        <v>702</v>
      </c>
      <c r="D1698" s="2" t="s">
        <v>351</v>
      </c>
      <c r="E1698" s="2" t="s">
        <v>356</v>
      </c>
      <c r="F1698" s="2"/>
      <c r="G1698" s="2" t="s">
        <v>153</v>
      </c>
      <c r="H1698" s="2" t="str">
        <f aca="false">IF(LEFT(B1698,10)="Arsenal v ",MID(B1698,11,100),LEFT(B1698,FIND(" v ",B1698)-1))</f>
        <v>Chelsea</v>
      </c>
      <c r="I1698" s="2" t="str">
        <f aca="false">IF(F1698&lt;&gt;"","N",IF(LEFT(B1698,10)="Arsenal v ","H","A"))</f>
        <v>H</v>
      </c>
      <c r="J1698" s="2"/>
    </row>
    <row r="1699" customFormat="false" ht="15" hidden="false" customHeight="false" outlineLevel="0" collapsed="false">
      <c r="A1699" s="3" t="n">
        <v>43490</v>
      </c>
      <c r="B1699" s="2" t="s">
        <v>656</v>
      </c>
      <c r="C1699" s="2" t="s">
        <v>704</v>
      </c>
      <c r="D1699" s="2" t="s">
        <v>373</v>
      </c>
      <c r="E1699" s="2" t="s">
        <v>362</v>
      </c>
      <c r="F1699" s="2"/>
      <c r="G1699" s="2" t="s">
        <v>153</v>
      </c>
      <c r="H1699" s="2" t="str">
        <f aca="false">IF(LEFT(B1699,10)="Arsenal v ",MID(B1699,11,100),LEFT(B1699,FIND(" v ",B1699)-1))</f>
        <v>Manchester United</v>
      </c>
      <c r="I1699" s="2" t="str">
        <f aca="false">IF(F1699&lt;&gt;"","N",IF(LEFT(B1699,10)="Arsenal v ","H","A"))</f>
        <v>H</v>
      </c>
      <c r="J1699" s="2"/>
    </row>
    <row r="1700" customFormat="false" ht="15" hidden="false" customHeight="false" outlineLevel="0" collapsed="false">
      <c r="A1700" s="3" t="n">
        <v>43494</v>
      </c>
      <c r="B1700" s="2" t="s">
        <v>807</v>
      </c>
      <c r="C1700" s="2" t="s">
        <v>702</v>
      </c>
      <c r="D1700" s="2" t="s">
        <v>359</v>
      </c>
      <c r="E1700" s="2" t="s">
        <v>356</v>
      </c>
      <c r="F1700" s="2"/>
      <c r="G1700" s="2" t="s">
        <v>153</v>
      </c>
      <c r="H1700" s="2" t="str">
        <f aca="false">IF(LEFT(B1700,10)="Arsenal v ",MID(B1700,11,100),LEFT(B1700,FIND(" v ",B1700)-1))</f>
        <v>Cardiff City</v>
      </c>
      <c r="I1700" s="2" t="str">
        <f aca="false">IF(F1700&lt;&gt;"","N",IF(LEFT(B1700,10)="Arsenal v ","H","A"))</f>
        <v>H</v>
      </c>
      <c r="J1700" s="2"/>
    </row>
    <row r="1701" customFormat="false" ht="15" hidden="false" customHeight="false" outlineLevel="0" collapsed="false">
      <c r="A1701" s="3" t="n">
        <v>43499</v>
      </c>
      <c r="B1701" s="2" t="s">
        <v>487</v>
      </c>
      <c r="C1701" s="2" t="s">
        <v>704</v>
      </c>
      <c r="D1701" s="2" t="s">
        <v>377</v>
      </c>
      <c r="E1701" s="2" t="s">
        <v>356</v>
      </c>
      <c r="F1701" s="2"/>
      <c r="G1701" s="2" t="s">
        <v>153</v>
      </c>
      <c r="H1701" s="2" t="str">
        <f aca="false">IF(LEFT(B1701,10)="Arsenal v ",MID(B1701,11,100),LEFT(B1701,FIND(" v ",B1701)-1))</f>
        <v>Manchester City</v>
      </c>
      <c r="I1701" s="2" t="str">
        <f aca="false">IF(F1701&lt;&gt;"","N",IF(LEFT(B1701,10)="Arsenal v ","H","A"))</f>
        <v>A</v>
      </c>
      <c r="J1701" s="2"/>
    </row>
    <row r="1702" customFormat="false" ht="15" hidden="false" customHeight="false" outlineLevel="0" collapsed="false">
      <c r="A1702" s="3" t="n">
        <v>43505</v>
      </c>
      <c r="B1702" s="2" t="s">
        <v>466</v>
      </c>
      <c r="C1702" s="2" t="s">
        <v>702</v>
      </c>
      <c r="D1702" s="2" t="s">
        <v>360</v>
      </c>
      <c r="E1702" s="2" t="s">
        <v>356</v>
      </c>
      <c r="F1702" s="2"/>
      <c r="G1702" s="2" t="s">
        <v>153</v>
      </c>
      <c r="H1702" s="2" t="str">
        <f aca="false">IF(LEFT(B1702,10)="Arsenal v ",MID(B1702,11,100),LEFT(B1702,FIND(" v ",B1702)-1))</f>
        <v>Huddersfield Town</v>
      </c>
      <c r="I1702" s="2" t="str">
        <f aca="false">IF(F1702&lt;&gt;"","N",IF(LEFT(B1702,10)="Arsenal v ","H","A"))</f>
        <v>A</v>
      </c>
      <c r="J1702" s="2"/>
    </row>
    <row r="1703" customFormat="false" ht="15" hidden="false" customHeight="false" outlineLevel="0" collapsed="false">
      <c r="A1703" s="3" t="n">
        <v>43510</v>
      </c>
      <c r="B1703" s="2" t="s">
        <v>453</v>
      </c>
      <c r="C1703" s="2" t="s">
        <v>704</v>
      </c>
      <c r="D1703" s="2" t="s">
        <v>348</v>
      </c>
      <c r="E1703" s="2" t="s">
        <v>346</v>
      </c>
      <c r="F1703" s="2"/>
      <c r="G1703" s="2" t="s">
        <v>153</v>
      </c>
      <c r="H1703" s="2" t="str">
        <f aca="false">IF(LEFT(B1703,10)="Arsenal v ",MID(B1703,11,100),LEFT(B1703,FIND(" v ",B1703)-1))</f>
        <v>FC BATE Borisov</v>
      </c>
      <c r="I1703" s="2" t="str">
        <f aca="false">IF(F1703&lt;&gt;"","N",IF(LEFT(B1703,10)="Arsenal v ","H","A"))</f>
        <v>A</v>
      </c>
      <c r="J1703" s="2"/>
    </row>
    <row r="1704" customFormat="false" ht="15" hidden="false" customHeight="false" outlineLevel="0" collapsed="false">
      <c r="A1704" s="3" t="n">
        <v>43517</v>
      </c>
      <c r="B1704" s="2" t="s">
        <v>850</v>
      </c>
      <c r="C1704" s="2" t="s">
        <v>702</v>
      </c>
      <c r="D1704" s="2" t="s">
        <v>434</v>
      </c>
      <c r="E1704" s="2" t="s">
        <v>346</v>
      </c>
      <c r="F1704" s="2"/>
      <c r="G1704" s="2" t="s">
        <v>153</v>
      </c>
      <c r="H1704" s="2" t="str">
        <f aca="false">IF(LEFT(B1704,10)="Arsenal v ",MID(B1704,11,100),LEFT(B1704,FIND(" v ",B1704)-1))</f>
        <v>FC BATE Borisov</v>
      </c>
      <c r="I1704" s="2" t="str">
        <f aca="false">IF(F1704&lt;&gt;"","N",IF(LEFT(B1704,10)="Arsenal v ","H","A"))</f>
        <v>H</v>
      </c>
      <c r="J1704" s="2"/>
    </row>
    <row r="1705" customFormat="false" ht="15" hidden="false" customHeight="false" outlineLevel="0" collapsed="false">
      <c r="A1705" s="3" t="n">
        <v>43520</v>
      </c>
      <c r="B1705" s="2" t="s">
        <v>705</v>
      </c>
      <c r="C1705" s="2" t="s">
        <v>702</v>
      </c>
      <c r="D1705" s="2" t="s">
        <v>351</v>
      </c>
      <c r="E1705" s="2" t="s">
        <v>356</v>
      </c>
      <c r="F1705" s="2"/>
      <c r="G1705" s="2" t="s">
        <v>153</v>
      </c>
      <c r="H1705" s="2" t="str">
        <f aca="false">IF(LEFT(B1705,10)="Arsenal v ",MID(B1705,11,100),LEFT(B1705,FIND(" v ",B1705)-1))</f>
        <v>Southampton</v>
      </c>
      <c r="I1705" s="2" t="str">
        <f aca="false">IF(F1705&lt;&gt;"","N",IF(LEFT(B1705,10)="Arsenal v ","H","A"))</f>
        <v>H</v>
      </c>
      <c r="J1705" s="2"/>
    </row>
    <row r="1706" customFormat="false" ht="15" hidden="false" customHeight="false" outlineLevel="0" collapsed="false">
      <c r="A1706" s="3" t="n">
        <v>43523</v>
      </c>
      <c r="B1706" s="2" t="s">
        <v>841</v>
      </c>
      <c r="C1706" s="2" t="s">
        <v>702</v>
      </c>
      <c r="D1706" s="2" t="s">
        <v>401</v>
      </c>
      <c r="E1706" s="2" t="s">
        <v>356</v>
      </c>
      <c r="F1706" s="2"/>
      <c r="G1706" s="2" t="s">
        <v>153</v>
      </c>
      <c r="H1706" s="2" t="str">
        <f aca="false">IF(LEFT(B1706,10)="Arsenal v ",MID(B1706,11,100),LEFT(B1706,FIND(" v ",B1706)-1))</f>
        <v>AFC Bournemouth</v>
      </c>
      <c r="I1706" s="2" t="str">
        <f aca="false">IF(F1706&lt;&gt;"","N",IF(LEFT(B1706,10)="Arsenal v ","H","A"))</f>
        <v>H</v>
      </c>
      <c r="J1706" s="2"/>
    </row>
    <row r="1707" customFormat="false" ht="15" hidden="false" customHeight="false" outlineLevel="0" collapsed="false">
      <c r="A1707" s="3" t="n">
        <v>43526</v>
      </c>
      <c r="B1707" s="2" t="s">
        <v>561</v>
      </c>
      <c r="C1707" s="2" t="s">
        <v>706</v>
      </c>
      <c r="D1707" s="2" t="s">
        <v>361</v>
      </c>
      <c r="E1707" s="2" t="s">
        <v>356</v>
      </c>
      <c r="F1707" s="2"/>
      <c r="G1707" s="2" t="s">
        <v>153</v>
      </c>
      <c r="H1707" s="2" t="str">
        <f aca="false">IF(LEFT(B1707,10)="Arsenal v ",MID(B1707,11,100),LEFT(B1707,FIND(" v ",B1707)-1))</f>
        <v>Tottenham Hotspur</v>
      </c>
      <c r="I1707" s="2" t="str">
        <f aca="false">IF(F1707&lt;&gt;"","N",IF(LEFT(B1707,10)="Arsenal v ","H","A"))</f>
        <v>A</v>
      </c>
      <c r="J1707" s="2"/>
    </row>
    <row r="1708" customFormat="false" ht="15" hidden="false" customHeight="false" outlineLevel="0" collapsed="false">
      <c r="A1708" s="3" t="n">
        <v>43531</v>
      </c>
      <c r="B1708" s="2" t="s">
        <v>534</v>
      </c>
      <c r="C1708" s="2" t="s">
        <v>704</v>
      </c>
      <c r="D1708" s="2" t="s">
        <v>377</v>
      </c>
      <c r="E1708" s="2" t="s">
        <v>346</v>
      </c>
      <c r="F1708" s="2"/>
      <c r="G1708" s="2" t="s">
        <v>153</v>
      </c>
      <c r="H1708" s="2" t="str">
        <f aca="false">IF(LEFT(B1708,10)="Arsenal v ",MID(B1708,11,100),LEFT(B1708,FIND(" v ",B1708)-1))</f>
        <v>Rennes</v>
      </c>
      <c r="I1708" s="2" t="str">
        <f aca="false">IF(F1708&lt;&gt;"","N",IF(LEFT(B1708,10)="Arsenal v ","H","A"))</f>
        <v>A</v>
      </c>
      <c r="J1708" s="2"/>
    </row>
    <row r="1709" customFormat="false" ht="15" hidden="false" customHeight="false" outlineLevel="0" collapsed="false">
      <c r="A1709" s="3" t="n">
        <v>43534</v>
      </c>
      <c r="B1709" s="2" t="s">
        <v>656</v>
      </c>
      <c r="C1709" s="2" t="s">
        <v>702</v>
      </c>
      <c r="D1709" s="2" t="s">
        <v>351</v>
      </c>
      <c r="E1709" s="2" t="s">
        <v>356</v>
      </c>
      <c r="F1709" s="2"/>
      <c r="G1709" s="2" t="s">
        <v>153</v>
      </c>
      <c r="H1709" s="2" t="str">
        <f aca="false">IF(LEFT(B1709,10)="Arsenal v ",MID(B1709,11,100),LEFT(B1709,FIND(" v ",B1709)-1))</f>
        <v>Manchester United</v>
      </c>
      <c r="I1709" s="2" t="str">
        <f aca="false">IF(F1709&lt;&gt;"","N",IF(LEFT(B1709,10)="Arsenal v ","H","A"))</f>
        <v>H</v>
      </c>
      <c r="J1709" s="2"/>
    </row>
    <row r="1710" customFormat="false" ht="15" hidden="false" customHeight="false" outlineLevel="0" collapsed="false">
      <c r="A1710" s="3" t="n">
        <v>43538</v>
      </c>
      <c r="B1710" s="2" t="s">
        <v>858</v>
      </c>
      <c r="C1710" s="2" t="s">
        <v>702</v>
      </c>
      <c r="D1710" s="2" t="s">
        <v>434</v>
      </c>
      <c r="E1710" s="2" t="s">
        <v>346</v>
      </c>
      <c r="F1710" s="2"/>
      <c r="G1710" s="2" t="s">
        <v>153</v>
      </c>
      <c r="H1710" s="2" t="str">
        <f aca="false">IF(LEFT(B1710,10)="Arsenal v ",MID(B1710,11,100),LEFT(B1710,FIND(" v ",B1710)-1))</f>
        <v>Rennes</v>
      </c>
      <c r="I1710" s="2" t="str">
        <f aca="false">IF(F1710&lt;&gt;"","N",IF(LEFT(B1710,10)="Arsenal v ","H","A"))</f>
        <v>H</v>
      </c>
      <c r="J1710" s="2"/>
    </row>
    <row r="1711" customFormat="false" ht="15" hidden="false" customHeight="false" outlineLevel="0" collapsed="false">
      <c r="A1711" s="3" t="n">
        <v>43556</v>
      </c>
      <c r="B1711" s="2" t="s">
        <v>719</v>
      </c>
      <c r="C1711" s="2" t="s">
        <v>702</v>
      </c>
      <c r="D1711" s="2" t="s">
        <v>351</v>
      </c>
      <c r="E1711" s="2" t="s">
        <v>356</v>
      </c>
      <c r="F1711" s="2"/>
      <c r="G1711" s="2" t="s">
        <v>153</v>
      </c>
      <c r="H1711" s="2" t="str">
        <f aca="false">IF(LEFT(B1711,10)="Arsenal v ",MID(B1711,11,100),LEFT(B1711,FIND(" v ",B1711)-1))</f>
        <v>Newcastle United</v>
      </c>
      <c r="I1711" s="2" t="str">
        <f aca="false">IF(F1711&lt;&gt;"","N",IF(LEFT(B1711,10)="Arsenal v ","H","A"))</f>
        <v>H</v>
      </c>
      <c r="J1711" s="2"/>
    </row>
    <row r="1712" customFormat="false" ht="15" hidden="false" customHeight="false" outlineLevel="0" collapsed="false">
      <c r="A1712" s="3" t="n">
        <v>43562</v>
      </c>
      <c r="B1712" s="2" t="s">
        <v>448</v>
      </c>
      <c r="C1712" s="2" t="s">
        <v>704</v>
      </c>
      <c r="D1712" s="2" t="s">
        <v>348</v>
      </c>
      <c r="E1712" s="2" t="s">
        <v>356</v>
      </c>
      <c r="F1712" s="2"/>
      <c r="G1712" s="2" t="s">
        <v>153</v>
      </c>
      <c r="H1712" s="2" t="str">
        <f aca="false">IF(LEFT(B1712,10)="Arsenal v ",MID(B1712,11,100),LEFT(B1712,FIND(" v ",B1712)-1))</f>
        <v>Everton</v>
      </c>
      <c r="I1712" s="2" t="str">
        <f aca="false">IF(F1712&lt;&gt;"","N",IF(LEFT(B1712,10)="Arsenal v ","H","A"))</f>
        <v>A</v>
      </c>
      <c r="J1712" s="2"/>
    </row>
    <row r="1713" customFormat="false" ht="15" hidden="false" customHeight="false" outlineLevel="0" collapsed="false">
      <c r="A1713" s="3" t="n">
        <v>43566</v>
      </c>
      <c r="B1713" s="2" t="s">
        <v>836</v>
      </c>
      <c r="C1713" s="2" t="s">
        <v>702</v>
      </c>
      <c r="D1713" s="2" t="s">
        <v>351</v>
      </c>
      <c r="E1713" s="2" t="s">
        <v>346</v>
      </c>
      <c r="F1713" s="2"/>
      <c r="G1713" s="2" t="s">
        <v>153</v>
      </c>
      <c r="H1713" s="2" t="str">
        <f aca="false">IF(LEFT(B1713,10)="Arsenal v ",MID(B1713,11,100),LEFT(B1713,FIND(" v ",B1713)-1))</f>
        <v>Napoli</v>
      </c>
      <c r="I1713" s="2" t="str">
        <f aca="false">IF(F1713&lt;&gt;"","N",IF(LEFT(B1713,10)="Arsenal v ","H","A"))</f>
        <v>H</v>
      </c>
      <c r="J1713" s="2"/>
    </row>
    <row r="1714" customFormat="false" ht="15" hidden="false" customHeight="false" outlineLevel="0" collapsed="false">
      <c r="A1714" s="3" t="n">
        <v>43570</v>
      </c>
      <c r="B1714" s="2" t="s">
        <v>569</v>
      </c>
      <c r="C1714" s="2" t="s">
        <v>702</v>
      </c>
      <c r="D1714" s="2" t="s">
        <v>383</v>
      </c>
      <c r="E1714" s="2" t="s">
        <v>356</v>
      </c>
      <c r="F1714" s="2"/>
      <c r="G1714" s="2" t="s">
        <v>153</v>
      </c>
      <c r="H1714" s="2" t="str">
        <f aca="false">IF(LEFT(B1714,10)="Arsenal v ",MID(B1714,11,100),LEFT(B1714,FIND(" v ",B1714)-1))</f>
        <v>Watford</v>
      </c>
      <c r="I1714" s="2" t="str">
        <f aca="false">IF(F1714&lt;&gt;"","N",IF(LEFT(B1714,10)="Arsenal v ","H","A"))</f>
        <v>A</v>
      </c>
      <c r="J1714" s="2"/>
    </row>
    <row r="1715" customFormat="false" ht="15" hidden="false" customHeight="false" outlineLevel="0" collapsed="false">
      <c r="A1715" s="3" t="n">
        <v>43573</v>
      </c>
      <c r="B1715" s="2" t="s">
        <v>500</v>
      </c>
      <c r="C1715" s="2" t="s">
        <v>702</v>
      </c>
      <c r="D1715" s="2" t="s">
        <v>383</v>
      </c>
      <c r="E1715" s="2" t="s">
        <v>346</v>
      </c>
      <c r="F1715" s="2"/>
      <c r="G1715" s="2" t="s">
        <v>153</v>
      </c>
      <c r="H1715" s="2" t="str">
        <f aca="false">IF(LEFT(B1715,10)="Arsenal v ",MID(B1715,11,100),LEFT(B1715,FIND(" v ",B1715)-1))</f>
        <v>Napoli</v>
      </c>
      <c r="I1715" s="2" t="str">
        <f aca="false">IF(F1715&lt;&gt;"","N",IF(LEFT(B1715,10)="Arsenal v ","H","A"))</f>
        <v>A</v>
      </c>
      <c r="J1715" s="2"/>
    </row>
    <row r="1716" customFormat="false" ht="15" hidden="false" customHeight="false" outlineLevel="0" collapsed="false">
      <c r="A1716" s="3" t="n">
        <v>43576</v>
      </c>
      <c r="B1716" s="2" t="s">
        <v>724</v>
      </c>
      <c r="C1716" s="2" t="s">
        <v>704</v>
      </c>
      <c r="D1716" s="2" t="s">
        <v>366</v>
      </c>
      <c r="E1716" s="2" t="s">
        <v>356</v>
      </c>
      <c r="F1716" s="2"/>
      <c r="G1716" s="2" t="s">
        <v>153</v>
      </c>
      <c r="H1716" s="2" t="str">
        <f aca="false">IF(LEFT(B1716,10)="Arsenal v ",MID(B1716,11,100),LEFT(B1716,FIND(" v ",B1716)-1))</f>
        <v>Crystal Palace</v>
      </c>
      <c r="I1716" s="2" t="str">
        <f aca="false">IF(F1716&lt;&gt;"","N",IF(LEFT(B1716,10)="Arsenal v ","H","A"))</f>
        <v>H</v>
      </c>
      <c r="J1716" s="2"/>
    </row>
    <row r="1717" customFormat="false" ht="15" hidden="false" customHeight="false" outlineLevel="0" collapsed="false">
      <c r="A1717" s="3" t="n">
        <v>43579</v>
      </c>
      <c r="B1717" s="2" t="s">
        <v>575</v>
      </c>
      <c r="C1717" s="2" t="s">
        <v>704</v>
      </c>
      <c r="D1717" s="2" t="s">
        <v>377</v>
      </c>
      <c r="E1717" s="2" t="s">
        <v>356</v>
      </c>
      <c r="F1717" s="2"/>
      <c r="G1717" s="2" t="s">
        <v>153</v>
      </c>
      <c r="H1717" s="2" t="str">
        <f aca="false">IF(LEFT(B1717,10)="Arsenal v ",MID(B1717,11,100),LEFT(B1717,FIND(" v ",B1717)-1))</f>
        <v>Wolverhampton Wanderers</v>
      </c>
      <c r="I1717" s="2" t="str">
        <f aca="false">IF(F1717&lt;&gt;"","N",IF(LEFT(B1717,10)="Arsenal v ","H","A"))</f>
        <v>A</v>
      </c>
      <c r="J1717" s="2"/>
    </row>
    <row r="1718" customFormat="false" ht="15" hidden="false" customHeight="false" outlineLevel="0" collapsed="false">
      <c r="A1718" s="3" t="n">
        <v>43583</v>
      </c>
      <c r="B1718" s="2" t="s">
        <v>474</v>
      </c>
      <c r="C1718" s="2" t="s">
        <v>704</v>
      </c>
      <c r="D1718" s="2" t="s">
        <v>434</v>
      </c>
      <c r="E1718" s="2" t="s">
        <v>356</v>
      </c>
      <c r="F1718" s="2"/>
      <c r="G1718" s="2" t="s">
        <v>153</v>
      </c>
      <c r="H1718" s="2" t="str">
        <f aca="false">IF(LEFT(B1718,10)="Arsenal v ",MID(B1718,11,100),LEFT(B1718,FIND(" v ",B1718)-1))</f>
        <v>Leicester City</v>
      </c>
      <c r="I1718" s="2" t="str">
        <f aca="false">IF(F1718&lt;&gt;"","N",IF(LEFT(B1718,10)="Arsenal v ","H","A"))</f>
        <v>A</v>
      </c>
      <c r="J1718" s="2"/>
    </row>
    <row r="1719" customFormat="false" ht="15" hidden="false" customHeight="false" outlineLevel="0" collapsed="false">
      <c r="A1719" s="3" t="n">
        <v>43587</v>
      </c>
      <c r="B1719" s="2" t="s">
        <v>778</v>
      </c>
      <c r="C1719" s="2" t="s">
        <v>702</v>
      </c>
      <c r="D1719" s="2" t="s">
        <v>377</v>
      </c>
      <c r="E1719" s="2" t="s">
        <v>346</v>
      </c>
      <c r="F1719" s="2"/>
      <c r="G1719" s="2" t="s">
        <v>153</v>
      </c>
      <c r="H1719" s="2" t="str">
        <f aca="false">IF(LEFT(B1719,10)="Arsenal v ",MID(B1719,11,100),LEFT(B1719,FIND(" v ",B1719)-1))</f>
        <v>Valencia</v>
      </c>
      <c r="I1719" s="2" t="str">
        <f aca="false">IF(F1719&lt;&gt;"","N",IF(LEFT(B1719,10)="Arsenal v ","H","A"))</f>
        <v>H</v>
      </c>
      <c r="J1719" s="2"/>
    </row>
    <row r="1720" customFormat="false" ht="15" hidden="false" customHeight="false" outlineLevel="0" collapsed="false">
      <c r="A1720" s="3" t="n">
        <v>43590</v>
      </c>
      <c r="B1720" s="2" t="s">
        <v>848</v>
      </c>
      <c r="C1720" s="2" t="s">
        <v>706</v>
      </c>
      <c r="D1720" s="2" t="s">
        <v>361</v>
      </c>
      <c r="E1720" s="2" t="s">
        <v>356</v>
      </c>
      <c r="F1720" s="2"/>
      <c r="G1720" s="2" t="s">
        <v>153</v>
      </c>
      <c r="H1720" s="2" t="str">
        <f aca="false">IF(LEFT(B1720,10)="Arsenal v ",MID(B1720,11,100),LEFT(B1720,FIND(" v ",B1720)-1))</f>
        <v>Brighton and Hove Albion</v>
      </c>
      <c r="I1720" s="2" t="str">
        <f aca="false">IF(F1720&lt;&gt;"","N",IF(LEFT(B1720,10)="Arsenal v ","H","A"))</f>
        <v>H</v>
      </c>
      <c r="J1720" s="2"/>
    </row>
    <row r="1721" customFormat="false" ht="15" hidden="false" customHeight="false" outlineLevel="0" collapsed="false">
      <c r="A1721" s="3" t="n">
        <v>43594</v>
      </c>
      <c r="B1721" s="2" t="s">
        <v>565</v>
      </c>
      <c r="C1721" s="2" t="s">
        <v>702</v>
      </c>
      <c r="D1721" s="2" t="s">
        <v>384</v>
      </c>
      <c r="E1721" s="2" t="s">
        <v>346</v>
      </c>
      <c r="F1721" s="2"/>
      <c r="G1721" s="2" t="s">
        <v>153</v>
      </c>
      <c r="H1721" s="2" t="str">
        <f aca="false">IF(LEFT(B1721,10)="Arsenal v ",MID(B1721,11,100),LEFT(B1721,FIND(" v ",B1721)-1))</f>
        <v>Valencia</v>
      </c>
      <c r="I1721" s="2" t="str">
        <f aca="false">IF(F1721&lt;&gt;"","N",IF(LEFT(B1721,10)="Arsenal v ","H","A"))</f>
        <v>A</v>
      </c>
      <c r="J1721" s="2"/>
    </row>
    <row r="1722" customFormat="false" ht="15" hidden="false" customHeight="false" outlineLevel="0" collapsed="false">
      <c r="A1722" s="3" t="n">
        <v>43597</v>
      </c>
      <c r="B1722" s="2" t="s">
        <v>419</v>
      </c>
      <c r="C1722" s="2" t="s">
        <v>702</v>
      </c>
      <c r="D1722" s="2" t="s">
        <v>373</v>
      </c>
      <c r="E1722" s="2" t="s">
        <v>356</v>
      </c>
      <c r="F1722" s="2"/>
      <c r="G1722" s="2" t="s">
        <v>153</v>
      </c>
      <c r="H1722" s="2" t="str">
        <f aca="false">IF(LEFT(B1722,10)="Arsenal v ",MID(B1722,11,100),LEFT(B1722,FIND(" v ",B1722)-1))</f>
        <v>Burnley</v>
      </c>
      <c r="I1722" s="2" t="str">
        <f aca="false">IF(F1722&lt;&gt;"","N",IF(LEFT(B1722,10)="Arsenal v ","H","A"))</f>
        <v>A</v>
      </c>
      <c r="J1722" s="2"/>
    </row>
    <row r="1723" customFormat="false" ht="15" hidden="false" customHeight="false" outlineLevel="0" collapsed="false">
      <c r="A1723" s="3" t="n">
        <v>43614</v>
      </c>
      <c r="B1723" s="2" t="s">
        <v>426</v>
      </c>
      <c r="C1723" s="2" t="s">
        <v>704</v>
      </c>
      <c r="D1723" s="2" t="s">
        <v>397</v>
      </c>
      <c r="E1723" s="2" t="s">
        <v>346</v>
      </c>
      <c r="F1723" s="2" t="s">
        <v>627</v>
      </c>
      <c r="G1723" s="2" t="s">
        <v>153</v>
      </c>
      <c r="H1723" s="2" t="str">
        <f aca="false">IF(LEFT(B1723,10)="Arsenal v ",MID(B1723,11,100),LEFT(B1723,FIND(" v ",B1723)-1))</f>
        <v>Chelsea</v>
      </c>
      <c r="I1723" s="2" t="str">
        <f aca="false">IF(F1723&lt;&gt;"","N",IF(LEFT(B1723,10)="Arsenal v ","H","A"))</f>
        <v>N</v>
      </c>
      <c r="J1723" s="2"/>
    </row>
    <row r="1724" customFormat="false" ht="15" hidden="false" customHeight="false" outlineLevel="0" collapsed="false">
      <c r="A1724" s="3" t="n">
        <v>43688</v>
      </c>
      <c r="B1724" s="2" t="s">
        <v>501</v>
      </c>
      <c r="C1724" s="2" t="s">
        <v>702</v>
      </c>
      <c r="D1724" s="2" t="s">
        <v>383</v>
      </c>
      <c r="E1724" s="2" t="s">
        <v>356</v>
      </c>
      <c r="F1724" s="2"/>
      <c r="G1724" s="2" t="s">
        <v>130</v>
      </c>
      <c r="H1724" s="2" t="str">
        <f aca="false">IF(LEFT(B1724,10)="Arsenal v ",MID(B1724,11,100),LEFT(B1724,FIND(" v ",B1724)-1))</f>
        <v>Newcastle United</v>
      </c>
      <c r="I1724" s="2" t="str">
        <f aca="false">IF(F1724&lt;&gt;"","N",IF(LEFT(B1724,10)="Arsenal v ","H","A"))</f>
        <v>A</v>
      </c>
      <c r="J1724" s="2"/>
    </row>
    <row r="1725" customFormat="false" ht="15" hidden="false" customHeight="false" outlineLevel="0" collapsed="false">
      <c r="A1725" s="3" t="n">
        <v>43694</v>
      </c>
      <c r="B1725" s="2" t="s">
        <v>822</v>
      </c>
      <c r="C1725" s="2" t="s">
        <v>702</v>
      </c>
      <c r="D1725" s="2" t="s">
        <v>359</v>
      </c>
      <c r="E1725" s="2" t="s">
        <v>356</v>
      </c>
      <c r="F1725" s="2"/>
      <c r="G1725" s="2" t="s">
        <v>130</v>
      </c>
      <c r="H1725" s="2" t="str">
        <f aca="false">IF(LEFT(B1725,10)="Arsenal v ",MID(B1725,11,100),LEFT(B1725,FIND(" v ",B1725)-1))</f>
        <v>Burnley</v>
      </c>
      <c r="I1725" s="2" t="str">
        <f aca="false">IF(F1725&lt;&gt;"","N",IF(LEFT(B1725,10)="Arsenal v ","H","A"))</f>
        <v>H</v>
      </c>
      <c r="J1725" s="2"/>
    </row>
    <row r="1726" customFormat="false" ht="15" hidden="false" customHeight="false" outlineLevel="0" collapsed="false">
      <c r="A1726" s="3" t="n">
        <v>43701</v>
      </c>
      <c r="B1726" s="2" t="s">
        <v>477</v>
      </c>
      <c r="C1726" s="2" t="s">
        <v>704</v>
      </c>
      <c r="D1726" s="2" t="s">
        <v>377</v>
      </c>
      <c r="E1726" s="2" t="s">
        <v>356</v>
      </c>
      <c r="F1726" s="2"/>
      <c r="G1726" s="2" t="s">
        <v>130</v>
      </c>
      <c r="H1726" s="2" t="str">
        <f aca="false">IF(LEFT(B1726,10)="Arsenal v ",MID(B1726,11,100),LEFT(B1726,FIND(" v ",B1726)-1))</f>
        <v>Liverpool</v>
      </c>
      <c r="I1726" s="2" t="str">
        <f aca="false">IF(F1726&lt;&gt;"","N",IF(LEFT(B1726,10)="Arsenal v ","H","A"))</f>
        <v>A</v>
      </c>
      <c r="J1726" s="2"/>
    </row>
    <row r="1727" customFormat="false" ht="15" hidden="false" customHeight="false" outlineLevel="0" collapsed="false">
      <c r="A1727" s="3" t="n">
        <v>43709</v>
      </c>
      <c r="B1727" s="2" t="s">
        <v>655</v>
      </c>
      <c r="C1727" s="2" t="s">
        <v>706</v>
      </c>
      <c r="D1727" s="2" t="s">
        <v>380</v>
      </c>
      <c r="E1727" s="2" t="s">
        <v>356</v>
      </c>
      <c r="F1727" s="2"/>
      <c r="G1727" s="2" t="s">
        <v>130</v>
      </c>
      <c r="H1727" s="2" t="str">
        <f aca="false">IF(LEFT(B1727,10)="Arsenal v ",MID(B1727,11,100),LEFT(B1727,FIND(" v ",B1727)-1))</f>
        <v>Tottenham Hotspur</v>
      </c>
      <c r="I1727" s="2" t="str">
        <f aca="false">IF(F1727&lt;&gt;"","N",IF(LEFT(B1727,10)="Arsenal v ","H","A"))</f>
        <v>H</v>
      </c>
      <c r="J1727" s="2"/>
    </row>
    <row r="1728" customFormat="false" ht="15" hidden="false" customHeight="false" outlineLevel="0" collapsed="false">
      <c r="A1728" s="3" t="n">
        <v>43723</v>
      </c>
      <c r="B1728" s="2" t="s">
        <v>569</v>
      </c>
      <c r="C1728" s="2" t="s">
        <v>706</v>
      </c>
      <c r="D1728" s="2" t="s">
        <v>380</v>
      </c>
      <c r="E1728" s="2" t="s">
        <v>356</v>
      </c>
      <c r="F1728" s="2"/>
      <c r="G1728" s="2" t="s">
        <v>130</v>
      </c>
      <c r="H1728" s="2" t="str">
        <f aca="false">IF(LEFT(B1728,10)="Arsenal v ",MID(B1728,11,100),LEFT(B1728,FIND(" v ",B1728)-1))</f>
        <v>Watford</v>
      </c>
      <c r="I1728" s="2" t="str">
        <f aca="false">IF(F1728&lt;&gt;"","N",IF(LEFT(B1728,10)="Arsenal v ","H","A"))</f>
        <v>A</v>
      </c>
      <c r="J1728" s="2"/>
    </row>
    <row r="1729" customFormat="false" ht="15" hidden="false" customHeight="false" outlineLevel="0" collapsed="false">
      <c r="A1729" s="3" t="n">
        <v>43727</v>
      </c>
      <c r="B1729" s="2" t="s">
        <v>447</v>
      </c>
      <c r="C1729" s="2" t="s">
        <v>702</v>
      </c>
      <c r="D1729" s="2" t="s">
        <v>363</v>
      </c>
      <c r="E1729" s="2" t="s">
        <v>346</v>
      </c>
      <c r="F1729" s="2"/>
      <c r="G1729" s="2" t="s">
        <v>130</v>
      </c>
      <c r="H1729" s="2" t="str">
        <f aca="false">IF(LEFT(B1729,10)="Arsenal v ",MID(B1729,11,100),LEFT(B1729,FIND(" v ",B1729)-1))</f>
        <v>Eintracht Frankfurt</v>
      </c>
      <c r="I1729" s="2" t="str">
        <f aca="false">IF(F1729&lt;&gt;"","N",IF(LEFT(B1729,10)="Arsenal v ","H","A"))</f>
        <v>A</v>
      </c>
      <c r="J1729" s="2"/>
    </row>
    <row r="1730" customFormat="false" ht="15" hidden="false" customHeight="false" outlineLevel="0" collapsed="false">
      <c r="A1730" s="3" t="n">
        <v>43730</v>
      </c>
      <c r="B1730" s="2" t="s">
        <v>703</v>
      </c>
      <c r="C1730" s="2" t="s">
        <v>702</v>
      </c>
      <c r="D1730" s="2" t="s">
        <v>382</v>
      </c>
      <c r="E1730" s="2" t="s">
        <v>356</v>
      </c>
      <c r="F1730" s="2"/>
      <c r="G1730" s="2" t="s">
        <v>130</v>
      </c>
      <c r="H1730" s="2" t="str">
        <f aca="false">IF(LEFT(B1730,10)="Arsenal v ",MID(B1730,11,100),LEFT(B1730,FIND(" v ",B1730)-1))</f>
        <v>Aston Villa</v>
      </c>
      <c r="I1730" s="2" t="str">
        <f aca="false">IF(F1730&lt;&gt;"","N",IF(LEFT(B1730,10)="Arsenal v ","H","A"))</f>
        <v>H</v>
      </c>
      <c r="J1730" s="2"/>
    </row>
    <row r="1731" customFormat="false" ht="15" hidden="false" customHeight="false" outlineLevel="0" collapsed="false">
      <c r="A1731" s="3" t="n">
        <v>43732</v>
      </c>
      <c r="B1731" s="2" t="s">
        <v>716</v>
      </c>
      <c r="C1731" s="2" t="s">
        <v>702</v>
      </c>
      <c r="D1731" s="2" t="s">
        <v>489</v>
      </c>
      <c r="E1731" s="2" t="s">
        <v>379</v>
      </c>
      <c r="F1731" s="2"/>
      <c r="G1731" s="2" t="s">
        <v>130</v>
      </c>
      <c r="H1731" s="2" t="str">
        <f aca="false">IF(LEFT(B1731,10)="Arsenal v ",MID(B1731,11,100),LEFT(B1731,FIND(" v ",B1731)-1))</f>
        <v>Nottingham Forest</v>
      </c>
      <c r="I1731" s="2" t="str">
        <f aca="false">IF(F1731&lt;&gt;"","N",IF(LEFT(B1731,10)="Arsenal v ","H","A"))</f>
        <v>H</v>
      </c>
      <c r="J1731" s="2"/>
    </row>
    <row r="1732" customFormat="false" ht="15" hidden="false" customHeight="false" outlineLevel="0" collapsed="false">
      <c r="A1732" s="3" t="n">
        <v>43738</v>
      </c>
      <c r="B1732" s="2" t="s">
        <v>490</v>
      </c>
      <c r="C1732" s="2" t="s">
        <v>706</v>
      </c>
      <c r="D1732" s="2" t="s">
        <v>361</v>
      </c>
      <c r="E1732" s="2" t="s">
        <v>356</v>
      </c>
      <c r="F1732" s="2"/>
      <c r="G1732" s="2" t="s">
        <v>130</v>
      </c>
      <c r="H1732" s="2" t="str">
        <f aca="false">IF(LEFT(B1732,10)="Arsenal v ",MID(B1732,11,100),LEFT(B1732,FIND(" v ",B1732)-1))</f>
        <v>Manchester United</v>
      </c>
      <c r="I1732" s="2" t="str">
        <f aca="false">IF(F1732&lt;&gt;"","N",IF(LEFT(B1732,10)="Arsenal v ","H","A"))</f>
        <v>A</v>
      </c>
      <c r="J1732" s="2"/>
    </row>
    <row r="1733" customFormat="false" ht="15" hidden="false" customHeight="false" outlineLevel="0" collapsed="false">
      <c r="A1733" s="3" t="n">
        <v>43741</v>
      </c>
      <c r="B1733" s="2" t="s">
        <v>742</v>
      </c>
      <c r="C1733" s="2" t="s">
        <v>702</v>
      </c>
      <c r="D1733" s="2" t="s">
        <v>354</v>
      </c>
      <c r="E1733" s="2" t="s">
        <v>346</v>
      </c>
      <c r="F1733" s="2"/>
      <c r="G1733" s="2" t="s">
        <v>130</v>
      </c>
      <c r="H1733" s="2" t="str">
        <f aca="false">IF(LEFT(B1733,10)="Arsenal v ",MID(B1733,11,100),LEFT(B1733,FIND(" v ",B1733)-1))</f>
        <v>Standard Liège</v>
      </c>
      <c r="I1733" s="2" t="str">
        <f aca="false">IF(F1733&lt;&gt;"","N",IF(LEFT(B1733,10)="Arsenal v ","H","A"))</f>
        <v>H</v>
      </c>
      <c r="J1733" s="2"/>
    </row>
    <row r="1734" customFormat="false" ht="15" hidden="false" customHeight="false" outlineLevel="0" collapsed="false">
      <c r="A1734" s="3" t="n">
        <v>43744</v>
      </c>
      <c r="B1734" s="2" t="s">
        <v>841</v>
      </c>
      <c r="C1734" s="2" t="s">
        <v>702</v>
      </c>
      <c r="D1734" s="2" t="s">
        <v>348</v>
      </c>
      <c r="E1734" s="2" t="s">
        <v>356</v>
      </c>
      <c r="F1734" s="2"/>
      <c r="G1734" s="2" t="s">
        <v>130</v>
      </c>
      <c r="H1734" s="2" t="str">
        <f aca="false">IF(LEFT(B1734,10)="Arsenal v ",MID(B1734,11,100),LEFT(B1734,FIND(" v ",B1734)-1))</f>
        <v>AFC Bournemouth</v>
      </c>
      <c r="I1734" s="2" t="str">
        <f aca="false">IF(F1734&lt;&gt;"","N",IF(LEFT(B1734,10)="Arsenal v ","H","A"))</f>
        <v>H</v>
      </c>
      <c r="J1734" s="2"/>
    </row>
    <row r="1735" customFormat="false" ht="15" hidden="false" customHeight="false" outlineLevel="0" collapsed="false">
      <c r="A1735" s="3" t="n">
        <v>43759</v>
      </c>
      <c r="B1735" s="2" t="s">
        <v>541</v>
      </c>
      <c r="C1735" s="2" t="s">
        <v>704</v>
      </c>
      <c r="D1735" s="2" t="s">
        <v>348</v>
      </c>
      <c r="E1735" s="2" t="s">
        <v>356</v>
      </c>
      <c r="F1735" s="2"/>
      <c r="G1735" s="2" t="s">
        <v>130</v>
      </c>
      <c r="H1735" s="2" t="str">
        <f aca="false">IF(LEFT(B1735,10)="Arsenal v ",MID(B1735,11,100),LEFT(B1735,FIND(" v ",B1735)-1))</f>
        <v>Sheffield United</v>
      </c>
      <c r="I1735" s="2" t="str">
        <f aca="false">IF(F1735&lt;&gt;"","N",IF(LEFT(B1735,10)="Arsenal v ","H","A"))</f>
        <v>A</v>
      </c>
      <c r="J1735" s="2"/>
    </row>
    <row r="1736" customFormat="false" ht="15" hidden="false" customHeight="false" outlineLevel="0" collapsed="false">
      <c r="A1736" s="3" t="n">
        <v>43762</v>
      </c>
      <c r="B1736" s="2" t="s">
        <v>859</v>
      </c>
      <c r="C1736" s="2" t="s">
        <v>702</v>
      </c>
      <c r="D1736" s="2" t="s">
        <v>382</v>
      </c>
      <c r="E1736" s="2" t="s">
        <v>346</v>
      </c>
      <c r="F1736" s="2"/>
      <c r="G1736" s="2" t="s">
        <v>130</v>
      </c>
      <c r="H1736" s="2" t="str">
        <f aca="false">IF(LEFT(B1736,10)="Arsenal v ",MID(B1736,11,100),LEFT(B1736,FIND(" v ",B1736)-1))</f>
        <v>Vitória Guimarães</v>
      </c>
      <c r="I1736" s="2" t="str">
        <f aca="false">IF(F1736&lt;&gt;"","N",IF(LEFT(B1736,10)="Arsenal v ","H","A"))</f>
        <v>H</v>
      </c>
      <c r="J1736" s="2"/>
    </row>
    <row r="1737" customFormat="false" ht="15" hidden="false" customHeight="false" outlineLevel="0" collapsed="false">
      <c r="A1737" s="3" t="n">
        <v>43765</v>
      </c>
      <c r="B1737" s="2" t="s">
        <v>724</v>
      </c>
      <c r="C1737" s="2" t="s">
        <v>706</v>
      </c>
      <c r="D1737" s="2" t="s">
        <v>380</v>
      </c>
      <c r="E1737" s="2" t="s">
        <v>356</v>
      </c>
      <c r="F1737" s="2"/>
      <c r="G1737" s="2" t="s">
        <v>130</v>
      </c>
      <c r="H1737" s="2" t="str">
        <f aca="false">IF(LEFT(B1737,10)="Arsenal v ",MID(B1737,11,100),LEFT(B1737,FIND(" v ",B1737)-1))</f>
        <v>Crystal Palace</v>
      </c>
      <c r="I1737" s="2" t="str">
        <f aca="false">IF(F1737&lt;&gt;"","N",IF(LEFT(B1737,10)="Arsenal v ","H","A"))</f>
        <v>H</v>
      </c>
      <c r="J1737" s="2"/>
    </row>
    <row r="1738" customFormat="false" ht="15" hidden="false" customHeight="false" outlineLevel="0" collapsed="false">
      <c r="A1738" s="3" t="n">
        <v>43768</v>
      </c>
      <c r="B1738" s="2" t="s">
        <v>477</v>
      </c>
      <c r="C1738" s="2" t="s">
        <v>704</v>
      </c>
      <c r="D1738" s="2" t="s">
        <v>482</v>
      </c>
      <c r="E1738" s="2" t="s">
        <v>379</v>
      </c>
      <c r="F1738" s="2"/>
      <c r="G1738" s="2" t="s">
        <v>130</v>
      </c>
      <c r="H1738" s="2" t="str">
        <f aca="false">IF(LEFT(B1738,10)="Arsenal v ",MID(B1738,11,100),LEFT(B1738,FIND(" v ",B1738)-1))</f>
        <v>Liverpool</v>
      </c>
      <c r="I1738" s="2" t="str">
        <f aca="false">IF(F1738&lt;&gt;"","N",IF(LEFT(B1738,10)="Arsenal v ","H","A"))</f>
        <v>A</v>
      </c>
      <c r="J1738" s="2"/>
    </row>
    <row r="1739" customFormat="false" ht="15" hidden="false" customHeight="false" outlineLevel="0" collapsed="false">
      <c r="A1739" s="3" t="n">
        <v>43771</v>
      </c>
      <c r="B1739" s="2" t="s">
        <v>762</v>
      </c>
      <c r="C1739" s="2" t="s">
        <v>706</v>
      </c>
      <c r="D1739" s="2" t="s">
        <v>361</v>
      </c>
      <c r="E1739" s="2" t="s">
        <v>356</v>
      </c>
      <c r="F1739" s="2"/>
      <c r="G1739" s="2" t="s">
        <v>130</v>
      </c>
      <c r="H1739" s="2" t="str">
        <f aca="false">IF(LEFT(B1739,10)="Arsenal v ",MID(B1739,11,100),LEFT(B1739,FIND(" v ",B1739)-1))</f>
        <v>Wolverhampton Wanderers</v>
      </c>
      <c r="I1739" s="2" t="str">
        <f aca="false">IF(F1739&lt;&gt;"","N",IF(LEFT(B1739,10)="Arsenal v ","H","A"))</f>
        <v>H</v>
      </c>
      <c r="J1739" s="2"/>
    </row>
    <row r="1740" customFormat="false" ht="15" hidden="false" customHeight="false" outlineLevel="0" collapsed="false">
      <c r="A1740" s="3" t="n">
        <v>43775</v>
      </c>
      <c r="B1740" s="2" t="s">
        <v>567</v>
      </c>
      <c r="C1740" s="2" t="s">
        <v>706</v>
      </c>
      <c r="D1740" s="2" t="s">
        <v>361</v>
      </c>
      <c r="E1740" s="2" t="s">
        <v>346</v>
      </c>
      <c r="F1740" s="2"/>
      <c r="G1740" s="2" t="s">
        <v>130</v>
      </c>
      <c r="H1740" s="2" t="str">
        <f aca="false">IF(LEFT(B1740,10)="Arsenal v ",MID(B1740,11,100),LEFT(B1740,FIND(" v ",B1740)-1))</f>
        <v>Vitória Guimarães</v>
      </c>
      <c r="I1740" s="2" t="str">
        <f aca="false">IF(F1740&lt;&gt;"","N",IF(LEFT(B1740,10)="Arsenal v ","H","A"))</f>
        <v>A</v>
      </c>
      <c r="J1740" s="2"/>
    </row>
    <row r="1741" customFormat="false" ht="15" hidden="false" customHeight="false" outlineLevel="0" collapsed="false">
      <c r="A1741" s="3" t="n">
        <v>43778</v>
      </c>
      <c r="B1741" s="2" t="s">
        <v>474</v>
      </c>
      <c r="C1741" s="2" t="s">
        <v>704</v>
      </c>
      <c r="D1741" s="2" t="s">
        <v>351</v>
      </c>
      <c r="E1741" s="2" t="s">
        <v>356</v>
      </c>
      <c r="F1741" s="2"/>
      <c r="G1741" s="2" t="s">
        <v>130</v>
      </c>
      <c r="H1741" s="2" t="str">
        <f aca="false">IF(LEFT(B1741,10)="Arsenal v ",MID(B1741,11,100),LEFT(B1741,FIND(" v ",B1741)-1))</f>
        <v>Leicester City</v>
      </c>
      <c r="I1741" s="2" t="str">
        <f aca="false">IF(F1741&lt;&gt;"","N",IF(LEFT(B1741,10)="Arsenal v ","H","A"))</f>
        <v>A</v>
      </c>
      <c r="J1741" s="2"/>
    </row>
    <row r="1742" customFormat="false" ht="15" hidden="false" customHeight="false" outlineLevel="0" collapsed="false">
      <c r="A1742" s="3" t="n">
        <v>43792</v>
      </c>
      <c r="B1742" s="2" t="s">
        <v>705</v>
      </c>
      <c r="C1742" s="2" t="s">
        <v>706</v>
      </c>
      <c r="D1742" s="2" t="s">
        <v>380</v>
      </c>
      <c r="E1742" s="2" t="s">
        <v>356</v>
      </c>
      <c r="F1742" s="2"/>
      <c r="G1742" s="2" t="s">
        <v>130</v>
      </c>
      <c r="H1742" s="2" t="str">
        <f aca="false">IF(LEFT(B1742,10)="Arsenal v ",MID(B1742,11,100),LEFT(B1742,FIND(" v ",B1742)-1))</f>
        <v>Southampton</v>
      </c>
      <c r="I1742" s="2" t="str">
        <f aca="false">IF(F1742&lt;&gt;"","N",IF(LEFT(B1742,10)="Arsenal v ","H","A"))</f>
        <v>H</v>
      </c>
      <c r="J1742" s="2"/>
    </row>
    <row r="1743" customFormat="false" ht="15" hidden="false" customHeight="false" outlineLevel="0" collapsed="false">
      <c r="A1743" s="3" t="n">
        <v>43797</v>
      </c>
      <c r="B1743" s="2" t="s">
        <v>860</v>
      </c>
      <c r="C1743" s="2" t="s">
        <v>704</v>
      </c>
      <c r="D1743" s="2" t="s">
        <v>360</v>
      </c>
      <c r="E1743" s="2" t="s">
        <v>346</v>
      </c>
      <c r="F1743" s="2"/>
      <c r="G1743" s="2" t="s">
        <v>130</v>
      </c>
      <c r="H1743" s="2" t="str">
        <f aca="false">IF(LEFT(B1743,10)="Arsenal v ",MID(B1743,11,100),LEFT(B1743,FIND(" v ",B1743)-1))</f>
        <v>Eintracht Frankfurt</v>
      </c>
      <c r="I1743" s="2" t="str">
        <f aca="false">IF(F1743&lt;&gt;"","N",IF(LEFT(B1743,10)="Arsenal v ","H","A"))</f>
        <v>H</v>
      </c>
      <c r="J1743" s="2"/>
    </row>
    <row r="1744" customFormat="false" ht="15" hidden="false" customHeight="false" outlineLevel="0" collapsed="false">
      <c r="A1744" s="3" t="n">
        <v>43800</v>
      </c>
      <c r="B1744" s="2" t="s">
        <v>502</v>
      </c>
      <c r="C1744" s="2" t="s">
        <v>706</v>
      </c>
      <c r="D1744" s="2" t="s">
        <v>380</v>
      </c>
      <c r="E1744" s="2" t="s">
        <v>356</v>
      </c>
      <c r="F1744" s="2"/>
      <c r="G1744" s="2" t="s">
        <v>130</v>
      </c>
      <c r="H1744" s="2" t="str">
        <f aca="false">IF(LEFT(B1744,10)="Arsenal v ",MID(B1744,11,100),LEFT(B1744,FIND(" v ",B1744)-1))</f>
        <v>Norwich City</v>
      </c>
      <c r="I1744" s="2" t="str">
        <f aca="false">IF(F1744&lt;&gt;"","N",IF(LEFT(B1744,10)="Arsenal v ","H","A"))</f>
        <v>A</v>
      </c>
      <c r="J1744" s="2"/>
    </row>
    <row r="1745" customFormat="false" ht="15" hidden="false" customHeight="false" outlineLevel="0" collapsed="false">
      <c r="A1745" s="3" t="n">
        <v>43804</v>
      </c>
      <c r="B1745" s="2" t="s">
        <v>848</v>
      </c>
      <c r="C1745" s="2" t="s">
        <v>704</v>
      </c>
      <c r="D1745" s="2" t="s">
        <v>360</v>
      </c>
      <c r="E1745" s="2" t="s">
        <v>356</v>
      </c>
      <c r="F1745" s="2"/>
      <c r="G1745" s="2" t="s">
        <v>130</v>
      </c>
      <c r="H1745" s="2" t="str">
        <f aca="false">IF(LEFT(B1745,10)="Arsenal v ",MID(B1745,11,100),LEFT(B1745,FIND(" v ",B1745)-1))</f>
        <v>Brighton and Hove Albion</v>
      </c>
      <c r="I1745" s="2" t="str">
        <f aca="false">IF(F1745&lt;&gt;"","N",IF(LEFT(B1745,10)="Arsenal v ","H","A"))</f>
        <v>H</v>
      </c>
      <c r="J1745" s="2"/>
    </row>
    <row r="1746" customFormat="false" ht="15" hidden="false" customHeight="false" outlineLevel="0" collapsed="false">
      <c r="A1746" s="3" t="n">
        <v>43808</v>
      </c>
      <c r="B1746" s="2" t="s">
        <v>572</v>
      </c>
      <c r="C1746" s="2" t="s">
        <v>702</v>
      </c>
      <c r="D1746" s="2" t="s">
        <v>373</v>
      </c>
      <c r="E1746" s="2" t="s">
        <v>356</v>
      </c>
      <c r="F1746" s="2"/>
      <c r="G1746" s="2" t="s">
        <v>130</v>
      </c>
      <c r="H1746" s="2" t="str">
        <f aca="false">IF(LEFT(B1746,10)="Arsenal v ",MID(B1746,11,100),LEFT(B1746,FIND(" v ",B1746)-1))</f>
        <v>West Ham United</v>
      </c>
      <c r="I1746" s="2" t="str">
        <f aca="false">IF(F1746&lt;&gt;"","N",IF(LEFT(B1746,10)="Arsenal v ","H","A"))</f>
        <v>A</v>
      </c>
      <c r="J1746" s="2"/>
    </row>
    <row r="1747" customFormat="false" ht="15" hidden="false" customHeight="false" outlineLevel="0" collapsed="false">
      <c r="A1747" s="3" t="n">
        <v>43811</v>
      </c>
      <c r="B1747" s="2" t="s">
        <v>552</v>
      </c>
      <c r="C1747" s="2" t="s">
        <v>706</v>
      </c>
      <c r="D1747" s="2" t="s">
        <v>380</v>
      </c>
      <c r="E1747" s="2" t="s">
        <v>346</v>
      </c>
      <c r="F1747" s="2"/>
      <c r="G1747" s="2" t="s">
        <v>130</v>
      </c>
      <c r="H1747" s="2" t="str">
        <f aca="false">IF(LEFT(B1747,10)="Arsenal v ",MID(B1747,11,100),LEFT(B1747,FIND(" v ",B1747)-1))</f>
        <v>Standard Liège</v>
      </c>
      <c r="I1747" s="2" t="str">
        <f aca="false">IF(F1747&lt;&gt;"","N",IF(LEFT(B1747,10)="Arsenal v ","H","A"))</f>
        <v>A</v>
      </c>
      <c r="J1747" s="2"/>
    </row>
    <row r="1748" customFormat="false" ht="15" hidden="false" customHeight="false" outlineLevel="0" collapsed="false">
      <c r="A1748" s="3" t="n">
        <v>43814</v>
      </c>
      <c r="B1748" s="2" t="s">
        <v>657</v>
      </c>
      <c r="C1748" s="2" t="s">
        <v>704</v>
      </c>
      <c r="D1748" s="2" t="s">
        <v>363</v>
      </c>
      <c r="E1748" s="2" t="s">
        <v>356</v>
      </c>
      <c r="F1748" s="2"/>
      <c r="G1748" s="2" t="s">
        <v>130</v>
      </c>
      <c r="H1748" s="2" t="str">
        <f aca="false">IF(LEFT(B1748,10)="Arsenal v ",MID(B1748,11,100),LEFT(B1748,FIND(" v ",B1748)-1))</f>
        <v>Manchester City</v>
      </c>
      <c r="I1748" s="2" t="str">
        <f aca="false">IF(F1748&lt;&gt;"","N",IF(LEFT(B1748,10)="Arsenal v ","H","A"))</f>
        <v>H</v>
      </c>
      <c r="J1748" s="2"/>
    </row>
    <row r="1749" customFormat="false" ht="15" hidden="false" customHeight="false" outlineLevel="0" collapsed="false">
      <c r="A1749" s="3" t="n">
        <v>43820</v>
      </c>
      <c r="B1749" s="2" t="s">
        <v>448</v>
      </c>
      <c r="C1749" s="2" t="s">
        <v>706</v>
      </c>
      <c r="D1749" s="2" t="s">
        <v>369</v>
      </c>
      <c r="E1749" s="2" t="s">
        <v>356</v>
      </c>
      <c r="F1749" s="2"/>
      <c r="G1749" s="2" t="s">
        <v>130</v>
      </c>
      <c r="H1749" s="2" t="str">
        <f aca="false">IF(LEFT(B1749,10)="Arsenal v ",MID(B1749,11,100),LEFT(B1749,FIND(" v ",B1749)-1))</f>
        <v>Everton</v>
      </c>
      <c r="I1749" s="2" t="str">
        <f aca="false">IF(F1749&lt;&gt;"","N",IF(LEFT(B1749,10)="Arsenal v ","H","A"))</f>
        <v>A</v>
      </c>
      <c r="J1749" s="2"/>
    </row>
    <row r="1750" customFormat="false" ht="15" hidden="false" customHeight="false" outlineLevel="0" collapsed="false">
      <c r="A1750" s="3" t="n">
        <v>43825</v>
      </c>
      <c r="B1750" s="2" t="s">
        <v>357</v>
      </c>
      <c r="C1750" s="2" t="s">
        <v>706</v>
      </c>
      <c r="D1750" s="2" t="s">
        <v>361</v>
      </c>
      <c r="E1750" s="2" t="s">
        <v>356</v>
      </c>
      <c r="F1750" s="2"/>
      <c r="G1750" s="2" t="s">
        <v>130</v>
      </c>
      <c r="H1750" s="2" t="str">
        <f aca="false">IF(LEFT(B1750,10)="Arsenal v ",MID(B1750,11,100),LEFT(B1750,FIND(" v ",B1750)-1))</f>
        <v>AFC Bournemouth</v>
      </c>
      <c r="I1750" s="2" t="str">
        <f aca="false">IF(F1750&lt;&gt;"","N",IF(LEFT(B1750,10)="Arsenal v ","H","A"))</f>
        <v>A</v>
      </c>
      <c r="J1750" s="2"/>
    </row>
    <row r="1751" customFormat="false" ht="15" hidden="false" customHeight="false" outlineLevel="0" collapsed="false">
      <c r="A1751" s="3" t="n">
        <v>43828</v>
      </c>
      <c r="B1751" s="2" t="s">
        <v>725</v>
      </c>
      <c r="C1751" s="2" t="s">
        <v>704</v>
      </c>
      <c r="D1751" s="2" t="s">
        <v>360</v>
      </c>
      <c r="E1751" s="2" t="s">
        <v>356</v>
      </c>
      <c r="F1751" s="2"/>
      <c r="G1751" s="2" t="s">
        <v>130</v>
      </c>
      <c r="H1751" s="2" t="str">
        <f aca="false">IF(LEFT(B1751,10)="Arsenal v ",MID(B1751,11,100),LEFT(B1751,FIND(" v ",B1751)-1))</f>
        <v>Chelsea</v>
      </c>
      <c r="I1751" s="2" t="str">
        <f aca="false">IF(F1751&lt;&gt;"","N",IF(LEFT(B1751,10)="Arsenal v ","H","A"))</f>
        <v>H</v>
      </c>
      <c r="J1751" s="2"/>
    </row>
    <row r="1752" customFormat="false" ht="15" hidden="false" customHeight="false" outlineLevel="0" collapsed="false">
      <c r="A1752" s="3" t="n">
        <v>43831</v>
      </c>
      <c r="B1752" s="2" t="s">
        <v>656</v>
      </c>
      <c r="C1752" s="2" t="s">
        <v>702</v>
      </c>
      <c r="D1752" s="2" t="s">
        <v>351</v>
      </c>
      <c r="E1752" s="2" t="s">
        <v>356</v>
      </c>
      <c r="F1752" s="2"/>
      <c r="G1752" s="2" t="s">
        <v>130</v>
      </c>
      <c r="H1752" s="2" t="str">
        <f aca="false">IF(LEFT(B1752,10)="Arsenal v ",MID(B1752,11,100),LEFT(B1752,FIND(" v ",B1752)-1))</f>
        <v>Manchester United</v>
      </c>
      <c r="I1752" s="2" t="str">
        <f aca="false">IF(F1752&lt;&gt;"","N",IF(LEFT(B1752,10)="Arsenal v ","H","A"))</f>
        <v>H</v>
      </c>
      <c r="J1752" s="2"/>
    </row>
    <row r="1753" customFormat="false" ht="15" hidden="false" customHeight="false" outlineLevel="0" collapsed="false">
      <c r="A1753" s="3" t="n">
        <v>43836</v>
      </c>
      <c r="B1753" s="2" t="s">
        <v>729</v>
      </c>
      <c r="C1753" s="2" t="s">
        <v>702</v>
      </c>
      <c r="D1753" s="2" t="s">
        <v>348</v>
      </c>
      <c r="E1753" s="2" t="s">
        <v>362</v>
      </c>
      <c r="F1753" s="2"/>
      <c r="G1753" s="2" t="s">
        <v>130</v>
      </c>
      <c r="H1753" s="2" t="str">
        <f aca="false">IF(LEFT(B1753,10)="Arsenal v ",MID(B1753,11,100),LEFT(B1753,FIND(" v ",B1753)-1))</f>
        <v>Leeds United</v>
      </c>
      <c r="I1753" s="2" t="str">
        <f aca="false">IF(F1753&lt;&gt;"","N",IF(LEFT(B1753,10)="Arsenal v ","H","A"))</f>
        <v>H</v>
      </c>
      <c r="J1753" s="2"/>
    </row>
    <row r="1754" customFormat="false" ht="15" hidden="false" customHeight="false" outlineLevel="0" collapsed="false">
      <c r="A1754" s="3" t="n">
        <v>43841</v>
      </c>
      <c r="B1754" s="2" t="s">
        <v>433</v>
      </c>
      <c r="C1754" s="2" t="s">
        <v>706</v>
      </c>
      <c r="D1754" s="2" t="s">
        <v>361</v>
      </c>
      <c r="E1754" s="2" t="s">
        <v>356</v>
      </c>
      <c r="F1754" s="2"/>
      <c r="G1754" s="2" t="s">
        <v>130</v>
      </c>
      <c r="H1754" s="2" t="str">
        <f aca="false">IF(LEFT(B1754,10)="Arsenal v ",MID(B1754,11,100),LEFT(B1754,FIND(" v ",B1754)-1))</f>
        <v>Crystal Palace</v>
      </c>
      <c r="I1754" s="2" t="str">
        <f aca="false">IF(F1754&lt;&gt;"","N",IF(LEFT(B1754,10)="Arsenal v ","H","A"))</f>
        <v>A</v>
      </c>
      <c r="J1754" s="2"/>
    </row>
    <row r="1755" customFormat="false" ht="15" hidden="false" customHeight="false" outlineLevel="0" collapsed="false">
      <c r="A1755" s="3" t="n">
        <v>43848</v>
      </c>
      <c r="B1755" s="2" t="s">
        <v>728</v>
      </c>
      <c r="C1755" s="2" t="s">
        <v>706</v>
      </c>
      <c r="D1755" s="2" t="s">
        <v>361</v>
      </c>
      <c r="E1755" s="2" t="s">
        <v>356</v>
      </c>
      <c r="F1755" s="2"/>
      <c r="G1755" s="2" t="s">
        <v>130</v>
      </c>
      <c r="H1755" s="2" t="str">
        <f aca="false">IF(LEFT(B1755,10)="Arsenal v ",MID(B1755,11,100),LEFT(B1755,FIND(" v ",B1755)-1))</f>
        <v>Sheffield United</v>
      </c>
      <c r="I1755" s="2" t="str">
        <f aca="false">IF(F1755&lt;&gt;"","N",IF(LEFT(B1755,10)="Arsenal v ","H","A"))</f>
        <v>H</v>
      </c>
      <c r="J1755" s="2"/>
    </row>
    <row r="1756" customFormat="false" ht="15" hidden="false" customHeight="false" outlineLevel="0" collapsed="false">
      <c r="A1756" s="3" t="n">
        <v>43851</v>
      </c>
      <c r="B1756" s="2" t="s">
        <v>426</v>
      </c>
      <c r="C1756" s="2" t="s">
        <v>706</v>
      </c>
      <c r="D1756" s="2" t="s">
        <v>380</v>
      </c>
      <c r="E1756" s="2" t="s">
        <v>356</v>
      </c>
      <c r="F1756" s="2"/>
      <c r="G1756" s="2" t="s">
        <v>130</v>
      </c>
      <c r="H1756" s="2" t="str">
        <f aca="false">IF(LEFT(B1756,10)="Arsenal v ",MID(B1756,11,100),LEFT(B1756,FIND(" v ",B1756)-1))</f>
        <v>Chelsea</v>
      </c>
      <c r="I1756" s="2" t="str">
        <f aca="false">IF(F1756&lt;&gt;"","N",IF(LEFT(B1756,10)="Arsenal v ","H","A"))</f>
        <v>A</v>
      </c>
      <c r="J1756" s="2"/>
    </row>
    <row r="1757" customFormat="false" ht="15" hidden="false" customHeight="false" outlineLevel="0" collapsed="false">
      <c r="A1757" s="3" t="n">
        <v>43857</v>
      </c>
      <c r="B1757" s="2" t="s">
        <v>357</v>
      </c>
      <c r="C1757" s="2" t="s">
        <v>702</v>
      </c>
      <c r="D1757" s="2" t="s">
        <v>360</v>
      </c>
      <c r="E1757" s="2" t="s">
        <v>362</v>
      </c>
      <c r="F1757" s="2"/>
      <c r="G1757" s="2" t="s">
        <v>130</v>
      </c>
      <c r="H1757" s="2" t="str">
        <f aca="false">IF(LEFT(B1757,10)="Arsenal v ",MID(B1757,11,100),LEFT(B1757,FIND(" v ",B1757)-1))</f>
        <v>AFC Bournemouth</v>
      </c>
      <c r="I1757" s="2" t="str">
        <f aca="false">IF(F1757&lt;&gt;"","N",IF(LEFT(B1757,10)="Arsenal v ","H","A"))</f>
        <v>A</v>
      </c>
      <c r="J1757" s="2"/>
    </row>
    <row r="1758" customFormat="false" ht="15" hidden="false" customHeight="false" outlineLevel="0" collapsed="false">
      <c r="A1758" s="3" t="n">
        <v>43863</v>
      </c>
      <c r="B1758" s="2" t="s">
        <v>419</v>
      </c>
      <c r="C1758" s="2" t="s">
        <v>706</v>
      </c>
      <c r="D1758" s="2" t="s">
        <v>369</v>
      </c>
      <c r="E1758" s="2" t="s">
        <v>356</v>
      </c>
      <c r="F1758" s="2"/>
      <c r="G1758" s="2" t="s">
        <v>130</v>
      </c>
      <c r="H1758" s="2" t="str">
        <f aca="false">IF(LEFT(B1758,10)="Arsenal v ",MID(B1758,11,100),LEFT(B1758,FIND(" v ",B1758)-1))</f>
        <v>Burnley</v>
      </c>
      <c r="I1758" s="2" t="str">
        <f aca="false">IF(F1758&lt;&gt;"","N",IF(LEFT(B1758,10)="Arsenal v ","H","A"))</f>
        <v>A</v>
      </c>
      <c r="J1758" s="2"/>
    </row>
    <row r="1759" customFormat="false" ht="15" hidden="false" customHeight="false" outlineLevel="0" collapsed="false">
      <c r="A1759" s="3" t="n">
        <v>43877</v>
      </c>
      <c r="B1759" s="2" t="s">
        <v>719</v>
      </c>
      <c r="C1759" s="2" t="s">
        <v>702</v>
      </c>
      <c r="D1759" s="2" t="s">
        <v>354</v>
      </c>
      <c r="E1759" s="2" t="s">
        <v>356</v>
      </c>
      <c r="F1759" s="2"/>
      <c r="G1759" s="2" t="s">
        <v>130</v>
      </c>
      <c r="H1759" s="2" t="str">
        <f aca="false">IF(LEFT(B1759,10)="Arsenal v ",MID(B1759,11,100),LEFT(B1759,FIND(" v ",B1759)-1))</f>
        <v>Newcastle United</v>
      </c>
      <c r="I1759" s="2" t="str">
        <f aca="false">IF(F1759&lt;&gt;"","N",IF(LEFT(B1759,10)="Arsenal v ","H","A"))</f>
        <v>H</v>
      </c>
      <c r="J1759" s="2"/>
    </row>
    <row r="1760" customFormat="false" ht="15" hidden="false" customHeight="false" outlineLevel="0" collapsed="false">
      <c r="A1760" s="3" t="n">
        <v>43881</v>
      </c>
      <c r="B1760" s="2" t="s">
        <v>507</v>
      </c>
      <c r="C1760" s="2" t="s">
        <v>702</v>
      </c>
      <c r="D1760" s="2" t="s">
        <v>383</v>
      </c>
      <c r="E1760" s="2" t="s">
        <v>346</v>
      </c>
      <c r="F1760" s="2"/>
      <c r="G1760" s="2" t="s">
        <v>130</v>
      </c>
      <c r="H1760" s="2" t="str">
        <f aca="false">IF(LEFT(B1760,10)="Arsenal v ",MID(B1760,11,100),LEFT(B1760,FIND(" v ",B1760)-1))</f>
        <v>Olympiakos</v>
      </c>
      <c r="I1760" s="2" t="str">
        <f aca="false">IF(F1760&lt;&gt;"","N",IF(LEFT(B1760,10)="Arsenal v ","H","A"))</f>
        <v>A</v>
      </c>
      <c r="J1760" s="2"/>
    </row>
    <row r="1761" customFormat="false" ht="15" hidden="false" customHeight="false" outlineLevel="0" collapsed="false">
      <c r="A1761" s="3" t="n">
        <v>43884</v>
      </c>
      <c r="B1761" s="2" t="s">
        <v>718</v>
      </c>
      <c r="C1761" s="2" t="s">
        <v>702</v>
      </c>
      <c r="D1761" s="2" t="s">
        <v>382</v>
      </c>
      <c r="E1761" s="2" t="s">
        <v>356</v>
      </c>
      <c r="F1761" s="2"/>
      <c r="G1761" s="2" t="s">
        <v>130</v>
      </c>
      <c r="H1761" s="2" t="str">
        <f aca="false">IF(LEFT(B1761,10)="Arsenal v ",MID(B1761,11,100),LEFT(B1761,FIND(" v ",B1761)-1))</f>
        <v>Everton</v>
      </c>
      <c r="I1761" s="2" t="str">
        <f aca="false">IF(F1761&lt;&gt;"","N",IF(LEFT(B1761,10)="Arsenal v ","H","A"))</f>
        <v>H</v>
      </c>
      <c r="J1761" s="2"/>
    </row>
    <row r="1762" customFormat="false" ht="15" hidden="false" customHeight="false" outlineLevel="0" collapsed="false">
      <c r="A1762" s="3" t="n">
        <v>43888</v>
      </c>
      <c r="B1762" s="2" t="s">
        <v>824</v>
      </c>
      <c r="C1762" s="2" t="s">
        <v>704</v>
      </c>
      <c r="D1762" s="2" t="s">
        <v>360</v>
      </c>
      <c r="E1762" s="2" t="s">
        <v>346</v>
      </c>
      <c r="F1762" s="2"/>
      <c r="G1762" s="2" t="s">
        <v>130</v>
      </c>
      <c r="H1762" s="2" t="str">
        <f aca="false">IF(LEFT(B1762,10)="Arsenal v ",MID(B1762,11,100),LEFT(B1762,FIND(" v ",B1762)-1))</f>
        <v>Olympiakos</v>
      </c>
      <c r="I1762" s="2" t="str">
        <f aca="false">IF(F1762&lt;&gt;"","N",IF(LEFT(B1762,10)="Arsenal v ","H","A"))</f>
        <v>H</v>
      </c>
      <c r="J1762" s="2"/>
    </row>
    <row r="1763" customFormat="false" ht="15" hidden="false" customHeight="false" outlineLevel="0" collapsed="false">
      <c r="A1763" s="3" t="n">
        <v>43892</v>
      </c>
      <c r="B1763" s="2" t="s">
        <v>520</v>
      </c>
      <c r="C1763" s="2" t="s">
        <v>702</v>
      </c>
      <c r="D1763" s="2" t="s">
        <v>353</v>
      </c>
      <c r="E1763" s="2" t="s">
        <v>362</v>
      </c>
      <c r="F1763" s="2"/>
      <c r="G1763" s="2" t="s">
        <v>130</v>
      </c>
      <c r="H1763" s="2" t="str">
        <f aca="false">IF(LEFT(B1763,10)="Arsenal v ",MID(B1763,11,100),LEFT(B1763,FIND(" v ",B1763)-1))</f>
        <v>Portsmouth</v>
      </c>
      <c r="I1763" s="2" t="str">
        <f aca="false">IF(F1763&lt;&gt;"","N",IF(LEFT(B1763,10)="Arsenal v ","H","A"))</f>
        <v>A</v>
      </c>
      <c r="J1763" s="2"/>
    </row>
    <row r="1764" customFormat="false" ht="15" hidden="false" customHeight="false" outlineLevel="0" collapsed="false">
      <c r="A1764" s="3" t="n">
        <v>43897</v>
      </c>
      <c r="B1764" s="2" t="s">
        <v>712</v>
      </c>
      <c r="C1764" s="2" t="s">
        <v>702</v>
      </c>
      <c r="D1764" s="2" t="s">
        <v>348</v>
      </c>
      <c r="E1764" s="2" t="s">
        <v>356</v>
      </c>
      <c r="F1764" s="2"/>
      <c r="G1764" s="2" t="s">
        <v>130</v>
      </c>
      <c r="H1764" s="2" t="str">
        <f aca="false">IF(LEFT(B1764,10)="Arsenal v ",MID(B1764,11,100),LEFT(B1764,FIND(" v ",B1764)-1))</f>
        <v>West Ham United</v>
      </c>
      <c r="I1764" s="2" t="str">
        <f aca="false">IF(F1764&lt;&gt;"","N",IF(LEFT(B1764,10)="Arsenal v ","H","A"))</f>
        <v>H</v>
      </c>
      <c r="J1764" s="2"/>
    </row>
    <row r="1765" customFormat="false" ht="15" hidden="false" customHeight="false" outlineLevel="0" collapsed="false">
      <c r="A1765" s="14" t="n">
        <v>43999</v>
      </c>
      <c r="B1765" s="15" t="s">
        <v>487</v>
      </c>
      <c r="C1765" s="15" t="s">
        <v>704</v>
      </c>
      <c r="D1765" s="15" t="s">
        <v>434</v>
      </c>
      <c r="E1765" s="15" t="s">
        <v>356</v>
      </c>
      <c r="F1765" s="15"/>
      <c r="G1765" s="15" t="s">
        <v>130</v>
      </c>
      <c r="H1765" s="15" t="str">
        <f aca="false">IF(LEFT(B1765,10)="Arsenal v ",MID(B1765,11,100),LEFT(B1765,FIND(" v ",B1765)-1))</f>
        <v>Manchester City</v>
      </c>
      <c r="I1765" s="15" t="str">
        <f aca="false">IF(F1765&lt;&gt;"","N",IF(LEFT(B1765,10)="Arsenal v ","H","A"))</f>
        <v>A</v>
      </c>
      <c r="J1765" s="15" t="s">
        <v>861</v>
      </c>
    </row>
    <row r="1766" customFormat="false" ht="15" hidden="false" customHeight="false" outlineLevel="0" collapsed="false">
      <c r="A1766" s="14" t="n">
        <v>44002</v>
      </c>
      <c r="B1766" s="15" t="s">
        <v>417</v>
      </c>
      <c r="C1766" s="15" t="s">
        <v>704</v>
      </c>
      <c r="D1766" s="15" t="s">
        <v>359</v>
      </c>
      <c r="E1766" s="15" t="s">
        <v>356</v>
      </c>
      <c r="F1766" s="15"/>
      <c r="G1766" s="15" t="s">
        <v>130</v>
      </c>
      <c r="H1766" s="15" t="str">
        <f aca="false">IF(LEFT(B1766,10)="Arsenal v ",MID(B1766,11,100),LEFT(B1766,FIND(" v ",B1766)-1))</f>
        <v>Brighton and Hove Albion</v>
      </c>
      <c r="I1766" s="15" t="str">
        <f aca="false">IF(F1766&lt;&gt;"","N",IF(LEFT(B1766,10)="Arsenal v ","H","A"))</f>
        <v>A</v>
      </c>
      <c r="J1766" s="15" t="s">
        <v>861</v>
      </c>
    </row>
    <row r="1767" customFormat="false" ht="15" hidden="false" customHeight="false" outlineLevel="0" collapsed="false">
      <c r="A1767" s="14" t="n">
        <v>44007</v>
      </c>
      <c r="B1767" s="15" t="s">
        <v>546</v>
      </c>
      <c r="C1767" s="15" t="s">
        <v>702</v>
      </c>
      <c r="D1767" s="15" t="s">
        <v>353</v>
      </c>
      <c r="E1767" s="15" t="s">
        <v>356</v>
      </c>
      <c r="F1767" s="15"/>
      <c r="G1767" s="15" t="s">
        <v>130</v>
      </c>
      <c r="H1767" s="15" t="str">
        <f aca="false">IF(LEFT(B1767,10)="Arsenal v ",MID(B1767,11,100),LEFT(B1767,FIND(" v ",B1767)-1))</f>
        <v>Southampton</v>
      </c>
      <c r="I1767" s="15" t="str">
        <f aca="false">IF(F1767&lt;&gt;"","N",IF(LEFT(B1767,10)="Arsenal v ","H","A"))</f>
        <v>A</v>
      </c>
      <c r="J1767" s="15" t="s">
        <v>861</v>
      </c>
    </row>
    <row r="1768" customFormat="false" ht="15" hidden="false" customHeight="false" outlineLevel="0" collapsed="false">
      <c r="A1768" s="14" t="n">
        <v>44010</v>
      </c>
      <c r="B1768" s="15" t="s">
        <v>541</v>
      </c>
      <c r="C1768" s="15" t="s">
        <v>702</v>
      </c>
      <c r="D1768" s="15" t="s">
        <v>360</v>
      </c>
      <c r="E1768" s="15" t="s">
        <v>362</v>
      </c>
      <c r="F1768" s="15"/>
      <c r="G1768" s="15" t="s">
        <v>130</v>
      </c>
      <c r="H1768" s="15" t="str">
        <f aca="false">IF(LEFT(B1768,10)="Arsenal v ",MID(B1768,11,100),LEFT(B1768,FIND(" v ",B1768)-1))</f>
        <v>Sheffield United</v>
      </c>
      <c r="I1768" s="15" t="str">
        <f aca="false">IF(F1768&lt;&gt;"","N",IF(LEFT(B1768,10)="Arsenal v ","H","A"))</f>
        <v>A</v>
      </c>
      <c r="J1768" s="15" t="s">
        <v>861</v>
      </c>
    </row>
    <row r="1769" customFormat="false" ht="15" hidden="false" customHeight="false" outlineLevel="0" collapsed="false">
      <c r="A1769" s="14" t="n">
        <v>44013</v>
      </c>
      <c r="B1769" s="15" t="s">
        <v>720</v>
      </c>
      <c r="C1769" s="15" t="s">
        <v>702</v>
      </c>
      <c r="D1769" s="15" t="s">
        <v>354</v>
      </c>
      <c r="E1769" s="15" t="s">
        <v>356</v>
      </c>
      <c r="F1769" s="15"/>
      <c r="G1769" s="15" t="s">
        <v>130</v>
      </c>
      <c r="H1769" s="15" t="str">
        <f aca="false">IF(LEFT(B1769,10)="Arsenal v ",MID(B1769,11,100),LEFT(B1769,FIND(" v ",B1769)-1))</f>
        <v>Norwich City</v>
      </c>
      <c r="I1769" s="15" t="str">
        <f aca="false">IF(F1769&lt;&gt;"","N",IF(LEFT(B1769,10)="Arsenal v ","H","A"))</f>
        <v>H</v>
      </c>
      <c r="J1769" s="15" t="s">
        <v>861</v>
      </c>
    </row>
    <row r="1770" customFormat="false" ht="15" hidden="false" customHeight="false" outlineLevel="0" collapsed="false">
      <c r="A1770" s="14" t="n">
        <v>44016</v>
      </c>
      <c r="B1770" s="15" t="s">
        <v>575</v>
      </c>
      <c r="C1770" s="15" t="s">
        <v>702</v>
      </c>
      <c r="D1770" s="15" t="s">
        <v>353</v>
      </c>
      <c r="E1770" s="15" t="s">
        <v>356</v>
      </c>
      <c r="F1770" s="15"/>
      <c r="G1770" s="15" t="s">
        <v>130</v>
      </c>
      <c r="H1770" s="15" t="str">
        <f aca="false">IF(LEFT(B1770,10)="Arsenal v ",MID(B1770,11,100),LEFT(B1770,FIND(" v ",B1770)-1))</f>
        <v>Wolverhampton Wanderers</v>
      </c>
      <c r="I1770" s="15" t="str">
        <f aca="false">IF(F1770&lt;&gt;"","N",IF(LEFT(B1770,10)="Arsenal v ","H","A"))</f>
        <v>A</v>
      </c>
      <c r="J1770" s="15" t="s">
        <v>861</v>
      </c>
    </row>
    <row r="1771" customFormat="false" ht="15" hidden="false" customHeight="false" outlineLevel="0" collapsed="false">
      <c r="A1771" s="14" t="n">
        <v>44019</v>
      </c>
      <c r="B1771" s="15" t="s">
        <v>733</v>
      </c>
      <c r="C1771" s="15" t="s">
        <v>706</v>
      </c>
      <c r="D1771" s="15" t="s">
        <v>361</v>
      </c>
      <c r="E1771" s="15" t="s">
        <v>356</v>
      </c>
      <c r="F1771" s="15"/>
      <c r="G1771" s="15" t="s">
        <v>130</v>
      </c>
      <c r="H1771" s="15" t="str">
        <f aca="false">IF(LEFT(B1771,10)="Arsenal v ",MID(B1771,11,100),LEFT(B1771,FIND(" v ",B1771)-1))</f>
        <v>Leicester City</v>
      </c>
      <c r="I1771" s="15" t="str">
        <f aca="false">IF(F1771&lt;&gt;"","N",IF(LEFT(B1771,10)="Arsenal v ","H","A"))</f>
        <v>H</v>
      </c>
      <c r="J1771" s="15" t="s">
        <v>861</v>
      </c>
    </row>
    <row r="1772" customFormat="false" ht="15" hidden="false" customHeight="false" outlineLevel="0" collapsed="false">
      <c r="A1772" s="14" t="n">
        <v>44024</v>
      </c>
      <c r="B1772" s="15" t="s">
        <v>561</v>
      </c>
      <c r="C1772" s="15" t="s">
        <v>704</v>
      </c>
      <c r="D1772" s="15" t="s">
        <v>359</v>
      </c>
      <c r="E1772" s="15" t="s">
        <v>356</v>
      </c>
      <c r="F1772" s="15"/>
      <c r="G1772" s="15" t="s">
        <v>130</v>
      </c>
      <c r="H1772" s="15" t="str">
        <f aca="false">IF(LEFT(B1772,10)="Arsenal v ",MID(B1772,11,100),LEFT(B1772,FIND(" v ",B1772)-1))</f>
        <v>Tottenham Hotspur</v>
      </c>
      <c r="I1772" s="15" t="str">
        <f aca="false">IF(F1772&lt;&gt;"","N",IF(LEFT(B1772,10)="Arsenal v ","H","A"))</f>
        <v>A</v>
      </c>
      <c r="J1772" s="15" t="s">
        <v>861</v>
      </c>
    </row>
    <row r="1773" customFormat="false" ht="15" hidden="false" customHeight="false" outlineLevel="0" collapsed="false">
      <c r="A1773" s="14" t="n">
        <v>44027</v>
      </c>
      <c r="B1773" s="15" t="s">
        <v>710</v>
      </c>
      <c r="C1773" s="15" t="s">
        <v>702</v>
      </c>
      <c r="D1773" s="15" t="s">
        <v>359</v>
      </c>
      <c r="E1773" s="15" t="s">
        <v>356</v>
      </c>
      <c r="F1773" s="15"/>
      <c r="G1773" s="15" t="s">
        <v>130</v>
      </c>
      <c r="H1773" s="15" t="str">
        <f aca="false">IF(LEFT(B1773,10)="Arsenal v ",MID(B1773,11,100),LEFT(B1773,FIND(" v ",B1773)-1))</f>
        <v>Liverpool</v>
      </c>
      <c r="I1773" s="15" t="str">
        <f aca="false">IF(F1773&lt;&gt;"","N",IF(LEFT(B1773,10)="Arsenal v ","H","A"))</f>
        <v>H</v>
      </c>
      <c r="J1773" s="15" t="s">
        <v>861</v>
      </c>
    </row>
    <row r="1774" customFormat="false" ht="15" hidden="false" customHeight="false" outlineLevel="0" collapsed="false">
      <c r="A1774" s="14" t="n">
        <v>44030</v>
      </c>
      <c r="B1774" s="15" t="s">
        <v>657</v>
      </c>
      <c r="C1774" s="15" t="s">
        <v>702</v>
      </c>
      <c r="D1774" s="15" t="s">
        <v>351</v>
      </c>
      <c r="E1774" s="15" t="s">
        <v>362</v>
      </c>
      <c r="F1774" s="15" t="s">
        <v>652</v>
      </c>
      <c r="G1774" s="15" t="s">
        <v>130</v>
      </c>
      <c r="H1774" s="15" t="str">
        <f aca="false">IF(LEFT(B1774,10)="Arsenal v ",MID(B1774,11,100),LEFT(B1774,FIND(" v ",B1774)-1))</f>
        <v>Manchester City</v>
      </c>
      <c r="I1774" s="15" t="str">
        <f aca="false">IF(F1774&lt;&gt;"","N",IF(LEFT(B1774,10)="Arsenal v ","H","A"))</f>
        <v>N</v>
      </c>
      <c r="J1774" s="15" t="s">
        <v>861</v>
      </c>
    </row>
    <row r="1775" customFormat="false" ht="15" hidden="false" customHeight="false" outlineLevel="0" collapsed="false">
      <c r="A1775" s="14" t="n">
        <v>44033</v>
      </c>
      <c r="B1775" s="15" t="s">
        <v>376</v>
      </c>
      <c r="C1775" s="15" t="s">
        <v>704</v>
      </c>
      <c r="D1775" s="15" t="s">
        <v>348</v>
      </c>
      <c r="E1775" s="15" t="s">
        <v>356</v>
      </c>
      <c r="F1775" s="15"/>
      <c r="G1775" s="15" t="s">
        <v>130</v>
      </c>
      <c r="H1775" s="15" t="str">
        <f aca="false">IF(LEFT(B1775,10)="Arsenal v ",MID(B1775,11,100),LEFT(B1775,FIND(" v ",B1775)-1))</f>
        <v>Aston Villa</v>
      </c>
      <c r="I1775" s="15" t="str">
        <f aca="false">IF(F1775&lt;&gt;"","N",IF(LEFT(B1775,10)="Arsenal v ","H","A"))</f>
        <v>A</v>
      </c>
      <c r="J1775" s="15" t="s">
        <v>861</v>
      </c>
    </row>
    <row r="1776" customFormat="false" ht="15" hidden="false" customHeight="false" outlineLevel="0" collapsed="false">
      <c r="A1776" s="14" t="n">
        <v>44038</v>
      </c>
      <c r="B1776" s="15" t="s">
        <v>764</v>
      </c>
      <c r="C1776" s="15" t="s">
        <v>702</v>
      </c>
      <c r="D1776" s="15" t="s">
        <v>382</v>
      </c>
      <c r="E1776" s="15" t="s">
        <v>356</v>
      </c>
      <c r="F1776" s="15"/>
      <c r="G1776" s="15" t="s">
        <v>130</v>
      </c>
      <c r="H1776" s="15" t="str">
        <f aca="false">IF(LEFT(B1776,10)="Arsenal v ",MID(B1776,11,100),LEFT(B1776,FIND(" v ",B1776)-1))</f>
        <v>Watford</v>
      </c>
      <c r="I1776" s="15" t="str">
        <f aca="false">IF(F1776&lt;&gt;"","N",IF(LEFT(B1776,10)="Arsenal v ","H","A"))</f>
        <v>H</v>
      </c>
      <c r="J1776" s="15" t="s">
        <v>861</v>
      </c>
    </row>
    <row r="1777" customFormat="false" ht="15" hidden="false" customHeight="false" outlineLevel="0" collapsed="false">
      <c r="A1777" s="14" t="n">
        <v>44044</v>
      </c>
      <c r="B1777" s="15" t="s">
        <v>725</v>
      </c>
      <c r="C1777" s="15" t="s">
        <v>702</v>
      </c>
      <c r="D1777" s="15" t="s">
        <v>359</v>
      </c>
      <c r="E1777" s="15" t="s">
        <v>362</v>
      </c>
      <c r="F1777" s="15" t="s">
        <v>652</v>
      </c>
      <c r="G1777" s="15" t="s">
        <v>130</v>
      </c>
      <c r="H1777" s="15" t="str">
        <f aca="false">IF(LEFT(B1777,10)="Arsenal v ",MID(B1777,11,100),LEFT(B1777,FIND(" v ",B1777)-1))</f>
        <v>Chelsea</v>
      </c>
      <c r="I1777" s="15" t="str">
        <f aca="false">IF(F1777&lt;&gt;"","N",IF(LEFT(B1777,10)="Arsenal v ","H","A"))</f>
        <v>N</v>
      </c>
      <c r="J1777" s="15" t="s">
        <v>861</v>
      </c>
    </row>
    <row r="1778" customFormat="false" ht="15" hidden="false" customHeight="false" outlineLevel="0" collapsed="false">
      <c r="A1778" s="14" t="n">
        <v>44072</v>
      </c>
      <c r="B1778" s="15" t="s">
        <v>710</v>
      </c>
      <c r="C1778" s="15" t="s">
        <v>702</v>
      </c>
      <c r="D1778" s="15" t="s">
        <v>862</v>
      </c>
      <c r="E1778" s="15" t="s">
        <v>787</v>
      </c>
      <c r="F1778" s="15" t="s">
        <v>652</v>
      </c>
      <c r="G1778" s="15" t="s">
        <v>125</v>
      </c>
      <c r="H1778" s="15" t="str">
        <f aca="false">IF(LEFT(B1778,10)="Arsenal v ",MID(B1778,11,100),LEFT(B1778,FIND(" v ",B1778)-1))</f>
        <v>Liverpool</v>
      </c>
      <c r="I1778" s="15" t="str">
        <f aca="false">IF(F1778&lt;&gt;"","N",IF(LEFT(B1778,10)="Arsenal v ","H","A"))</f>
        <v>N</v>
      </c>
      <c r="J1778" s="15" t="s">
        <v>861</v>
      </c>
    </row>
    <row r="1779" customFormat="false" ht="15" hidden="false" customHeight="false" outlineLevel="0" collapsed="false">
      <c r="A1779" s="14" t="n">
        <v>44086</v>
      </c>
      <c r="B1779" s="15" t="s">
        <v>461</v>
      </c>
      <c r="C1779" s="15" t="s">
        <v>702</v>
      </c>
      <c r="D1779" s="15" t="s">
        <v>363</v>
      </c>
      <c r="E1779" s="15" t="s">
        <v>356</v>
      </c>
      <c r="F1779" s="15"/>
      <c r="G1779" s="15" t="s">
        <v>125</v>
      </c>
      <c r="H1779" s="15" t="str">
        <f aca="false">IF(LEFT(B1779,10)="Arsenal v ",MID(B1779,11,100),LEFT(B1779,FIND(" v ",B1779)-1))</f>
        <v>Fulham</v>
      </c>
      <c r="I1779" s="15" t="str">
        <f aca="false">IF(F1779&lt;&gt;"","N",IF(LEFT(B1779,10)="Arsenal v ","H","A"))</f>
        <v>A</v>
      </c>
      <c r="J1779" s="15" t="s">
        <v>861</v>
      </c>
    </row>
    <row r="1780" customFormat="false" ht="15" hidden="false" customHeight="false" outlineLevel="0" collapsed="false">
      <c r="A1780" s="14" t="n">
        <v>44093</v>
      </c>
      <c r="B1780" s="15" t="s">
        <v>712</v>
      </c>
      <c r="C1780" s="15" t="s">
        <v>702</v>
      </c>
      <c r="D1780" s="15" t="s">
        <v>359</v>
      </c>
      <c r="E1780" s="15" t="s">
        <v>356</v>
      </c>
      <c r="F1780" s="15"/>
      <c r="G1780" s="15" t="s">
        <v>125</v>
      </c>
      <c r="H1780" s="15" t="str">
        <f aca="false">IF(LEFT(B1780,10)="Arsenal v ",MID(B1780,11,100),LEFT(B1780,FIND(" v ",B1780)-1))</f>
        <v>West Ham United</v>
      </c>
      <c r="I1780" s="15" t="str">
        <f aca="false">IF(F1780&lt;&gt;"","N",IF(LEFT(B1780,10)="Arsenal v ","H","A"))</f>
        <v>H</v>
      </c>
      <c r="J1780" s="15" t="s">
        <v>861</v>
      </c>
    </row>
    <row r="1781" customFormat="false" ht="15" hidden="false" customHeight="false" outlineLevel="0" collapsed="false">
      <c r="A1781" s="14" t="n">
        <v>44097</v>
      </c>
      <c r="B1781" s="15" t="s">
        <v>474</v>
      </c>
      <c r="C1781" s="15" t="s">
        <v>702</v>
      </c>
      <c r="D1781" s="15" t="s">
        <v>353</v>
      </c>
      <c r="E1781" s="15" t="s">
        <v>379</v>
      </c>
      <c r="F1781" s="15"/>
      <c r="G1781" s="15" t="s">
        <v>125</v>
      </c>
      <c r="H1781" s="15" t="str">
        <f aca="false">IF(LEFT(B1781,10)="Arsenal v ",MID(B1781,11,100),LEFT(B1781,FIND(" v ",B1781)-1))</f>
        <v>Leicester City</v>
      </c>
      <c r="I1781" s="15" t="str">
        <f aca="false">IF(F1781&lt;&gt;"","N",IF(LEFT(B1781,10)="Arsenal v ","H","A"))</f>
        <v>A</v>
      </c>
      <c r="J1781" s="15" t="s">
        <v>861</v>
      </c>
    </row>
    <row r="1782" customFormat="false" ht="15" hidden="false" customHeight="false" outlineLevel="0" collapsed="false">
      <c r="A1782" s="14" t="n">
        <v>44102</v>
      </c>
      <c r="B1782" s="15" t="s">
        <v>477</v>
      </c>
      <c r="C1782" s="15" t="s">
        <v>704</v>
      </c>
      <c r="D1782" s="15" t="s">
        <v>377</v>
      </c>
      <c r="E1782" s="15" t="s">
        <v>356</v>
      </c>
      <c r="F1782" s="15"/>
      <c r="G1782" s="15" t="s">
        <v>125</v>
      </c>
      <c r="H1782" s="15" t="str">
        <f aca="false">IF(LEFT(B1782,10)="Arsenal v ",MID(B1782,11,100),LEFT(B1782,FIND(" v ",B1782)-1))</f>
        <v>Liverpool</v>
      </c>
      <c r="I1782" s="15" t="str">
        <f aca="false">IF(F1782&lt;&gt;"","N",IF(LEFT(B1782,10)="Arsenal v ","H","A"))</f>
        <v>A</v>
      </c>
      <c r="J1782" s="15" t="s">
        <v>861</v>
      </c>
    </row>
    <row r="1783" customFormat="false" ht="15" hidden="false" customHeight="false" outlineLevel="0" collapsed="false">
      <c r="A1783" s="14" t="n">
        <v>44105</v>
      </c>
      <c r="B1783" s="15" t="s">
        <v>477</v>
      </c>
      <c r="C1783" s="15" t="s">
        <v>702</v>
      </c>
      <c r="D1783" s="15" t="s">
        <v>483</v>
      </c>
      <c r="E1783" s="15" t="s">
        <v>379</v>
      </c>
      <c r="F1783" s="15"/>
      <c r="G1783" s="15" t="s">
        <v>125</v>
      </c>
      <c r="H1783" s="15" t="str">
        <f aca="false">IF(LEFT(B1783,10)="Arsenal v ",MID(B1783,11,100),LEFT(B1783,FIND(" v ",B1783)-1))</f>
        <v>Liverpool</v>
      </c>
      <c r="I1783" s="15" t="str">
        <f aca="false">IF(F1783&lt;&gt;"","N",IF(LEFT(B1783,10)="Arsenal v ","H","A"))</f>
        <v>A</v>
      </c>
      <c r="J1783" s="15" t="s">
        <v>861</v>
      </c>
    </row>
    <row r="1784" customFormat="false" ht="15" hidden="false" customHeight="false" outlineLevel="0" collapsed="false">
      <c r="A1784" s="14" t="n">
        <v>44108</v>
      </c>
      <c r="B1784" s="15" t="s">
        <v>728</v>
      </c>
      <c r="C1784" s="15" t="s">
        <v>702</v>
      </c>
      <c r="D1784" s="15" t="s">
        <v>359</v>
      </c>
      <c r="E1784" s="15" t="s">
        <v>356</v>
      </c>
      <c r="F1784" s="15"/>
      <c r="G1784" s="15" t="s">
        <v>125</v>
      </c>
      <c r="H1784" s="15" t="str">
        <f aca="false">IF(LEFT(B1784,10)="Arsenal v ",MID(B1784,11,100),LEFT(B1784,FIND(" v ",B1784)-1))</f>
        <v>Sheffield United</v>
      </c>
      <c r="I1784" s="15" t="str">
        <f aca="false">IF(F1784&lt;&gt;"","N",IF(LEFT(B1784,10)="Arsenal v ","H","A"))</f>
        <v>H</v>
      </c>
      <c r="J1784" s="15" t="s">
        <v>861</v>
      </c>
    </row>
    <row r="1785" customFormat="false" ht="15" hidden="false" customHeight="false" outlineLevel="0" collapsed="false">
      <c r="A1785" s="14" t="n">
        <v>44121</v>
      </c>
      <c r="B1785" s="15" t="s">
        <v>487</v>
      </c>
      <c r="C1785" s="15" t="s">
        <v>704</v>
      </c>
      <c r="D1785" s="15" t="s">
        <v>348</v>
      </c>
      <c r="E1785" s="15" t="s">
        <v>356</v>
      </c>
      <c r="F1785" s="15"/>
      <c r="G1785" s="15" t="s">
        <v>125</v>
      </c>
      <c r="H1785" s="15" t="str">
        <f aca="false">IF(LEFT(B1785,10)="Arsenal v ",MID(B1785,11,100),LEFT(B1785,FIND(" v ",B1785)-1))</f>
        <v>Manchester City</v>
      </c>
      <c r="I1785" s="15" t="str">
        <f aca="false">IF(F1785&lt;&gt;"","N",IF(LEFT(B1785,10)="Arsenal v ","H","A"))</f>
        <v>A</v>
      </c>
      <c r="J1785" s="15" t="s">
        <v>861</v>
      </c>
    </row>
    <row r="1786" customFormat="false" ht="15" hidden="false" customHeight="false" outlineLevel="0" collapsed="false">
      <c r="A1786" s="14" t="n">
        <v>44126</v>
      </c>
      <c r="B1786" s="15" t="s">
        <v>528</v>
      </c>
      <c r="C1786" s="15" t="s">
        <v>702</v>
      </c>
      <c r="D1786" s="15" t="s">
        <v>360</v>
      </c>
      <c r="E1786" s="15" t="s">
        <v>346</v>
      </c>
      <c r="F1786" s="15"/>
      <c r="G1786" s="15" t="s">
        <v>125</v>
      </c>
      <c r="H1786" s="15" t="str">
        <f aca="false">IF(LEFT(B1786,10)="Arsenal v ",MID(B1786,11,100),LEFT(B1786,FIND(" v ",B1786)-1))</f>
        <v>Rapid Wien</v>
      </c>
      <c r="I1786" s="15" t="str">
        <f aca="false">IF(F1786&lt;&gt;"","N",IF(LEFT(B1786,10)="Arsenal v ","H","A"))</f>
        <v>A</v>
      </c>
      <c r="J1786" s="15" t="s">
        <v>861</v>
      </c>
    </row>
    <row r="1787" customFormat="false" ht="15" hidden="false" customHeight="false" outlineLevel="0" collapsed="false">
      <c r="A1787" s="14" t="n">
        <v>44129</v>
      </c>
      <c r="B1787" s="15" t="s">
        <v>733</v>
      </c>
      <c r="C1787" s="15" t="s">
        <v>704</v>
      </c>
      <c r="D1787" s="15" t="s">
        <v>383</v>
      </c>
      <c r="E1787" s="15" t="s">
        <v>356</v>
      </c>
      <c r="F1787" s="15"/>
      <c r="G1787" s="15" t="s">
        <v>125</v>
      </c>
      <c r="H1787" s="15" t="str">
        <f aca="false">IF(LEFT(B1787,10)="Arsenal v ",MID(B1787,11,100),LEFT(B1787,FIND(" v ",B1787)-1))</f>
        <v>Leicester City</v>
      </c>
      <c r="I1787" s="15" t="str">
        <f aca="false">IF(F1787&lt;&gt;"","N",IF(LEFT(B1787,10)="Arsenal v ","H","A"))</f>
        <v>H</v>
      </c>
      <c r="J1787" s="15" t="s">
        <v>861</v>
      </c>
    </row>
    <row r="1788" customFormat="false" ht="15" hidden="false" customHeight="false" outlineLevel="0" collapsed="false">
      <c r="A1788" s="14" t="n">
        <v>44133</v>
      </c>
      <c r="B1788" s="15" t="s">
        <v>863</v>
      </c>
      <c r="C1788" s="15" t="s">
        <v>702</v>
      </c>
      <c r="D1788" s="15" t="s">
        <v>434</v>
      </c>
      <c r="E1788" s="15" t="s">
        <v>346</v>
      </c>
      <c r="F1788" s="15"/>
      <c r="G1788" s="15" t="s">
        <v>125</v>
      </c>
      <c r="H1788" s="15" t="str">
        <f aca="false">IF(LEFT(B1788,10)="Arsenal v ",MID(B1788,11,100),LEFT(B1788,FIND(" v ",B1788)-1))</f>
        <v>Dundalk</v>
      </c>
      <c r="I1788" s="15" t="str">
        <f aca="false">IF(F1788&lt;&gt;"","N",IF(LEFT(B1788,10)="Arsenal v ","H","A"))</f>
        <v>H</v>
      </c>
      <c r="J1788" s="15" t="s">
        <v>861</v>
      </c>
    </row>
    <row r="1789" customFormat="false" ht="15" hidden="false" customHeight="false" outlineLevel="0" collapsed="false">
      <c r="A1789" s="14" t="n">
        <v>44136</v>
      </c>
      <c r="B1789" s="15" t="s">
        <v>490</v>
      </c>
      <c r="C1789" s="15" t="s">
        <v>702</v>
      </c>
      <c r="D1789" s="15" t="s">
        <v>383</v>
      </c>
      <c r="E1789" s="15" t="s">
        <v>356</v>
      </c>
      <c r="F1789" s="15"/>
      <c r="G1789" s="15" t="s">
        <v>125</v>
      </c>
      <c r="H1789" s="15" t="str">
        <f aca="false">IF(LEFT(B1789,10)="Arsenal v ",MID(B1789,11,100),LEFT(B1789,FIND(" v ",B1789)-1))</f>
        <v>Manchester United</v>
      </c>
      <c r="I1789" s="15" t="str">
        <f aca="false">IF(F1789&lt;&gt;"","N",IF(LEFT(B1789,10)="Arsenal v ","H","A"))</f>
        <v>A</v>
      </c>
      <c r="J1789" s="15" t="s">
        <v>861</v>
      </c>
    </row>
    <row r="1790" customFormat="false" ht="15" hidden="false" customHeight="false" outlineLevel="0" collapsed="false">
      <c r="A1790" s="14" t="n">
        <v>44140</v>
      </c>
      <c r="B1790" s="15" t="s">
        <v>864</v>
      </c>
      <c r="C1790" s="15" t="s">
        <v>702</v>
      </c>
      <c r="D1790" s="15" t="s">
        <v>397</v>
      </c>
      <c r="E1790" s="15" t="s">
        <v>346</v>
      </c>
      <c r="F1790" s="15"/>
      <c r="G1790" s="15" t="s">
        <v>125</v>
      </c>
      <c r="H1790" s="15" t="str">
        <f aca="false">IF(LEFT(B1790,10)="Arsenal v ",MID(B1790,11,100),LEFT(B1790,FIND(" v ",B1790)-1))</f>
        <v>Molde</v>
      </c>
      <c r="I1790" s="15" t="str">
        <f aca="false">IF(F1790&lt;&gt;"","N",IF(LEFT(B1790,10)="Arsenal v ","H","A"))</f>
        <v>H</v>
      </c>
      <c r="J1790" s="15" t="s">
        <v>861</v>
      </c>
    </row>
    <row r="1791" customFormat="false" ht="15" hidden="false" customHeight="false" outlineLevel="0" collapsed="false">
      <c r="A1791" s="14" t="n">
        <v>44143</v>
      </c>
      <c r="B1791" s="15" t="s">
        <v>703</v>
      </c>
      <c r="C1791" s="15" t="s">
        <v>704</v>
      </c>
      <c r="D1791" s="15" t="s">
        <v>363</v>
      </c>
      <c r="E1791" s="15" t="s">
        <v>356</v>
      </c>
      <c r="F1791" s="15"/>
      <c r="G1791" s="15" t="s">
        <v>125</v>
      </c>
      <c r="H1791" s="15" t="str">
        <f aca="false">IF(LEFT(B1791,10)="Arsenal v ",MID(B1791,11,100),LEFT(B1791,FIND(" v ",B1791)-1))</f>
        <v>Aston Villa</v>
      </c>
      <c r="I1791" s="15" t="str">
        <f aca="false">IF(F1791&lt;&gt;"","N",IF(LEFT(B1791,10)="Arsenal v ","H","A"))</f>
        <v>H</v>
      </c>
      <c r="J1791" s="15" t="s">
        <v>861</v>
      </c>
    </row>
    <row r="1792" customFormat="false" ht="15" hidden="false" customHeight="false" outlineLevel="0" collapsed="false">
      <c r="A1792" s="14" t="n">
        <v>44157</v>
      </c>
      <c r="B1792" s="15" t="s">
        <v>473</v>
      </c>
      <c r="C1792" s="15" t="s">
        <v>706</v>
      </c>
      <c r="D1792" s="15" t="s">
        <v>369</v>
      </c>
      <c r="E1792" s="15" t="s">
        <v>356</v>
      </c>
      <c r="F1792" s="15"/>
      <c r="G1792" s="15" t="s">
        <v>125</v>
      </c>
      <c r="H1792" s="15" t="str">
        <f aca="false">IF(LEFT(B1792,10)="Arsenal v ",MID(B1792,11,100),LEFT(B1792,FIND(" v ",B1792)-1))</f>
        <v>Leeds United</v>
      </c>
      <c r="I1792" s="15" t="str">
        <f aca="false">IF(F1792&lt;&gt;"","N",IF(LEFT(B1792,10)="Arsenal v ","H","A"))</f>
        <v>A</v>
      </c>
      <c r="J1792" s="15" t="s">
        <v>861</v>
      </c>
    </row>
    <row r="1793" customFormat="false" ht="15" hidden="false" customHeight="false" outlineLevel="0" collapsed="false">
      <c r="A1793" s="14" t="n">
        <v>44161</v>
      </c>
      <c r="B1793" s="15" t="s">
        <v>497</v>
      </c>
      <c r="C1793" s="15" t="s">
        <v>702</v>
      </c>
      <c r="D1793" s="15" t="s">
        <v>363</v>
      </c>
      <c r="E1793" s="15" t="s">
        <v>346</v>
      </c>
      <c r="F1793" s="15"/>
      <c r="G1793" s="15" t="s">
        <v>125</v>
      </c>
      <c r="H1793" s="15" t="str">
        <f aca="false">IF(LEFT(B1793,10)="Arsenal v ",MID(B1793,11,100),LEFT(B1793,FIND(" v ",B1793)-1))</f>
        <v>Molde</v>
      </c>
      <c r="I1793" s="15" t="str">
        <f aca="false">IF(F1793&lt;&gt;"","N",IF(LEFT(B1793,10)="Arsenal v ","H","A"))</f>
        <v>A</v>
      </c>
      <c r="J1793" s="15" t="s">
        <v>861</v>
      </c>
    </row>
    <row r="1794" customFormat="false" ht="15" hidden="false" customHeight="false" outlineLevel="0" collapsed="false">
      <c r="A1794" s="14" t="n">
        <v>44164</v>
      </c>
      <c r="B1794" s="15" t="s">
        <v>762</v>
      </c>
      <c r="C1794" s="15" t="s">
        <v>704</v>
      </c>
      <c r="D1794" s="15" t="s">
        <v>360</v>
      </c>
      <c r="E1794" s="15" t="s">
        <v>356</v>
      </c>
      <c r="F1794" s="15"/>
      <c r="G1794" s="15" t="s">
        <v>125</v>
      </c>
      <c r="H1794" s="15" t="str">
        <f aca="false">IF(LEFT(B1794,10)="Arsenal v ",MID(B1794,11,100),LEFT(B1794,FIND(" v ",B1794)-1))</f>
        <v>Wolverhampton Wanderers</v>
      </c>
      <c r="I1794" s="15" t="str">
        <f aca="false">IF(F1794&lt;&gt;"","N",IF(LEFT(B1794,10)="Arsenal v ","H","A"))</f>
        <v>H</v>
      </c>
      <c r="J1794" s="15" t="s">
        <v>861</v>
      </c>
    </row>
    <row r="1795" customFormat="false" ht="15" hidden="false" customHeight="false" outlineLevel="0" collapsed="false">
      <c r="A1795" s="14" t="n">
        <v>44168</v>
      </c>
      <c r="B1795" s="15" t="s">
        <v>865</v>
      </c>
      <c r="C1795" s="15" t="s">
        <v>702</v>
      </c>
      <c r="D1795" s="15" t="s">
        <v>397</v>
      </c>
      <c r="E1795" s="15" t="s">
        <v>346</v>
      </c>
      <c r="F1795" s="15"/>
      <c r="G1795" s="15" t="s">
        <v>125</v>
      </c>
      <c r="H1795" s="15" t="str">
        <f aca="false">IF(LEFT(B1795,10)="Arsenal v ",MID(B1795,11,100),LEFT(B1795,FIND(" v ",B1795)-1))</f>
        <v>Rapid Wien</v>
      </c>
      <c r="I1795" s="15" t="str">
        <f aca="false">IF(F1795&lt;&gt;"","N",IF(LEFT(B1795,10)="Arsenal v ","H","A"))</f>
        <v>H</v>
      </c>
      <c r="J1795" s="15" t="s">
        <v>861</v>
      </c>
    </row>
    <row r="1796" customFormat="false" ht="15" hidden="false" customHeight="false" outlineLevel="0" collapsed="false">
      <c r="A1796" s="14" t="n">
        <v>44171</v>
      </c>
      <c r="B1796" s="15" t="s">
        <v>561</v>
      </c>
      <c r="C1796" s="15" t="s">
        <v>704</v>
      </c>
      <c r="D1796" s="15" t="s">
        <v>351</v>
      </c>
      <c r="E1796" s="15" t="s">
        <v>356</v>
      </c>
      <c r="F1796" s="15"/>
      <c r="G1796" s="15" t="s">
        <v>125</v>
      </c>
      <c r="H1796" s="15" t="str">
        <f aca="false">IF(LEFT(B1796,10)="Arsenal v ",MID(B1796,11,100),LEFT(B1796,FIND(" v ",B1796)-1))</f>
        <v>Tottenham Hotspur</v>
      </c>
      <c r="I1796" s="15" t="str">
        <f aca="false">IF(F1796&lt;&gt;"","N",IF(LEFT(B1796,10)="Arsenal v ","H","A"))</f>
        <v>A</v>
      </c>
      <c r="J1796" s="15" t="s">
        <v>861</v>
      </c>
    </row>
    <row r="1797" customFormat="false" ht="15" hidden="false" customHeight="false" outlineLevel="0" collapsed="false">
      <c r="A1797" s="14" t="n">
        <v>44175</v>
      </c>
      <c r="B1797" s="15" t="s">
        <v>445</v>
      </c>
      <c r="C1797" s="15" t="s">
        <v>702</v>
      </c>
      <c r="D1797" s="15" t="s">
        <v>384</v>
      </c>
      <c r="E1797" s="15" t="s">
        <v>346</v>
      </c>
      <c r="F1797" s="15"/>
      <c r="G1797" s="15" t="s">
        <v>125</v>
      </c>
      <c r="H1797" s="15" t="str">
        <f aca="false">IF(LEFT(B1797,10)="Arsenal v ",MID(B1797,11,100),LEFT(B1797,FIND(" v ",B1797)-1))</f>
        <v>Dundalk</v>
      </c>
      <c r="I1797" s="15" t="str">
        <f aca="false">IF(F1797&lt;&gt;"","N",IF(LEFT(B1797,10)="Arsenal v ","H","A"))</f>
        <v>A</v>
      </c>
      <c r="J1797" s="15" t="s">
        <v>861</v>
      </c>
    </row>
    <row r="1798" customFormat="false" ht="15" hidden="false" customHeight="false" outlineLevel="0" collapsed="false">
      <c r="A1798" s="14" t="n">
        <v>44178</v>
      </c>
      <c r="B1798" s="15" t="s">
        <v>822</v>
      </c>
      <c r="C1798" s="15" t="s">
        <v>704</v>
      </c>
      <c r="D1798" s="15" t="s">
        <v>383</v>
      </c>
      <c r="E1798" s="15" t="s">
        <v>356</v>
      </c>
      <c r="F1798" s="15"/>
      <c r="G1798" s="15" t="s">
        <v>125</v>
      </c>
      <c r="H1798" s="15" t="str">
        <f aca="false">IF(LEFT(B1798,10)="Arsenal v ",MID(B1798,11,100),LEFT(B1798,FIND(" v ",B1798)-1))</f>
        <v>Burnley</v>
      </c>
      <c r="I1798" s="15" t="str">
        <f aca="false">IF(F1798&lt;&gt;"","N",IF(LEFT(B1798,10)="Arsenal v ","H","A"))</f>
        <v>H</v>
      </c>
      <c r="J1798" s="15" t="s">
        <v>861</v>
      </c>
    </row>
    <row r="1799" customFormat="false" ht="15" hidden="false" customHeight="false" outlineLevel="0" collapsed="false">
      <c r="A1799" s="14" t="n">
        <v>44181</v>
      </c>
      <c r="B1799" s="15" t="s">
        <v>705</v>
      </c>
      <c r="C1799" s="15" t="s">
        <v>706</v>
      </c>
      <c r="D1799" s="15" t="s">
        <v>361</v>
      </c>
      <c r="E1799" s="15" t="s">
        <v>356</v>
      </c>
      <c r="F1799" s="15"/>
      <c r="G1799" s="15" t="s">
        <v>125</v>
      </c>
      <c r="H1799" s="15" t="str">
        <f aca="false">IF(LEFT(B1799,10)="Arsenal v ",MID(B1799,11,100),LEFT(B1799,FIND(" v ",B1799)-1))</f>
        <v>Southampton</v>
      </c>
      <c r="I1799" s="15" t="str">
        <f aca="false">IF(F1799&lt;&gt;"","N",IF(LEFT(B1799,10)="Arsenal v ","H","A"))</f>
        <v>H</v>
      </c>
      <c r="J1799" s="15" t="s">
        <v>861</v>
      </c>
    </row>
    <row r="1800" customFormat="false" ht="15" hidden="false" customHeight="false" outlineLevel="0" collapsed="false">
      <c r="A1800" s="14" t="n">
        <v>44184</v>
      </c>
      <c r="B1800" s="15" t="s">
        <v>448</v>
      </c>
      <c r="C1800" s="15" t="s">
        <v>704</v>
      </c>
      <c r="D1800" s="15" t="s">
        <v>359</v>
      </c>
      <c r="E1800" s="15" t="s">
        <v>356</v>
      </c>
      <c r="F1800" s="15"/>
      <c r="G1800" s="15" t="s">
        <v>125</v>
      </c>
      <c r="H1800" s="15" t="str">
        <f aca="false">IF(LEFT(B1800,10)="Arsenal v ",MID(B1800,11,100),LEFT(B1800,FIND(" v ",B1800)-1))</f>
        <v>Everton</v>
      </c>
      <c r="I1800" s="15" t="str">
        <f aca="false">IF(F1800&lt;&gt;"","N",IF(LEFT(B1800,10)="Arsenal v ","H","A"))</f>
        <v>A</v>
      </c>
      <c r="J1800" s="15" t="s">
        <v>861</v>
      </c>
    </row>
    <row r="1801" customFormat="false" ht="15" hidden="false" customHeight="false" outlineLevel="0" collapsed="false">
      <c r="A1801" s="14" t="n">
        <v>44187</v>
      </c>
      <c r="B1801" s="15" t="s">
        <v>657</v>
      </c>
      <c r="C1801" s="15" t="s">
        <v>704</v>
      </c>
      <c r="D1801" s="15" t="s">
        <v>407</v>
      </c>
      <c r="E1801" s="15" t="s">
        <v>379</v>
      </c>
      <c r="F1801" s="15"/>
      <c r="G1801" s="15" t="s">
        <v>125</v>
      </c>
      <c r="H1801" s="15" t="str">
        <f aca="false">IF(LEFT(B1801,10)="Arsenal v ",MID(B1801,11,100),LEFT(B1801,FIND(" v ",B1801)-1))</f>
        <v>Manchester City</v>
      </c>
      <c r="I1801" s="15" t="str">
        <f aca="false">IF(F1801&lt;&gt;"","N",IF(LEFT(B1801,10)="Arsenal v ","H","A"))</f>
        <v>H</v>
      </c>
      <c r="J1801" s="15" t="s">
        <v>861</v>
      </c>
    </row>
    <row r="1802" customFormat="false" ht="15" hidden="false" customHeight="false" outlineLevel="0" collapsed="false">
      <c r="A1802" s="14" t="n">
        <v>44191</v>
      </c>
      <c r="B1802" s="15" t="s">
        <v>725</v>
      </c>
      <c r="C1802" s="15" t="s">
        <v>702</v>
      </c>
      <c r="D1802" s="15" t="s">
        <v>377</v>
      </c>
      <c r="E1802" s="15" t="s">
        <v>356</v>
      </c>
      <c r="F1802" s="15"/>
      <c r="G1802" s="15" t="s">
        <v>125</v>
      </c>
      <c r="H1802" s="15" t="str">
        <f aca="false">IF(LEFT(B1802,10)="Arsenal v ",MID(B1802,11,100),LEFT(B1802,FIND(" v ",B1802)-1))</f>
        <v>Chelsea</v>
      </c>
      <c r="I1802" s="15" t="str">
        <f aca="false">IF(F1802&lt;&gt;"","N",IF(LEFT(B1802,10)="Arsenal v ","H","A"))</f>
        <v>H</v>
      </c>
      <c r="J1802" s="15" t="s">
        <v>861</v>
      </c>
    </row>
    <row r="1803" customFormat="false" ht="15" hidden="false" customHeight="false" outlineLevel="0" collapsed="false">
      <c r="A1803" s="14" t="n">
        <v>44194</v>
      </c>
      <c r="B1803" s="15" t="s">
        <v>417</v>
      </c>
      <c r="C1803" s="15" t="s">
        <v>702</v>
      </c>
      <c r="D1803" s="15" t="s">
        <v>383</v>
      </c>
      <c r="E1803" s="15" t="s">
        <v>356</v>
      </c>
      <c r="F1803" s="15"/>
      <c r="G1803" s="15" t="s">
        <v>125</v>
      </c>
      <c r="H1803" s="15" t="str">
        <f aca="false">IF(LEFT(B1803,10)="Arsenal v ",MID(B1803,11,100),LEFT(B1803,FIND(" v ",B1803)-1))</f>
        <v>Brighton and Hove Albion</v>
      </c>
      <c r="I1803" s="15" t="str">
        <f aca="false">IF(F1803&lt;&gt;"","N",IF(LEFT(B1803,10)="Arsenal v ","H","A"))</f>
        <v>A</v>
      </c>
      <c r="J1803" s="15" t="s">
        <v>861</v>
      </c>
    </row>
    <row r="1804" customFormat="false" ht="15" hidden="false" customHeight="false" outlineLevel="0" collapsed="false">
      <c r="A1804" s="14" t="n">
        <v>44198</v>
      </c>
      <c r="B1804" s="15" t="s">
        <v>571</v>
      </c>
      <c r="C1804" s="15" t="s">
        <v>702</v>
      </c>
      <c r="D1804" s="15" t="s">
        <v>365</v>
      </c>
      <c r="E1804" s="15" t="s">
        <v>356</v>
      </c>
      <c r="F1804" s="15"/>
      <c r="G1804" s="15" t="s">
        <v>125</v>
      </c>
      <c r="H1804" s="15" t="str">
        <f aca="false">IF(LEFT(B1804,10)="Arsenal v ",MID(B1804,11,100),LEFT(B1804,FIND(" v ",B1804)-1))</f>
        <v>West Bromwich Albion</v>
      </c>
      <c r="I1804" s="15" t="str">
        <f aca="false">IF(F1804&lt;&gt;"","N",IF(LEFT(B1804,10)="Arsenal v ","H","A"))</f>
        <v>A</v>
      </c>
      <c r="J1804" s="15" t="s">
        <v>861</v>
      </c>
    </row>
    <row r="1805" customFormat="false" ht="15" hidden="false" customHeight="false" outlineLevel="0" collapsed="false">
      <c r="A1805" s="14" t="n">
        <v>44205</v>
      </c>
      <c r="B1805" s="15" t="s">
        <v>719</v>
      </c>
      <c r="C1805" s="15" t="s">
        <v>702</v>
      </c>
      <c r="D1805" s="15" t="s">
        <v>351</v>
      </c>
      <c r="E1805" s="15" t="s">
        <v>362</v>
      </c>
      <c r="F1805" s="15"/>
      <c r="G1805" s="15" t="s">
        <v>125</v>
      </c>
      <c r="H1805" s="15" t="str">
        <f aca="false">IF(LEFT(B1805,10)="Arsenal v ",MID(B1805,11,100),LEFT(B1805,FIND(" v ",B1805)-1))</f>
        <v>Newcastle United</v>
      </c>
      <c r="I1805" s="15" t="str">
        <f aca="false">IF(F1805&lt;&gt;"","N",IF(LEFT(B1805,10)="Arsenal v ","H","A"))</f>
        <v>H</v>
      </c>
      <c r="J1805" s="15" t="s">
        <v>861</v>
      </c>
    </row>
    <row r="1806" customFormat="false" ht="15" hidden="false" customHeight="false" outlineLevel="0" collapsed="false">
      <c r="A1806" s="14" t="n">
        <v>44210</v>
      </c>
      <c r="B1806" s="15" t="s">
        <v>724</v>
      </c>
      <c r="C1806" s="15" t="s">
        <v>706</v>
      </c>
      <c r="D1806" s="15" t="s">
        <v>369</v>
      </c>
      <c r="E1806" s="15" t="s">
        <v>356</v>
      </c>
      <c r="F1806" s="15"/>
      <c r="G1806" s="15" t="s">
        <v>125</v>
      </c>
      <c r="H1806" s="15" t="str">
        <f aca="false">IF(LEFT(B1806,10)="Arsenal v ",MID(B1806,11,100),LEFT(B1806,FIND(" v ",B1806)-1))</f>
        <v>Crystal Palace</v>
      </c>
      <c r="I1806" s="15" t="str">
        <f aca="false">IF(F1806&lt;&gt;"","N",IF(LEFT(B1806,10)="Arsenal v ","H","A"))</f>
        <v>H</v>
      </c>
      <c r="J1806" s="15" t="s">
        <v>861</v>
      </c>
    </row>
    <row r="1807" customFormat="false" ht="15" hidden="false" customHeight="false" outlineLevel="0" collapsed="false">
      <c r="A1807" s="14" t="n">
        <v>44214</v>
      </c>
      <c r="B1807" s="15" t="s">
        <v>719</v>
      </c>
      <c r="C1807" s="15" t="s">
        <v>702</v>
      </c>
      <c r="D1807" s="15" t="s">
        <v>434</v>
      </c>
      <c r="E1807" s="15" t="s">
        <v>356</v>
      </c>
      <c r="F1807" s="15"/>
      <c r="G1807" s="15" t="s">
        <v>125</v>
      </c>
      <c r="H1807" s="15" t="str">
        <f aca="false">IF(LEFT(B1807,10)="Arsenal v ",MID(B1807,11,100),LEFT(B1807,FIND(" v ",B1807)-1))</f>
        <v>Newcastle United</v>
      </c>
      <c r="I1807" s="15" t="str">
        <f aca="false">IF(F1807&lt;&gt;"","N",IF(LEFT(B1807,10)="Arsenal v ","H","A"))</f>
        <v>H</v>
      </c>
      <c r="J1807" s="15" t="s">
        <v>861</v>
      </c>
    </row>
    <row r="1808" customFormat="false" ht="15" hidden="false" customHeight="false" outlineLevel="0" collapsed="false">
      <c r="A1808" s="14" t="n">
        <v>44219</v>
      </c>
      <c r="B1808" s="15" t="s">
        <v>546</v>
      </c>
      <c r="C1808" s="15" t="s">
        <v>704</v>
      </c>
      <c r="D1808" s="15" t="s">
        <v>348</v>
      </c>
      <c r="E1808" s="15" t="s">
        <v>362</v>
      </c>
      <c r="F1808" s="15"/>
      <c r="G1808" s="15" t="s">
        <v>125</v>
      </c>
      <c r="H1808" s="15" t="str">
        <f aca="false">IF(LEFT(B1808,10)="Arsenal v ",MID(B1808,11,100),LEFT(B1808,FIND(" v ",B1808)-1))</f>
        <v>Southampton</v>
      </c>
      <c r="I1808" s="15" t="str">
        <f aca="false">IF(F1808&lt;&gt;"","N",IF(LEFT(B1808,10)="Arsenal v ","H","A"))</f>
        <v>A</v>
      </c>
      <c r="J1808" s="15" t="s">
        <v>861</v>
      </c>
    </row>
    <row r="1809" customFormat="false" ht="15" hidden="false" customHeight="false" outlineLevel="0" collapsed="false">
      <c r="A1809" s="14" t="n">
        <v>44222</v>
      </c>
      <c r="B1809" s="15" t="s">
        <v>546</v>
      </c>
      <c r="C1809" s="15" t="s">
        <v>702</v>
      </c>
      <c r="D1809" s="15" t="s">
        <v>373</v>
      </c>
      <c r="E1809" s="15" t="s">
        <v>356</v>
      </c>
      <c r="F1809" s="15"/>
      <c r="G1809" s="15" t="s">
        <v>125</v>
      </c>
      <c r="H1809" s="15" t="str">
        <f aca="false">IF(LEFT(B1809,10)="Arsenal v ",MID(B1809,11,100),LEFT(B1809,FIND(" v ",B1809)-1))</f>
        <v>Southampton</v>
      </c>
      <c r="I1809" s="15" t="str">
        <f aca="false">IF(F1809&lt;&gt;"","N",IF(LEFT(B1809,10)="Arsenal v ","H","A"))</f>
        <v>A</v>
      </c>
      <c r="J1809" s="15" t="s">
        <v>861</v>
      </c>
    </row>
    <row r="1810" customFormat="false" ht="15" hidden="false" customHeight="false" outlineLevel="0" collapsed="false">
      <c r="A1810" s="14" t="n">
        <v>44226</v>
      </c>
      <c r="B1810" s="15" t="s">
        <v>656</v>
      </c>
      <c r="C1810" s="15" t="s">
        <v>706</v>
      </c>
      <c r="D1810" s="15" t="s">
        <v>369</v>
      </c>
      <c r="E1810" s="15" t="s">
        <v>356</v>
      </c>
      <c r="F1810" s="15"/>
      <c r="G1810" s="15" t="s">
        <v>125</v>
      </c>
      <c r="H1810" s="15" t="str">
        <f aca="false">IF(LEFT(B1810,10)="Arsenal v ",MID(B1810,11,100),LEFT(B1810,FIND(" v ",B1810)-1))</f>
        <v>Manchester United</v>
      </c>
      <c r="I1810" s="15" t="str">
        <f aca="false">IF(F1810&lt;&gt;"","N",IF(LEFT(B1810,10)="Arsenal v ","H","A"))</f>
        <v>H</v>
      </c>
      <c r="J1810" s="15" t="s">
        <v>861</v>
      </c>
    </row>
    <row r="1811" customFormat="false" ht="15" hidden="false" customHeight="false" outlineLevel="0" collapsed="false">
      <c r="A1811" s="14" t="n">
        <v>44229</v>
      </c>
      <c r="B1811" s="15" t="s">
        <v>575</v>
      </c>
      <c r="C1811" s="15" t="s">
        <v>704</v>
      </c>
      <c r="D1811" s="15" t="s">
        <v>359</v>
      </c>
      <c r="E1811" s="15" t="s">
        <v>356</v>
      </c>
      <c r="F1811" s="15"/>
      <c r="G1811" s="15" t="s">
        <v>125</v>
      </c>
      <c r="H1811" s="15" t="str">
        <f aca="false">IF(LEFT(B1811,10)="Arsenal v ",MID(B1811,11,100),LEFT(B1811,FIND(" v ",B1811)-1))</f>
        <v>Wolverhampton Wanderers</v>
      </c>
      <c r="I1811" s="15" t="str">
        <f aca="false">IF(F1811&lt;&gt;"","N",IF(LEFT(B1811,10)="Arsenal v ","H","A"))</f>
        <v>A</v>
      </c>
      <c r="J1811" s="15" t="s">
        <v>861</v>
      </c>
    </row>
    <row r="1812" customFormat="false" ht="15" hidden="false" customHeight="false" outlineLevel="0" collapsed="false">
      <c r="A1812" s="14" t="n">
        <v>44233</v>
      </c>
      <c r="B1812" s="15" t="s">
        <v>376</v>
      </c>
      <c r="C1812" s="15" t="s">
        <v>704</v>
      </c>
      <c r="D1812" s="15" t="s">
        <v>348</v>
      </c>
      <c r="E1812" s="15" t="s">
        <v>356</v>
      </c>
      <c r="F1812" s="15"/>
      <c r="G1812" s="15" t="s">
        <v>125</v>
      </c>
      <c r="H1812" s="15" t="str">
        <f aca="false">IF(LEFT(B1812,10)="Arsenal v ",MID(B1812,11,100),LEFT(B1812,FIND(" v ",B1812)-1))</f>
        <v>Aston Villa</v>
      </c>
      <c r="I1812" s="15" t="str">
        <f aca="false">IF(F1812&lt;&gt;"","N",IF(LEFT(B1812,10)="Arsenal v ","H","A"))</f>
        <v>A</v>
      </c>
      <c r="J1812" s="15" t="s">
        <v>861</v>
      </c>
    </row>
    <row r="1813" customFormat="false" ht="15" hidden="false" customHeight="false" outlineLevel="0" collapsed="false">
      <c r="A1813" s="14" t="n">
        <v>44241</v>
      </c>
      <c r="B1813" s="15" t="s">
        <v>729</v>
      </c>
      <c r="C1813" s="15" t="s">
        <v>702</v>
      </c>
      <c r="D1813" s="15" t="s">
        <v>479</v>
      </c>
      <c r="E1813" s="15" t="s">
        <v>356</v>
      </c>
      <c r="F1813" s="15"/>
      <c r="G1813" s="15" t="s">
        <v>125</v>
      </c>
      <c r="H1813" s="15" t="str">
        <f aca="false">IF(LEFT(B1813,10)="Arsenal v ",MID(B1813,11,100),LEFT(B1813,FIND(" v ",B1813)-1))</f>
        <v>Leeds United</v>
      </c>
      <c r="I1813" s="15" t="str">
        <f aca="false">IF(F1813&lt;&gt;"","N",IF(LEFT(B1813,10)="Arsenal v ","H","A"))</f>
        <v>H</v>
      </c>
      <c r="J1813" s="15" t="s">
        <v>861</v>
      </c>
    </row>
    <row r="1814" customFormat="false" ht="15" hidden="false" customHeight="false" outlineLevel="0" collapsed="false">
      <c r="A1814" s="14" t="n">
        <v>44245</v>
      </c>
      <c r="B1814" s="15" t="s">
        <v>403</v>
      </c>
      <c r="C1814" s="15" t="s">
        <v>706</v>
      </c>
      <c r="D1814" s="15" t="s">
        <v>361</v>
      </c>
      <c r="E1814" s="15" t="s">
        <v>346</v>
      </c>
      <c r="F1814" s="15"/>
      <c r="G1814" s="15" t="s">
        <v>125</v>
      </c>
      <c r="H1814" s="15" t="str">
        <f aca="false">IF(LEFT(B1814,10)="Arsenal v ",MID(B1814,11,100),LEFT(B1814,FIND(" v ",B1814)-1))</f>
        <v>Benfica</v>
      </c>
      <c r="I1814" s="15" t="str">
        <f aca="false">IF(F1814&lt;&gt;"","N",IF(LEFT(B1814,10)="Arsenal v ","H","A"))</f>
        <v>A</v>
      </c>
      <c r="J1814" s="15" t="s">
        <v>861</v>
      </c>
    </row>
    <row r="1815" customFormat="false" ht="15" hidden="false" customHeight="false" outlineLevel="0" collapsed="false">
      <c r="A1815" s="14" t="n">
        <v>44248</v>
      </c>
      <c r="B1815" s="15" t="s">
        <v>657</v>
      </c>
      <c r="C1815" s="15" t="s">
        <v>704</v>
      </c>
      <c r="D1815" s="15" t="s">
        <v>383</v>
      </c>
      <c r="E1815" s="15" t="s">
        <v>356</v>
      </c>
      <c r="F1815" s="15"/>
      <c r="G1815" s="15" t="s">
        <v>125</v>
      </c>
      <c r="H1815" s="15" t="str">
        <f aca="false">IF(LEFT(B1815,10)="Arsenal v ",MID(B1815,11,100),LEFT(B1815,FIND(" v ",B1815)-1))</f>
        <v>Manchester City</v>
      </c>
      <c r="I1815" s="15" t="str">
        <f aca="false">IF(F1815&lt;&gt;"","N",IF(LEFT(B1815,10)="Arsenal v ","H","A"))</f>
        <v>H</v>
      </c>
      <c r="J1815" s="15" t="s">
        <v>861</v>
      </c>
    </row>
    <row r="1816" customFormat="false" ht="15" hidden="false" customHeight="false" outlineLevel="0" collapsed="false">
      <c r="A1816" s="14" t="n">
        <v>44252</v>
      </c>
      <c r="B1816" s="15" t="s">
        <v>670</v>
      </c>
      <c r="C1816" s="15" t="s">
        <v>702</v>
      </c>
      <c r="D1816" s="15" t="s">
        <v>382</v>
      </c>
      <c r="E1816" s="15" t="s">
        <v>346</v>
      </c>
      <c r="F1816" s="15"/>
      <c r="G1816" s="15" t="s">
        <v>125</v>
      </c>
      <c r="H1816" s="15" t="str">
        <f aca="false">IF(LEFT(B1816,10)="Arsenal v ",MID(B1816,11,100),LEFT(B1816,FIND(" v ",B1816)-1))</f>
        <v>Benfica</v>
      </c>
      <c r="I1816" s="15" t="str">
        <f aca="false">IF(F1816&lt;&gt;"","N",IF(LEFT(B1816,10)="Arsenal v ","H","A"))</f>
        <v>H</v>
      </c>
      <c r="J1816" s="15" t="s">
        <v>861</v>
      </c>
    </row>
    <row r="1817" customFormat="false" ht="15" hidden="false" customHeight="false" outlineLevel="0" collapsed="false">
      <c r="A1817" s="14" t="n">
        <v>44255</v>
      </c>
      <c r="B1817" s="15" t="s">
        <v>474</v>
      </c>
      <c r="C1817" s="15" t="s">
        <v>702</v>
      </c>
      <c r="D1817" s="15" t="s">
        <v>373</v>
      </c>
      <c r="E1817" s="15" t="s">
        <v>356</v>
      </c>
      <c r="F1817" s="15"/>
      <c r="G1817" s="15" t="s">
        <v>125</v>
      </c>
      <c r="H1817" s="15" t="str">
        <f aca="false">IF(LEFT(B1817,10)="Arsenal v ",MID(B1817,11,100),LEFT(B1817,FIND(" v ",B1817)-1))</f>
        <v>Leicester City</v>
      </c>
      <c r="I1817" s="15" t="str">
        <f aca="false">IF(F1817&lt;&gt;"","N",IF(LEFT(B1817,10)="Arsenal v ","H","A"))</f>
        <v>A</v>
      </c>
      <c r="J1817" s="15" t="s">
        <v>861</v>
      </c>
    </row>
    <row r="1818" customFormat="false" ht="15" hidden="false" customHeight="false" outlineLevel="0" collapsed="false">
      <c r="A1818" s="14" t="n">
        <v>44261</v>
      </c>
      <c r="B1818" s="15" t="s">
        <v>419</v>
      </c>
      <c r="C1818" s="15" t="s">
        <v>706</v>
      </c>
      <c r="D1818" s="15" t="s">
        <v>361</v>
      </c>
      <c r="E1818" s="15" t="s">
        <v>356</v>
      </c>
      <c r="F1818" s="15"/>
      <c r="G1818" s="15" t="s">
        <v>125</v>
      </c>
      <c r="H1818" s="15" t="str">
        <f aca="false">IF(LEFT(B1818,10)="Arsenal v ",MID(B1818,11,100),LEFT(B1818,FIND(" v ",B1818)-1))</f>
        <v>Burnley</v>
      </c>
      <c r="I1818" s="15" t="str">
        <f aca="false">IF(F1818&lt;&gt;"","N",IF(LEFT(B1818,10)="Arsenal v ","H","A"))</f>
        <v>A</v>
      </c>
      <c r="J1818" s="15" t="s">
        <v>861</v>
      </c>
    </row>
    <row r="1819" customFormat="false" ht="15" hidden="false" customHeight="false" outlineLevel="0" collapsed="false">
      <c r="A1819" s="14" t="n">
        <v>44266</v>
      </c>
      <c r="B1819" s="15" t="s">
        <v>507</v>
      </c>
      <c r="C1819" s="15" t="s">
        <v>702</v>
      </c>
      <c r="D1819" s="15" t="s">
        <v>373</v>
      </c>
      <c r="E1819" s="15" t="s">
        <v>346</v>
      </c>
      <c r="F1819" s="15"/>
      <c r="G1819" s="15" t="s">
        <v>125</v>
      </c>
      <c r="H1819" s="15" t="str">
        <f aca="false">IF(LEFT(B1819,10)="Arsenal v ",MID(B1819,11,100),LEFT(B1819,FIND(" v ",B1819)-1))</f>
        <v>Olympiakos</v>
      </c>
      <c r="I1819" s="15" t="str">
        <f aca="false">IF(F1819&lt;&gt;"","N",IF(LEFT(B1819,10)="Arsenal v ","H","A"))</f>
        <v>A</v>
      </c>
      <c r="J1819" s="15" t="s">
        <v>861</v>
      </c>
    </row>
    <row r="1820" customFormat="false" ht="15" hidden="false" customHeight="false" outlineLevel="0" collapsed="false">
      <c r="A1820" s="14" t="n">
        <v>44269</v>
      </c>
      <c r="B1820" s="15" t="s">
        <v>655</v>
      </c>
      <c r="C1820" s="15" t="s">
        <v>702</v>
      </c>
      <c r="D1820" s="15" t="s">
        <v>359</v>
      </c>
      <c r="E1820" s="15" t="s">
        <v>356</v>
      </c>
      <c r="F1820" s="15"/>
      <c r="G1820" s="15" t="s">
        <v>125</v>
      </c>
      <c r="H1820" s="15" t="str">
        <f aca="false">IF(LEFT(B1820,10)="Arsenal v ",MID(B1820,11,100),LEFT(B1820,FIND(" v ",B1820)-1))</f>
        <v>Tottenham Hotspur</v>
      </c>
      <c r="I1820" s="15" t="str">
        <f aca="false">IF(F1820&lt;&gt;"","N",IF(LEFT(B1820,10)="Arsenal v ","H","A"))</f>
        <v>H</v>
      </c>
      <c r="J1820" s="15" t="s">
        <v>861</v>
      </c>
    </row>
    <row r="1821" customFormat="false" ht="15" hidden="false" customHeight="false" outlineLevel="0" collapsed="false">
      <c r="A1821" s="14" t="n">
        <v>44273</v>
      </c>
      <c r="B1821" s="15" t="s">
        <v>824</v>
      </c>
      <c r="C1821" s="15" t="s">
        <v>704</v>
      </c>
      <c r="D1821" s="15" t="s">
        <v>383</v>
      </c>
      <c r="E1821" s="15" t="s">
        <v>346</v>
      </c>
      <c r="F1821" s="15"/>
      <c r="G1821" s="15" t="s">
        <v>125</v>
      </c>
      <c r="H1821" s="15" t="str">
        <f aca="false">IF(LEFT(B1821,10)="Arsenal v ",MID(B1821,11,100),LEFT(B1821,FIND(" v ",B1821)-1))</f>
        <v>Olympiakos</v>
      </c>
      <c r="I1821" s="15" t="str">
        <f aca="false">IF(F1821&lt;&gt;"","N",IF(LEFT(B1821,10)="Arsenal v ","H","A"))</f>
        <v>H</v>
      </c>
      <c r="J1821" s="15" t="s">
        <v>861</v>
      </c>
    </row>
    <row r="1822" customFormat="false" ht="15" hidden="false" customHeight="false" outlineLevel="0" collapsed="false">
      <c r="A1822" s="14" t="n">
        <v>44276</v>
      </c>
      <c r="B1822" s="15" t="s">
        <v>572</v>
      </c>
      <c r="C1822" s="15" t="s">
        <v>706</v>
      </c>
      <c r="D1822" s="15" t="s">
        <v>358</v>
      </c>
      <c r="E1822" s="15" t="s">
        <v>356</v>
      </c>
      <c r="F1822" s="15"/>
      <c r="G1822" s="15" t="s">
        <v>125</v>
      </c>
      <c r="H1822" s="15" t="str">
        <f aca="false">IF(LEFT(B1822,10)="Arsenal v ",MID(B1822,11,100),LEFT(B1822,FIND(" v ",B1822)-1))</f>
        <v>West Ham United</v>
      </c>
      <c r="I1822" s="15" t="str">
        <f aca="false">IF(F1822&lt;&gt;"","N",IF(LEFT(B1822,10)="Arsenal v ","H","A"))</f>
        <v>A</v>
      </c>
      <c r="J1822" s="15" t="s">
        <v>861</v>
      </c>
    </row>
    <row r="1823" customFormat="false" ht="15" hidden="false" customHeight="false" outlineLevel="0" collapsed="false">
      <c r="A1823" s="14" t="n">
        <v>44289</v>
      </c>
      <c r="B1823" s="15" t="s">
        <v>710</v>
      </c>
      <c r="C1823" s="15" t="s">
        <v>704</v>
      </c>
      <c r="D1823" s="15" t="s">
        <v>363</v>
      </c>
      <c r="E1823" s="15" t="s">
        <v>356</v>
      </c>
      <c r="F1823" s="15"/>
      <c r="G1823" s="15" t="s">
        <v>125</v>
      </c>
      <c r="H1823" s="15" t="str">
        <f aca="false">IF(LEFT(B1823,10)="Arsenal v ",MID(B1823,11,100),LEFT(B1823,FIND(" v ",B1823)-1))</f>
        <v>Liverpool</v>
      </c>
      <c r="I1823" s="15" t="str">
        <f aca="false">IF(F1823&lt;&gt;"","N",IF(LEFT(B1823,10)="Arsenal v ","H","A"))</f>
        <v>H</v>
      </c>
      <c r="J1823" s="15" t="s">
        <v>861</v>
      </c>
    </row>
    <row r="1824" customFormat="false" ht="15" hidden="false" customHeight="false" outlineLevel="0" collapsed="false">
      <c r="A1824" s="14" t="n">
        <v>44294</v>
      </c>
      <c r="B1824" s="15" t="s">
        <v>818</v>
      </c>
      <c r="C1824" s="15" t="s">
        <v>706</v>
      </c>
      <c r="D1824" s="15" t="s">
        <v>361</v>
      </c>
      <c r="E1824" s="15" t="s">
        <v>346</v>
      </c>
      <c r="F1824" s="15"/>
      <c r="G1824" s="15" t="s">
        <v>125</v>
      </c>
      <c r="H1824" s="15" t="str">
        <f aca="false">IF(LEFT(B1824,10)="Arsenal v ",MID(B1824,11,100),LEFT(B1824,FIND(" v ",B1824)-1))</f>
        <v>Slavia Praha</v>
      </c>
      <c r="I1824" s="15" t="str">
        <f aca="false">IF(F1824&lt;&gt;"","N",IF(LEFT(B1824,10)="Arsenal v ","H","A"))</f>
        <v>H</v>
      </c>
      <c r="J1824" s="15" t="s">
        <v>861</v>
      </c>
    </row>
    <row r="1825" customFormat="false" ht="15" hidden="false" customHeight="false" outlineLevel="0" collapsed="false">
      <c r="A1825" s="14" t="n">
        <v>44297</v>
      </c>
      <c r="B1825" s="15" t="s">
        <v>541</v>
      </c>
      <c r="C1825" s="15" t="s">
        <v>702</v>
      </c>
      <c r="D1825" s="15" t="s">
        <v>363</v>
      </c>
      <c r="E1825" s="15" t="s">
        <v>356</v>
      </c>
      <c r="F1825" s="15"/>
      <c r="G1825" s="15" t="s">
        <v>125</v>
      </c>
      <c r="H1825" s="15" t="str">
        <f aca="false">IF(LEFT(B1825,10)="Arsenal v ",MID(B1825,11,100),LEFT(B1825,FIND(" v ",B1825)-1))</f>
        <v>Sheffield United</v>
      </c>
      <c r="I1825" s="15" t="str">
        <f aca="false">IF(F1825&lt;&gt;"","N",IF(LEFT(B1825,10)="Arsenal v ","H","A"))</f>
        <v>A</v>
      </c>
      <c r="J1825" s="15" t="s">
        <v>861</v>
      </c>
    </row>
    <row r="1826" customFormat="false" ht="15" hidden="false" customHeight="false" outlineLevel="0" collapsed="false">
      <c r="A1826" s="14" t="n">
        <v>44301</v>
      </c>
      <c r="B1826" s="15" t="s">
        <v>545</v>
      </c>
      <c r="C1826" s="15" t="s">
        <v>702</v>
      </c>
      <c r="D1826" s="15" t="s">
        <v>365</v>
      </c>
      <c r="E1826" s="15" t="s">
        <v>346</v>
      </c>
      <c r="F1826" s="15"/>
      <c r="G1826" s="15" t="s">
        <v>125</v>
      </c>
      <c r="H1826" s="15" t="str">
        <f aca="false">IF(LEFT(B1826,10)="Arsenal v ",MID(B1826,11,100),LEFT(B1826,FIND(" v ",B1826)-1))</f>
        <v>Slavia Praha</v>
      </c>
      <c r="I1826" s="15" t="str">
        <f aca="false">IF(F1826&lt;&gt;"","N",IF(LEFT(B1826,10)="Arsenal v ","H","A"))</f>
        <v>A</v>
      </c>
      <c r="J1826" s="15" t="s">
        <v>861</v>
      </c>
    </row>
    <row r="1827" customFormat="false" ht="15" hidden="false" customHeight="false" outlineLevel="0" collapsed="false">
      <c r="A1827" s="14" t="n">
        <v>44304</v>
      </c>
      <c r="B1827" s="15" t="s">
        <v>784</v>
      </c>
      <c r="C1827" s="15" t="s">
        <v>706</v>
      </c>
      <c r="D1827" s="15" t="s">
        <v>361</v>
      </c>
      <c r="E1827" s="15" t="s">
        <v>356</v>
      </c>
      <c r="F1827" s="15"/>
      <c r="G1827" s="15" t="s">
        <v>125</v>
      </c>
      <c r="H1827" s="15" t="str">
        <f aca="false">IF(LEFT(B1827,10)="Arsenal v ",MID(B1827,11,100),LEFT(B1827,FIND(" v ",B1827)-1))</f>
        <v>Fulham</v>
      </c>
      <c r="I1827" s="15" t="str">
        <f aca="false">IF(F1827&lt;&gt;"","N",IF(LEFT(B1827,10)="Arsenal v ","H","A"))</f>
        <v>H</v>
      </c>
      <c r="J1827" s="15" t="s">
        <v>861</v>
      </c>
    </row>
    <row r="1828" customFormat="false" ht="15" hidden="false" customHeight="false" outlineLevel="0" collapsed="false">
      <c r="A1828" s="14" t="n">
        <v>44309</v>
      </c>
      <c r="B1828" s="15" t="s">
        <v>718</v>
      </c>
      <c r="C1828" s="15" t="s">
        <v>704</v>
      </c>
      <c r="D1828" s="15" t="s">
        <v>383</v>
      </c>
      <c r="E1828" s="15" t="s">
        <v>356</v>
      </c>
      <c r="F1828" s="15"/>
      <c r="G1828" s="15" t="s">
        <v>125</v>
      </c>
      <c r="H1828" s="15" t="str">
        <f aca="false">IF(LEFT(B1828,10)="Arsenal v ",MID(B1828,11,100),LEFT(B1828,FIND(" v ",B1828)-1))</f>
        <v>Everton</v>
      </c>
      <c r="I1828" s="15" t="str">
        <f aca="false">IF(F1828&lt;&gt;"","N",IF(LEFT(B1828,10)="Arsenal v ","H","A"))</f>
        <v>H</v>
      </c>
      <c r="J1828" s="15" t="s">
        <v>861</v>
      </c>
    </row>
    <row r="1829" customFormat="false" ht="15" hidden="false" customHeight="false" outlineLevel="0" collapsed="false">
      <c r="A1829" s="14" t="n">
        <v>44315</v>
      </c>
      <c r="B1829" s="15" t="s">
        <v>566</v>
      </c>
      <c r="C1829" s="15" t="s">
        <v>704</v>
      </c>
      <c r="D1829" s="15" t="s">
        <v>359</v>
      </c>
      <c r="E1829" s="15" t="s">
        <v>346</v>
      </c>
      <c r="F1829" s="15"/>
      <c r="G1829" s="15" t="s">
        <v>125</v>
      </c>
      <c r="H1829" s="15" t="str">
        <f aca="false">IF(LEFT(B1829,10)="Arsenal v ",MID(B1829,11,100),LEFT(B1829,FIND(" v ",B1829)-1))</f>
        <v>Villarreal</v>
      </c>
      <c r="I1829" s="15" t="str">
        <f aca="false">IF(F1829&lt;&gt;"","N",IF(LEFT(B1829,10)="Arsenal v ","H","A"))</f>
        <v>A</v>
      </c>
      <c r="J1829" s="15" t="s">
        <v>861</v>
      </c>
    </row>
    <row r="1830" customFormat="false" ht="15" hidden="false" customHeight="false" outlineLevel="0" collapsed="false">
      <c r="A1830" s="14" t="n">
        <v>44318</v>
      </c>
      <c r="B1830" s="15" t="s">
        <v>501</v>
      </c>
      <c r="C1830" s="15" t="s">
        <v>702</v>
      </c>
      <c r="D1830" s="15" t="s">
        <v>353</v>
      </c>
      <c r="E1830" s="15" t="s">
        <v>356</v>
      </c>
      <c r="F1830" s="15"/>
      <c r="G1830" s="15" t="s">
        <v>125</v>
      </c>
      <c r="H1830" s="15" t="str">
        <f aca="false">IF(LEFT(B1830,10)="Arsenal v ",MID(B1830,11,100),LEFT(B1830,FIND(" v ",B1830)-1))</f>
        <v>Newcastle United</v>
      </c>
      <c r="I1830" s="15" t="str">
        <f aca="false">IF(F1830&lt;&gt;"","N",IF(LEFT(B1830,10)="Arsenal v ","H","A"))</f>
        <v>A</v>
      </c>
      <c r="J1830" s="15" t="s">
        <v>861</v>
      </c>
    </row>
    <row r="1831" customFormat="false" ht="15" hidden="false" customHeight="false" outlineLevel="0" collapsed="false">
      <c r="A1831" s="14" t="n">
        <v>44322</v>
      </c>
      <c r="B1831" s="15" t="s">
        <v>810</v>
      </c>
      <c r="C1831" s="15" t="s">
        <v>706</v>
      </c>
      <c r="D1831" s="15" t="s">
        <v>369</v>
      </c>
      <c r="E1831" s="15" t="s">
        <v>346</v>
      </c>
      <c r="F1831" s="15"/>
      <c r="G1831" s="15" t="s">
        <v>125</v>
      </c>
      <c r="H1831" s="15" t="str">
        <f aca="false">IF(LEFT(B1831,10)="Arsenal v ",MID(B1831,11,100),LEFT(B1831,FIND(" v ",B1831)-1))</f>
        <v>Villarreal</v>
      </c>
      <c r="I1831" s="15" t="str">
        <f aca="false">IF(F1831&lt;&gt;"","N",IF(LEFT(B1831,10)="Arsenal v ","H","A"))</f>
        <v>H</v>
      </c>
      <c r="J1831" s="15" t="s">
        <v>861</v>
      </c>
    </row>
    <row r="1832" customFormat="false" ht="15" hidden="false" customHeight="false" outlineLevel="0" collapsed="false">
      <c r="A1832" s="14" t="n">
        <v>44325</v>
      </c>
      <c r="B1832" s="15" t="s">
        <v>788</v>
      </c>
      <c r="C1832" s="15" t="s">
        <v>702</v>
      </c>
      <c r="D1832" s="15" t="s">
        <v>377</v>
      </c>
      <c r="E1832" s="15" t="s">
        <v>356</v>
      </c>
      <c r="F1832" s="15"/>
      <c r="G1832" s="15" t="s">
        <v>125</v>
      </c>
      <c r="H1832" s="15" t="str">
        <f aca="false">IF(LEFT(B1832,10)="Arsenal v ",MID(B1832,11,100),LEFT(B1832,FIND(" v ",B1832)-1))</f>
        <v>West Bromwich Albion</v>
      </c>
      <c r="I1832" s="15" t="str">
        <f aca="false">IF(F1832&lt;&gt;"","N",IF(LEFT(B1832,10)="Arsenal v ","H","A"))</f>
        <v>H</v>
      </c>
      <c r="J1832" s="15" t="s">
        <v>861</v>
      </c>
    </row>
    <row r="1833" customFormat="false" ht="15" hidden="false" customHeight="false" outlineLevel="0" collapsed="false">
      <c r="A1833" s="14" t="n">
        <v>44328</v>
      </c>
      <c r="B1833" s="15" t="s">
        <v>426</v>
      </c>
      <c r="C1833" s="15" t="s">
        <v>702</v>
      </c>
      <c r="D1833" s="15" t="s">
        <v>383</v>
      </c>
      <c r="E1833" s="15" t="s">
        <v>356</v>
      </c>
      <c r="F1833" s="15"/>
      <c r="G1833" s="15" t="s">
        <v>125</v>
      </c>
      <c r="H1833" s="15" t="str">
        <f aca="false">IF(LEFT(B1833,10)="Arsenal v ",MID(B1833,11,100),LEFT(B1833,FIND(" v ",B1833)-1))</f>
        <v>Chelsea</v>
      </c>
      <c r="I1833" s="15" t="str">
        <f aca="false">IF(F1833&lt;&gt;"","N",IF(LEFT(B1833,10)="Arsenal v ","H","A"))</f>
        <v>A</v>
      </c>
      <c r="J1833" s="15" t="s">
        <v>861</v>
      </c>
    </row>
    <row r="1834" customFormat="false" ht="15" hidden="false" customHeight="false" outlineLevel="0" collapsed="false">
      <c r="A1834" s="14" t="n">
        <v>44335</v>
      </c>
      <c r="B1834" s="15" t="s">
        <v>433</v>
      </c>
      <c r="C1834" s="15" t="s">
        <v>702</v>
      </c>
      <c r="D1834" s="15" t="s">
        <v>373</v>
      </c>
      <c r="E1834" s="15" t="s">
        <v>356</v>
      </c>
      <c r="F1834" s="15"/>
      <c r="G1834" s="15" t="s">
        <v>125</v>
      </c>
      <c r="H1834" s="15" t="str">
        <f aca="false">IF(LEFT(B1834,10)="Arsenal v ",MID(B1834,11,100),LEFT(B1834,FIND(" v ",B1834)-1))</f>
        <v>Crystal Palace</v>
      </c>
      <c r="I1834" s="15" t="str">
        <f aca="false">IF(F1834&lt;&gt;"","N",IF(LEFT(B1834,10)="Arsenal v ","H","A"))</f>
        <v>A</v>
      </c>
      <c r="J1834" s="15" t="s">
        <v>861</v>
      </c>
    </row>
    <row r="1835" customFormat="false" ht="15" hidden="false" customHeight="false" outlineLevel="0" collapsed="false">
      <c r="A1835" s="14" t="n">
        <v>44339</v>
      </c>
      <c r="B1835" s="15" t="s">
        <v>848</v>
      </c>
      <c r="C1835" s="15" t="s">
        <v>702</v>
      </c>
      <c r="D1835" s="15" t="s">
        <v>351</v>
      </c>
      <c r="E1835" s="15" t="s">
        <v>356</v>
      </c>
      <c r="F1835" s="15"/>
      <c r="G1835" s="15" t="s">
        <v>125</v>
      </c>
      <c r="H1835" s="15" t="str">
        <f aca="false">IF(LEFT(B1835,10)="Arsenal v ",MID(B1835,11,100),LEFT(B1835,FIND(" v ",B1835)-1))</f>
        <v>Brighton and Hove Albion</v>
      </c>
      <c r="I1835" s="15" t="str">
        <f aca="false">IF(F1835&lt;&gt;"","N",IF(LEFT(B1835,10)="Arsenal v ","H","A"))</f>
        <v>H</v>
      </c>
      <c r="J1835" s="15" t="s">
        <v>861</v>
      </c>
    </row>
    <row r="1836" customFormat="false" ht="15" hidden="false" customHeight="false" outlineLevel="0" collapsed="false">
      <c r="A1836" s="3" t="n">
        <v>44421</v>
      </c>
      <c r="B1836" s="2" t="s">
        <v>416</v>
      </c>
      <c r="C1836" s="2" t="s">
        <v>704</v>
      </c>
      <c r="D1836" s="2" t="s">
        <v>351</v>
      </c>
      <c r="E1836" s="2" t="s">
        <v>356</v>
      </c>
      <c r="F1836" s="2"/>
      <c r="G1836" s="2" t="s">
        <v>386</v>
      </c>
      <c r="H1836" s="2" t="str">
        <f aca="false">IF(LEFT(B1836,10)="Arsenal v ",MID(B1836,11,100),LEFT(B1836,FIND(" v ",B1836)-1))</f>
        <v>Brentford</v>
      </c>
      <c r="I1836" s="2" t="str">
        <f aca="false">IF(F1836&lt;&gt;"","N",IF(LEFT(B1836,10)="Arsenal v ","H","A"))</f>
        <v>A</v>
      </c>
      <c r="J1836" s="2"/>
    </row>
    <row r="1837" customFormat="false" ht="15" hidden="false" customHeight="false" outlineLevel="0" collapsed="false">
      <c r="A1837" s="3" t="n">
        <v>44430</v>
      </c>
      <c r="B1837" s="2" t="s">
        <v>725</v>
      </c>
      <c r="C1837" s="2" t="s">
        <v>704</v>
      </c>
      <c r="D1837" s="2" t="s">
        <v>353</v>
      </c>
      <c r="E1837" s="2" t="s">
        <v>356</v>
      </c>
      <c r="F1837" s="2"/>
      <c r="G1837" s="2" t="s">
        <v>386</v>
      </c>
      <c r="H1837" s="2" t="str">
        <f aca="false">IF(LEFT(B1837,10)="Arsenal v ",MID(B1837,11,100),LEFT(B1837,FIND(" v ",B1837)-1))</f>
        <v>Chelsea</v>
      </c>
      <c r="I1837" s="2" t="str">
        <f aca="false">IF(F1837&lt;&gt;"","N",IF(LEFT(B1837,10)="Arsenal v ","H","A"))</f>
        <v>H</v>
      </c>
      <c r="J1837" s="2"/>
    </row>
    <row r="1838" customFormat="false" ht="15" hidden="false" customHeight="false" outlineLevel="0" collapsed="false">
      <c r="A1838" s="3" t="n">
        <v>44433</v>
      </c>
      <c r="B1838" s="2" t="s">
        <v>571</v>
      </c>
      <c r="C1838" s="2" t="s">
        <v>702</v>
      </c>
      <c r="D1838" s="2" t="s">
        <v>525</v>
      </c>
      <c r="E1838" s="2" t="s">
        <v>379</v>
      </c>
      <c r="F1838" s="2"/>
      <c r="G1838" s="2" t="s">
        <v>386</v>
      </c>
      <c r="H1838" s="2" t="str">
        <f aca="false">IF(LEFT(B1838,10)="Arsenal v ",MID(B1838,11,100),LEFT(B1838,FIND(" v ",B1838)-1))</f>
        <v>West Bromwich Albion</v>
      </c>
      <c r="I1838" s="2" t="str">
        <f aca="false">IF(F1838&lt;&gt;"","N",IF(LEFT(B1838,10)="Arsenal v ","H","A"))</f>
        <v>A</v>
      </c>
      <c r="J1838" s="2"/>
    </row>
    <row r="1839" customFormat="false" ht="15" hidden="false" customHeight="false" outlineLevel="0" collapsed="false">
      <c r="A1839" s="3" t="n">
        <v>44436</v>
      </c>
      <c r="B1839" s="2" t="s">
        <v>487</v>
      </c>
      <c r="C1839" s="2" t="s">
        <v>704</v>
      </c>
      <c r="D1839" s="2" t="s">
        <v>489</v>
      </c>
      <c r="E1839" s="2" t="s">
        <v>356</v>
      </c>
      <c r="F1839" s="2"/>
      <c r="G1839" s="2" t="s">
        <v>386</v>
      </c>
      <c r="H1839" s="2" t="str">
        <f aca="false">IF(LEFT(B1839,10)="Arsenal v ",MID(B1839,11,100),LEFT(B1839,FIND(" v ",B1839)-1))</f>
        <v>Manchester City</v>
      </c>
      <c r="I1839" s="2" t="str">
        <f aca="false">IF(F1839&lt;&gt;"","N",IF(LEFT(B1839,10)="Arsenal v ","H","A"))</f>
        <v>A</v>
      </c>
      <c r="J1839" s="2"/>
    </row>
    <row r="1840" customFormat="false" ht="15" hidden="false" customHeight="false" outlineLevel="0" collapsed="false">
      <c r="A1840" s="3" t="n">
        <v>44450</v>
      </c>
      <c r="B1840" s="2" t="s">
        <v>720</v>
      </c>
      <c r="C1840" s="2" t="s">
        <v>702</v>
      </c>
      <c r="D1840" s="2" t="s">
        <v>348</v>
      </c>
      <c r="E1840" s="2" t="s">
        <v>356</v>
      </c>
      <c r="F1840" s="2"/>
      <c r="G1840" s="2" t="s">
        <v>386</v>
      </c>
      <c r="H1840" s="2" t="str">
        <f aca="false">IF(LEFT(B1840,10)="Arsenal v ",MID(B1840,11,100),LEFT(B1840,FIND(" v ",B1840)-1))</f>
        <v>Norwich City</v>
      </c>
      <c r="I1840" s="2" t="str">
        <f aca="false">IF(F1840&lt;&gt;"","N",IF(LEFT(B1840,10)="Arsenal v ","H","A"))</f>
        <v>H</v>
      </c>
      <c r="J1840" s="2"/>
    </row>
    <row r="1841" customFormat="false" ht="15" hidden="false" customHeight="false" outlineLevel="0" collapsed="false">
      <c r="A1841" s="3" t="n">
        <v>44457</v>
      </c>
      <c r="B1841" s="2" t="s">
        <v>419</v>
      </c>
      <c r="C1841" s="2" t="s">
        <v>702</v>
      </c>
      <c r="D1841" s="2" t="s">
        <v>383</v>
      </c>
      <c r="E1841" s="2" t="s">
        <v>356</v>
      </c>
      <c r="F1841" s="2"/>
      <c r="G1841" s="2" t="s">
        <v>386</v>
      </c>
      <c r="H1841" s="2" t="str">
        <f aca="false">IF(LEFT(B1841,10)="Arsenal v ",MID(B1841,11,100),LEFT(B1841,FIND(" v ",B1841)-1))</f>
        <v>Burnley</v>
      </c>
      <c r="I1841" s="2" t="str">
        <f aca="false">IF(F1841&lt;&gt;"","N",IF(LEFT(B1841,10)="Arsenal v ","H","A"))</f>
        <v>A</v>
      </c>
      <c r="J1841" s="2"/>
    </row>
    <row r="1842" customFormat="false" ht="15" hidden="false" customHeight="false" outlineLevel="0" collapsed="false">
      <c r="A1842" s="3" t="n">
        <v>44461</v>
      </c>
      <c r="B1842" s="2" t="s">
        <v>866</v>
      </c>
      <c r="C1842" s="2" t="s">
        <v>702</v>
      </c>
      <c r="D1842" s="2" t="s">
        <v>434</v>
      </c>
      <c r="E1842" s="2" t="s">
        <v>379</v>
      </c>
      <c r="F1842" s="2"/>
      <c r="G1842" s="2" t="s">
        <v>386</v>
      </c>
      <c r="H1842" s="2" t="str">
        <f aca="false">IF(LEFT(B1842,10)="Arsenal v ",MID(B1842,11,100),LEFT(B1842,FIND(" v ",B1842)-1))</f>
        <v>AFC Wimbledon</v>
      </c>
      <c r="I1842" s="2" t="str">
        <f aca="false">IF(F1842&lt;&gt;"","N",IF(LEFT(B1842,10)="Arsenal v ","H","A"))</f>
        <v>H</v>
      </c>
      <c r="J1842" s="2"/>
    </row>
    <row r="1843" customFormat="false" ht="15" hidden="false" customHeight="false" outlineLevel="0" collapsed="false">
      <c r="A1843" s="3" t="n">
        <v>44465</v>
      </c>
      <c r="B1843" s="2" t="s">
        <v>655</v>
      </c>
      <c r="C1843" s="2" t="s">
        <v>702</v>
      </c>
      <c r="D1843" s="2" t="s">
        <v>377</v>
      </c>
      <c r="E1843" s="2" t="s">
        <v>356</v>
      </c>
      <c r="F1843" s="2"/>
      <c r="G1843" s="2" t="s">
        <v>386</v>
      </c>
      <c r="H1843" s="2" t="str">
        <f aca="false">IF(LEFT(B1843,10)="Arsenal v ",MID(B1843,11,100),LEFT(B1843,FIND(" v ",B1843)-1))</f>
        <v>Tottenham Hotspur</v>
      </c>
      <c r="I1843" s="2" t="str">
        <f aca="false">IF(F1843&lt;&gt;"","N",IF(LEFT(B1843,10)="Arsenal v ","H","A"))</f>
        <v>H</v>
      </c>
      <c r="J1843" s="2"/>
    </row>
    <row r="1844" customFormat="false" ht="15" hidden="false" customHeight="false" outlineLevel="0" collapsed="false">
      <c r="A1844" s="3" t="n">
        <v>44471</v>
      </c>
      <c r="B1844" s="2" t="s">
        <v>417</v>
      </c>
      <c r="C1844" s="2" t="s">
        <v>706</v>
      </c>
      <c r="D1844" s="2" t="s">
        <v>369</v>
      </c>
      <c r="E1844" s="2" t="s">
        <v>356</v>
      </c>
      <c r="F1844" s="2"/>
      <c r="G1844" s="2" t="s">
        <v>386</v>
      </c>
      <c r="H1844" s="2" t="str">
        <f aca="false">IF(LEFT(B1844,10)="Arsenal v ",MID(B1844,11,100),LEFT(B1844,FIND(" v ",B1844)-1))</f>
        <v>Brighton and Hove Albion</v>
      </c>
      <c r="I1844" s="2" t="str">
        <f aca="false">IF(F1844&lt;&gt;"","N",IF(LEFT(B1844,10)="Arsenal v ","H","A"))</f>
        <v>A</v>
      </c>
      <c r="J1844" s="2"/>
    </row>
    <row r="1845" customFormat="false" ht="15" hidden="false" customHeight="false" outlineLevel="0" collapsed="false">
      <c r="A1845" s="3" t="n">
        <v>44487</v>
      </c>
      <c r="B1845" s="2" t="s">
        <v>724</v>
      </c>
      <c r="C1845" s="2" t="s">
        <v>706</v>
      </c>
      <c r="D1845" s="2" t="s">
        <v>380</v>
      </c>
      <c r="E1845" s="2" t="s">
        <v>356</v>
      </c>
      <c r="F1845" s="2"/>
      <c r="G1845" s="2" t="s">
        <v>386</v>
      </c>
      <c r="H1845" s="2" t="str">
        <f aca="false">IF(LEFT(B1845,10)="Arsenal v ",MID(B1845,11,100),LEFT(B1845,FIND(" v ",B1845)-1))</f>
        <v>Crystal Palace</v>
      </c>
      <c r="I1845" s="2" t="str">
        <f aca="false">IF(F1845&lt;&gt;"","N",IF(LEFT(B1845,10)="Arsenal v ","H","A"))</f>
        <v>H</v>
      </c>
      <c r="J1845" s="2"/>
    </row>
    <row r="1846" customFormat="false" ht="15" hidden="false" customHeight="false" outlineLevel="0" collapsed="false">
      <c r="A1846" s="3" t="n">
        <v>44491</v>
      </c>
      <c r="B1846" s="2" t="s">
        <v>703</v>
      </c>
      <c r="C1846" s="2" t="s">
        <v>702</v>
      </c>
      <c r="D1846" s="2" t="s">
        <v>377</v>
      </c>
      <c r="E1846" s="2" t="s">
        <v>356</v>
      </c>
      <c r="F1846" s="2"/>
      <c r="G1846" s="2" t="s">
        <v>386</v>
      </c>
      <c r="H1846" s="2" t="str">
        <f aca="false">IF(LEFT(B1846,10)="Arsenal v ",MID(B1846,11,100),LEFT(B1846,FIND(" v ",B1846)-1))</f>
        <v>Aston Villa</v>
      </c>
      <c r="I1846" s="2" t="str">
        <f aca="false">IF(F1846&lt;&gt;"","N",IF(LEFT(B1846,10)="Arsenal v ","H","A"))</f>
        <v>H</v>
      </c>
      <c r="J1846" s="2"/>
    </row>
    <row r="1847" customFormat="false" ht="15" hidden="false" customHeight="false" outlineLevel="0" collapsed="false">
      <c r="A1847" s="3" t="n">
        <v>44495</v>
      </c>
      <c r="B1847" s="2" t="s">
        <v>729</v>
      </c>
      <c r="C1847" s="2" t="s">
        <v>702</v>
      </c>
      <c r="D1847" s="2" t="s">
        <v>351</v>
      </c>
      <c r="E1847" s="2" t="s">
        <v>379</v>
      </c>
      <c r="F1847" s="2"/>
      <c r="G1847" s="2" t="s">
        <v>386</v>
      </c>
      <c r="H1847" s="2" t="str">
        <f aca="false">IF(LEFT(B1847,10)="Arsenal v ",MID(B1847,11,100),LEFT(B1847,FIND(" v ",B1847)-1))</f>
        <v>Leeds United</v>
      </c>
      <c r="I1847" s="2" t="str">
        <f aca="false">IF(F1847&lt;&gt;"","N",IF(LEFT(B1847,10)="Arsenal v ","H","A"))</f>
        <v>H</v>
      </c>
      <c r="J1847" s="2"/>
    </row>
    <row r="1848" customFormat="false" ht="15" hidden="false" customHeight="false" outlineLevel="0" collapsed="false">
      <c r="A1848" s="3" t="n">
        <v>44499</v>
      </c>
      <c r="B1848" s="2" t="s">
        <v>474</v>
      </c>
      <c r="C1848" s="2" t="s">
        <v>702</v>
      </c>
      <c r="D1848" s="2" t="s">
        <v>353</v>
      </c>
      <c r="E1848" s="2" t="s">
        <v>356</v>
      </c>
      <c r="F1848" s="2"/>
      <c r="G1848" s="2" t="s">
        <v>386</v>
      </c>
      <c r="H1848" s="2" t="str">
        <f aca="false">IF(LEFT(B1848,10)="Arsenal v ",MID(B1848,11,100),LEFT(B1848,FIND(" v ",B1848)-1))</f>
        <v>Leicester City</v>
      </c>
      <c r="I1848" s="2" t="str">
        <f aca="false">IF(F1848&lt;&gt;"","N",IF(LEFT(B1848,10)="Arsenal v ","H","A"))</f>
        <v>A</v>
      </c>
      <c r="J1848" s="2"/>
    </row>
    <row r="1849" customFormat="false" ht="15" hidden="false" customHeight="false" outlineLevel="0" collapsed="false">
      <c r="A1849" s="3" t="n">
        <v>44507</v>
      </c>
      <c r="B1849" s="2" t="s">
        <v>764</v>
      </c>
      <c r="C1849" s="2" t="s">
        <v>702</v>
      </c>
      <c r="D1849" s="2" t="s">
        <v>348</v>
      </c>
      <c r="E1849" s="2" t="s">
        <v>356</v>
      </c>
      <c r="F1849" s="2"/>
      <c r="G1849" s="2" t="s">
        <v>386</v>
      </c>
      <c r="H1849" s="2" t="str">
        <f aca="false">IF(LEFT(B1849,10)="Arsenal v ",MID(B1849,11,100),LEFT(B1849,FIND(" v ",B1849)-1))</f>
        <v>Watford</v>
      </c>
      <c r="I1849" s="2" t="str">
        <f aca="false">IF(F1849&lt;&gt;"","N",IF(LEFT(B1849,10)="Arsenal v ","H","A"))</f>
        <v>H</v>
      </c>
      <c r="J1849" s="2"/>
    </row>
    <row r="1850" customFormat="false" ht="15" hidden="false" customHeight="false" outlineLevel="0" collapsed="false">
      <c r="A1850" s="3" t="n">
        <v>44520</v>
      </c>
      <c r="B1850" s="2" t="s">
        <v>477</v>
      </c>
      <c r="C1850" s="2" t="s">
        <v>704</v>
      </c>
      <c r="D1850" s="2" t="s">
        <v>354</v>
      </c>
      <c r="E1850" s="2" t="s">
        <v>356</v>
      </c>
      <c r="F1850" s="2"/>
      <c r="G1850" s="2" t="s">
        <v>386</v>
      </c>
      <c r="H1850" s="2" t="str">
        <f aca="false">IF(LEFT(B1850,10)="Arsenal v ",MID(B1850,11,100),LEFT(B1850,FIND(" v ",B1850)-1))</f>
        <v>Liverpool</v>
      </c>
      <c r="I1850" s="2" t="str">
        <f aca="false">IF(F1850&lt;&gt;"","N",IF(LEFT(B1850,10)="Arsenal v ","H","A"))</f>
        <v>A</v>
      </c>
      <c r="J1850" s="2"/>
    </row>
    <row r="1851" customFormat="false" ht="15" hidden="false" customHeight="false" outlineLevel="0" collapsed="false">
      <c r="A1851" s="3" t="n">
        <v>44527</v>
      </c>
      <c r="B1851" s="2" t="s">
        <v>719</v>
      </c>
      <c r="C1851" s="2" t="s">
        <v>702</v>
      </c>
      <c r="D1851" s="2" t="s">
        <v>351</v>
      </c>
      <c r="E1851" s="2" t="s">
        <v>356</v>
      </c>
      <c r="F1851" s="2"/>
      <c r="G1851" s="2" t="s">
        <v>386</v>
      </c>
      <c r="H1851" s="2" t="str">
        <f aca="false">IF(LEFT(B1851,10)="Arsenal v ",MID(B1851,11,100),LEFT(B1851,FIND(" v ",B1851)-1))</f>
        <v>Newcastle United</v>
      </c>
      <c r="I1851" s="2" t="str">
        <f aca="false">IF(F1851&lt;&gt;"","N",IF(LEFT(B1851,10)="Arsenal v ","H","A"))</f>
        <v>H</v>
      </c>
      <c r="J1851" s="2"/>
    </row>
    <row r="1852" customFormat="false" ht="15" hidden="false" customHeight="false" outlineLevel="0" collapsed="false">
      <c r="A1852" s="3" t="n">
        <v>44532</v>
      </c>
      <c r="B1852" s="2" t="s">
        <v>490</v>
      </c>
      <c r="C1852" s="2" t="s">
        <v>704</v>
      </c>
      <c r="D1852" s="2" t="s">
        <v>382</v>
      </c>
      <c r="E1852" s="2" t="s">
        <v>356</v>
      </c>
      <c r="F1852" s="2"/>
      <c r="G1852" s="2" t="s">
        <v>386</v>
      </c>
      <c r="H1852" s="2" t="str">
        <f aca="false">IF(LEFT(B1852,10)="Arsenal v ",MID(B1852,11,100),LEFT(B1852,FIND(" v ",B1852)-1))</f>
        <v>Manchester United</v>
      </c>
      <c r="I1852" s="2" t="str">
        <f aca="false">IF(F1852&lt;&gt;"","N",IF(LEFT(B1852,10)="Arsenal v ","H","A"))</f>
        <v>A</v>
      </c>
      <c r="J1852" s="2"/>
    </row>
    <row r="1853" customFormat="false" ht="15" hidden="false" customHeight="false" outlineLevel="0" collapsed="false">
      <c r="A1853" s="3" t="n">
        <v>44536</v>
      </c>
      <c r="B1853" s="2" t="s">
        <v>448</v>
      </c>
      <c r="C1853" s="2" t="s">
        <v>704</v>
      </c>
      <c r="D1853" s="2" t="s">
        <v>359</v>
      </c>
      <c r="E1853" s="2" t="s">
        <v>356</v>
      </c>
      <c r="F1853" s="2"/>
      <c r="G1853" s="2" t="s">
        <v>386</v>
      </c>
      <c r="H1853" s="2" t="str">
        <f aca="false">IF(LEFT(B1853,10)="Arsenal v ",MID(B1853,11,100),LEFT(B1853,FIND(" v ",B1853)-1))</f>
        <v>Everton</v>
      </c>
      <c r="I1853" s="2" t="str">
        <f aca="false">IF(F1853&lt;&gt;"","N",IF(LEFT(B1853,10)="Arsenal v ","H","A"))</f>
        <v>A</v>
      </c>
      <c r="J1853" s="2"/>
    </row>
    <row r="1854" customFormat="false" ht="15" hidden="false" customHeight="false" outlineLevel="0" collapsed="false">
      <c r="A1854" s="3" t="n">
        <v>44541</v>
      </c>
      <c r="B1854" s="2" t="s">
        <v>705</v>
      </c>
      <c r="C1854" s="2" t="s">
        <v>702</v>
      </c>
      <c r="D1854" s="2" t="s">
        <v>434</v>
      </c>
      <c r="E1854" s="2" t="s">
        <v>356</v>
      </c>
      <c r="F1854" s="2"/>
      <c r="G1854" s="2" t="s">
        <v>386</v>
      </c>
      <c r="H1854" s="2" t="str">
        <f aca="false">IF(LEFT(B1854,10)="Arsenal v ",MID(B1854,11,100),LEFT(B1854,FIND(" v ",B1854)-1))</f>
        <v>Southampton</v>
      </c>
      <c r="I1854" s="2" t="str">
        <f aca="false">IF(F1854&lt;&gt;"","N",IF(LEFT(B1854,10)="Arsenal v ","H","A"))</f>
        <v>H</v>
      </c>
      <c r="J1854" s="2"/>
    </row>
    <row r="1855" customFormat="false" ht="15" hidden="false" customHeight="false" outlineLevel="0" collapsed="false">
      <c r="A1855" s="3" t="n">
        <v>44545</v>
      </c>
      <c r="B1855" s="2" t="s">
        <v>712</v>
      </c>
      <c r="C1855" s="2" t="s">
        <v>702</v>
      </c>
      <c r="D1855" s="2" t="s">
        <v>351</v>
      </c>
      <c r="E1855" s="2" t="s">
        <v>356</v>
      </c>
      <c r="F1855" s="2"/>
      <c r="G1855" s="2" t="s">
        <v>386</v>
      </c>
      <c r="H1855" s="2" t="str">
        <f aca="false">IF(LEFT(B1855,10)="Arsenal v ",MID(B1855,11,100),LEFT(B1855,FIND(" v ",B1855)-1))</f>
        <v>West Ham United</v>
      </c>
      <c r="I1855" s="2" t="str">
        <f aca="false">IF(F1855&lt;&gt;"","N",IF(LEFT(B1855,10)="Arsenal v ","H","A"))</f>
        <v>H</v>
      </c>
      <c r="J1855" s="2"/>
    </row>
    <row r="1856" customFormat="false" ht="15" hidden="false" customHeight="false" outlineLevel="0" collapsed="false">
      <c r="A1856" s="3" t="n">
        <v>44548</v>
      </c>
      <c r="B1856" s="2" t="s">
        <v>473</v>
      </c>
      <c r="C1856" s="2" t="s">
        <v>702</v>
      </c>
      <c r="D1856" s="2" t="s">
        <v>407</v>
      </c>
      <c r="E1856" s="2" t="s">
        <v>356</v>
      </c>
      <c r="F1856" s="2"/>
      <c r="G1856" s="2" t="s">
        <v>386</v>
      </c>
      <c r="H1856" s="2" t="str">
        <f aca="false">IF(LEFT(B1856,10)="Arsenal v ",MID(B1856,11,100),LEFT(B1856,FIND(" v ",B1856)-1))</f>
        <v>Leeds United</v>
      </c>
      <c r="I1856" s="2" t="str">
        <f aca="false">IF(F1856&lt;&gt;"","N",IF(LEFT(B1856,10)="Arsenal v ","H","A"))</f>
        <v>A</v>
      </c>
      <c r="J1856" s="2"/>
    </row>
    <row r="1857" customFormat="false" ht="15" hidden="false" customHeight="false" outlineLevel="0" collapsed="false">
      <c r="A1857" s="3" t="n">
        <v>44551</v>
      </c>
      <c r="B1857" s="2" t="s">
        <v>727</v>
      </c>
      <c r="C1857" s="2" t="s">
        <v>702</v>
      </c>
      <c r="D1857" s="2" t="s">
        <v>401</v>
      </c>
      <c r="E1857" s="2" t="s">
        <v>379</v>
      </c>
      <c r="F1857" s="2"/>
      <c r="G1857" s="2" t="s">
        <v>386</v>
      </c>
      <c r="H1857" s="2" t="str">
        <f aca="false">IF(LEFT(B1857,10)="Arsenal v ",MID(B1857,11,100),LEFT(B1857,FIND(" v ",B1857)-1))</f>
        <v>Sunderland</v>
      </c>
      <c r="I1857" s="2" t="str">
        <f aca="false">IF(F1857&lt;&gt;"","N",IF(LEFT(B1857,10)="Arsenal v ","H","A"))</f>
        <v>H</v>
      </c>
      <c r="J1857" s="2"/>
    </row>
    <row r="1858" customFormat="false" ht="15" hidden="false" customHeight="false" outlineLevel="0" collapsed="false">
      <c r="A1858" s="3" t="n">
        <v>44556</v>
      </c>
      <c r="B1858" s="2" t="s">
        <v>502</v>
      </c>
      <c r="C1858" s="2" t="s">
        <v>702</v>
      </c>
      <c r="D1858" s="2" t="s">
        <v>420</v>
      </c>
      <c r="E1858" s="2" t="s">
        <v>356</v>
      </c>
      <c r="F1858" s="2"/>
      <c r="G1858" s="2" t="s">
        <v>386</v>
      </c>
      <c r="H1858" s="2" t="str">
        <f aca="false">IF(LEFT(B1858,10)="Arsenal v ",MID(B1858,11,100),LEFT(B1858,FIND(" v ",B1858)-1))</f>
        <v>Norwich City</v>
      </c>
      <c r="I1858" s="2" t="str">
        <f aca="false">IF(F1858&lt;&gt;"","N",IF(LEFT(B1858,10)="Arsenal v ","H","A"))</f>
        <v>A</v>
      </c>
      <c r="J1858" s="2"/>
    </row>
    <row r="1859" customFormat="false" ht="15" hidden="false" customHeight="false" outlineLevel="0" collapsed="false">
      <c r="A1859" s="3" t="n">
        <v>44562</v>
      </c>
      <c r="B1859" s="2" t="s">
        <v>657</v>
      </c>
      <c r="C1859" s="2" t="s">
        <v>704</v>
      </c>
      <c r="D1859" s="2" t="s">
        <v>360</v>
      </c>
      <c r="E1859" s="2" t="s">
        <v>356</v>
      </c>
      <c r="F1859" s="2"/>
      <c r="G1859" s="2" t="s">
        <v>386</v>
      </c>
      <c r="H1859" s="2" t="str">
        <f aca="false">IF(LEFT(B1859,10)="Arsenal v ",MID(B1859,11,100),LEFT(B1859,FIND(" v ",B1859)-1))</f>
        <v>Manchester City</v>
      </c>
      <c r="I1859" s="2" t="str">
        <f aca="false">IF(F1859&lt;&gt;"","N",IF(LEFT(B1859,10)="Arsenal v ","H","A"))</f>
        <v>H</v>
      </c>
      <c r="J1859" s="2"/>
    </row>
    <row r="1860" customFormat="false" ht="15" hidden="false" customHeight="false" outlineLevel="0" collapsed="false">
      <c r="A1860" s="3" t="n">
        <v>44570</v>
      </c>
      <c r="B1860" s="2" t="s">
        <v>503</v>
      </c>
      <c r="C1860" s="2" t="s">
        <v>704</v>
      </c>
      <c r="D1860" s="2" t="s">
        <v>348</v>
      </c>
      <c r="E1860" s="2" t="s">
        <v>362</v>
      </c>
      <c r="F1860" s="2"/>
      <c r="G1860" s="2" t="s">
        <v>386</v>
      </c>
      <c r="H1860" s="2" t="str">
        <f aca="false">IF(LEFT(B1860,10)="Arsenal v ",MID(B1860,11,100),LEFT(B1860,FIND(" v ",B1860)-1))</f>
        <v>Nottingham Forest</v>
      </c>
      <c r="I1860" s="2" t="str">
        <f aca="false">IF(F1860&lt;&gt;"","N",IF(LEFT(B1860,10)="Arsenal v ","H","A"))</f>
        <v>A</v>
      </c>
      <c r="J1860" s="2"/>
    </row>
    <row r="1861" customFormat="false" ht="15" hidden="false" customHeight="false" outlineLevel="0" collapsed="false">
      <c r="A1861" s="3" t="n">
        <v>44574</v>
      </c>
      <c r="B1861" s="2" t="s">
        <v>477</v>
      </c>
      <c r="C1861" s="2" t="s">
        <v>706</v>
      </c>
      <c r="D1861" s="2" t="s">
        <v>369</v>
      </c>
      <c r="E1861" s="2" t="s">
        <v>379</v>
      </c>
      <c r="F1861" s="2"/>
      <c r="G1861" s="2" t="s">
        <v>386</v>
      </c>
      <c r="H1861" s="2" t="str">
        <f aca="false">IF(LEFT(B1861,10)="Arsenal v ",MID(B1861,11,100),LEFT(B1861,FIND(" v ",B1861)-1))</f>
        <v>Liverpool</v>
      </c>
      <c r="I1861" s="2" t="str">
        <f aca="false">IF(F1861&lt;&gt;"","N",IF(LEFT(B1861,10)="Arsenal v ","H","A"))</f>
        <v>A</v>
      </c>
      <c r="J1861" s="2"/>
    </row>
    <row r="1862" customFormat="false" ht="15" hidden="false" customHeight="false" outlineLevel="0" collapsed="false">
      <c r="A1862" s="3" t="n">
        <v>44581</v>
      </c>
      <c r="B1862" s="2" t="s">
        <v>710</v>
      </c>
      <c r="C1862" s="2" t="s">
        <v>704</v>
      </c>
      <c r="D1862" s="2" t="s">
        <v>353</v>
      </c>
      <c r="E1862" s="2" t="s">
        <v>379</v>
      </c>
      <c r="F1862" s="2"/>
      <c r="G1862" s="2" t="s">
        <v>386</v>
      </c>
      <c r="H1862" s="2" t="str">
        <f aca="false">IF(LEFT(B1862,10)="Arsenal v ",MID(B1862,11,100),LEFT(B1862,FIND(" v ",B1862)-1))</f>
        <v>Liverpool</v>
      </c>
      <c r="I1862" s="2" t="str">
        <f aca="false">IF(F1862&lt;&gt;"","N",IF(LEFT(B1862,10)="Arsenal v ","H","A"))</f>
        <v>H</v>
      </c>
      <c r="J1862" s="2"/>
    </row>
    <row r="1863" customFormat="false" ht="15" hidden="false" customHeight="false" outlineLevel="0" collapsed="false">
      <c r="A1863" s="3" t="n">
        <v>44584</v>
      </c>
      <c r="B1863" s="2" t="s">
        <v>822</v>
      </c>
      <c r="C1863" s="2" t="s">
        <v>706</v>
      </c>
      <c r="D1863" s="2" t="s">
        <v>369</v>
      </c>
      <c r="E1863" s="2" t="s">
        <v>356</v>
      </c>
      <c r="F1863" s="2"/>
      <c r="G1863" s="2" t="s">
        <v>386</v>
      </c>
      <c r="H1863" s="2" t="str">
        <f aca="false">IF(LEFT(B1863,10)="Arsenal v ",MID(B1863,11,100),LEFT(B1863,FIND(" v ",B1863)-1))</f>
        <v>Burnley</v>
      </c>
      <c r="I1863" s="2" t="str">
        <f aca="false">IF(F1863&lt;&gt;"","N",IF(LEFT(B1863,10)="Arsenal v ","H","A"))</f>
        <v>H</v>
      </c>
      <c r="J1863" s="2"/>
    </row>
    <row r="1864" customFormat="false" ht="15" hidden="false" customHeight="false" outlineLevel="0" collapsed="false">
      <c r="A1864" s="3" t="n">
        <v>44602</v>
      </c>
      <c r="B1864" s="2" t="s">
        <v>575</v>
      </c>
      <c r="C1864" s="2" t="s">
        <v>702</v>
      </c>
      <c r="D1864" s="2" t="s">
        <v>383</v>
      </c>
      <c r="E1864" s="2" t="s">
        <v>356</v>
      </c>
      <c r="F1864" s="2"/>
      <c r="G1864" s="2" t="s">
        <v>386</v>
      </c>
      <c r="H1864" s="2" t="str">
        <f aca="false">IF(LEFT(B1864,10)="Arsenal v ",MID(B1864,11,100),LEFT(B1864,FIND(" v ",B1864)-1))</f>
        <v>Wolverhampton Wanderers</v>
      </c>
      <c r="I1864" s="2" t="str">
        <f aca="false">IF(F1864&lt;&gt;"","N",IF(LEFT(B1864,10)="Arsenal v ","H","A"))</f>
        <v>A</v>
      </c>
      <c r="J1864" s="2"/>
    </row>
    <row r="1865" customFormat="false" ht="15" hidden="false" customHeight="false" outlineLevel="0" collapsed="false">
      <c r="A1865" s="3" t="n">
        <v>44611</v>
      </c>
      <c r="B1865" s="2" t="s">
        <v>855</v>
      </c>
      <c r="C1865" s="2" t="s">
        <v>702</v>
      </c>
      <c r="D1865" s="2" t="s">
        <v>359</v>
      </c>
      <c r="E1865" s="2" t="s">
        <v>356</v>
      </c>
      <c r="F1865" s="2"/>
      <c r="G1865" s="2" t="s">
        <v>386</v>
      </c>
      <c r="H1865" s="2" t="str">
        <f aca="false">IF(LEFT(B1865,10)="Arsenal v ",MID(B1865,11,100),LEFT(B1865,FIND(" v ",B1865)-1))</f>
        <v>Brentford</v>
      </c>
      <c r="I1865" s="2" t="str">
        <f aca="false">IF(F1865&lt;&gt;"","N",IF(LEFT(B1865,10)="Arsenal v ","H","A"))</f>
        <v>H</v>
      </c>
      <c r="J1865" s="2"/>
    </row>
    <row r="1866" customFormat="false" ht="15" hidden="false" customHeight="false" outlineLevel="0" collapsed="false">
      <c r="A1866" s="3" t="n">
        <v>44616</v>
      </c>
      <c r="B1866" s="2" t="s">
        <v>762</v>
      </c>
      <c r="C1866" s="2" t="s">
        <v>702</v>
      </c>
      <c r="D1866" s="2" t="s">
        <v>359</v>
      </c>
      <c r="E1866" s="2" t="s">
        <v>356</v>
      </c>
      <c r="F1866" s="2"/>
      <c r="G1866" s="2" t="s">
        <v>386</v>
      </c>
      <c r="H1866" s="2" t="str">
        <f aca="false">IF(LEFT(B1866,10)="Arsenal v ",MID(B1866,11,100),LEFT(B1866,FIND(" v ",B1866)-1))</f>
        <v>Wolverhampton Wanderers</v>
      </c>
      <c r="I1866" s="2" t="str">
        <f aca="false">IF(F1866&lt;&gt;"","N",IF(LEFT(B1866,10)="Arsenal v ","H","A"))</f>
        <v>H</v>
      </c>
      <c r="J1866" s="2"/>
    </row>
    <row r="1867" customFormat="false" ht="15" hidden="false" customHeight="false" outlineLevel="0" collapsed="false">
      <c r="A1867" s="3" t="n">
        <v>44626</v>
      </c>
      <c r="B1867" s="2" t="s">
        <v>569</v>
      </c>
      <c r="C1867" s="2" t="s">
        <v>702</v>
      </c>
      <c r="D1867" s="2" t="s">
        <v>366</v>
      </c>
      <c r="E1867" s="2" t="s">
        <v>356</v>
      </c>
      <c r="F1867" s="2"/>
      <c r="G1867" s="2" t="s">
        <v>386</v>
      </c>
      <c r="H1867" s="2" t="str">
        <f aca="false">IF(LEFT(B1867,10)="Arsenal v ",MID(B1867,11,100),LEFT(B1867,FIND(" v ",B1867)-1))</f>
        <v>Watford</v>
      </c>
      <c r="I1867" s="2" t="str">
        <f aca="false">IF(F1867&lt;&gt;"","N",IF(LEFT(B1867,10)="Arsenal v ","H","A"))</f>
        <v>A</v>
      </c>
      <c r="J1867" s="2"/>
    </row>
    <row r="1868" customFormat="false" ht="15" hidden="false" customHeight="false" outlineLevel="0" collapsed="false">
      <c r="A1868" s="3" t="n">
        <v>44633</v>
      </c>
      <c r="B1868" s="2" t="s">
        <v>733</v>
      </c>
      <c r="C1868" s="2" t="s">
        <v>702</v>
      </c>
      <c r="D1868" s="2" t="s">
        <v>351</v>
      </c>
      <c r="E1868" s="2" t="s">
        <v>356</v>
      </c>
      <c r="F1868" s="2"/>
      <c r="G1868" s="2" t="s">
        <v>386</v>
      </c>
      <c r="H1868" s="2" t="str">
        <f aca="false">IF(LEFT(B1868,10)="Arsenal v ",MID(B1868,11,100),LEFT(B1868,FIND(" v ",B1868)-1))</f>
        <v>Leicester City</v>
      </c>
      <c r="I1868" s="2" t="str">
        <f aca="false">IF(F1868&lt;&gt;"","N",IF(LEFT(B1868,10)="Arsenal v ","H","A"))</f>
        <v>H</v>
      </c>
      <c r="J1868" s="2"/>
    </row>
    <row r="1869" customFormat="false" ht="15" hidden="false" customHeight="false" outlineLevel="0" collapsed="false">
      <c r="A1869" s="3" t="n">
        <v>44636</v>
      </c>
      <c r="B1869" s="2" t="s">
        <v>710</v>
      </c>
      <c r="C1869" s="2" t="s">
        <v>704</v>
      </c>
      <c r="D1869" s="2" t="s">
        <v>353</v>
      </c>
      <c r="E1869" s="2" t="s">
        <v>356</v>
      </c>
      <c r="F1869" s="2"/>
      <c r="G1869" s="2" t="s">
        <v>386</v>
      </c>
      <c r="H1869" s="2" t="str">
        <f aca="false">IF(LEFT(B1869,10)="Arsenal v ",MID(B1869,11,100),LEFT(B1869,FIND(" v ",B1869)-1))</f>
        <v>Liverpool</v>
      </c>
      <c r="I1869" s="2" t="str">
        <f aca="false">IF(F1869&lt;&gt;"","N",IF(LEFT(B1869,10)="Arsenal v ","H","A"))</f>
        <v>H</v>
      </c>
      <c r="J1869" s="2"/>
    </row>
    <row r="1870" customFormat="false" ht="15" hidden="false" customHeight="false" outlineLevel="0" collapsed="false">
      <c r="A1870" s="3" t="n">
        <v>44639</v>
      </c>
      <c r="B1870" s="2" t="s">
        <v>376</v>
      </c>
      <c r="C1870" s="2" t="s">
        <v>702</v>
      </c>
      <c r="D1870" s="2" t="s">
        <v>383</v>
      </c>
      <c r="E1870" s="2" t="s">
        <v>356</v>
      </c>
      <c r="F1870" s="2"/>
      <c r="G1870" s="2" t="s">
        <v>386</v>
      </c>
      <c r="H1870" s="2" t="str">
        <f aca="false">IF(LEFT(B1870,10)="Arsenal v ",MID(B1870,11,100),LEFT(B1870,FIND(" v ",B1870)-1))</f>
        <v>Aston Villa</v>
      </c>
      <c r="I1870" s="2" t="str">
        <f aca="false">IF(F1870&lt;&gt;"","N",IF(LEFT(B1870,10)="Arsenal v ","H","A"))</f>
        <v>A</v>
      </c>
      <c r="J1870" s="2"/>
    </row>
    <row r="1871" customFormat="false" ht="15" hidden="false" customHeight="false" outlineLevel="0" collapsed="false">
      <c r="A1871" s="3" t="n">
        <v>44655</v>
      </c>
      <c r="B1871" s="2" t="s">
        <v>433</v>
      </c>
      <c r="C1871" s="2" t="s">
        <v>704</v>
      </c>
      <c r="D1871" s="2" t="s">
        <v>434</v>
      </c>
      <c r="E1871" s="2" t="s">
        <v>356</v>
      </c>
      <c r="F1871" s="2"/>
      <c r="G1871" s="2" t="s">
        <v>386</v>
      </c>
      <c r="H1871" s="2" t="str">
        <f aca="false">IF(LEFT(B1871,10)="Arsenal v ",MID(B1871,11,100),LEFT(B1871,FIND(" v ",B1871)-1))</f>
        <v>Crystal Palace</v>
      </c>
      <c r="I1871" s="2" t="str">
        <f aca="false">IF(F1871&lt;&gt;"","N",IF(LEFT(B1871,10)="Arsenal v ","H","A"))</f>
        <v>A</v>
      </c>
      <c r="J1871" s="2"/>
    </row>
    <row r="1872" customFormat="false" ht="15" hidden="false" customHeight="false" outlineLevel="0" collapsed="false">
      <c r="A1872" s="3" t="n">
        <v>44660</v>
      </c>
      <c r="B1872" s="2" t="s">
        <v>848</v>
      </c>
      <c r="C1872" s="2" t="s">
        <v>704</v>
      </c>
      <c r="D1872" s="2" t="s">
        <v>360</v>
      </c>
      <c r="E1872" s="2" t="s">
        <v>356</v>
      </c>
      <c r="F1872" s="2"/>
      <c r="G1872" s="2" t="s">
        <v>386</v>
      </c>
      <c r="H1872" s="2" t="str">
        <f aca="false">IF(LEFT(B1872,10)="Arsenal v ",MID(B1872,11,100),LEFT(B1872,FIND(" v ",B1872)-1))</f>
        <v>Brighton and Hove Albion</v>
      </c>
      <c r="I1872" s="2" t="str">
        <f aca="false">IF(F1872&lt;&gt;"","N",IF(LEFT(B1872,10)="Arsenal v ","H","A"))</f>
        <v>H</v>
      </c>
      <c r="J1872" s="2"/>
    </row>
    <row r="1873" customFormat="false" ht="15" hidden="false" customHeight="false" outlineLevel="0" collapsed="false">
      <c r="A1873" s="3" t="n">
        <v>44667</v>
      </c>
      <c r="B1873" s="2" t="s">
        <v>546</v>
      </c>
      <c r="C1873" s="2" t="s">
        <v>704</v>
      </c>
      <c r="D1873" s="2" t="s">
        <v>348</v>
      </c>
      <c r="E1873" s="2" t="s">
        <v>356</v>
      </c>
      <c r="F1873" s="2"/>
      <c r="G1873" s="2" t="s">
        <v>386</v>
      </c>
      <c r="H1873" s="2" t="str">
        <f aca="false">IF(LEFT(B1873,10)="Arsenal v ",MID(B1873,11,100),LEFT(B1873,FIND(" v ",B1873)-1))</f>
        <v>Southampton</v>
      </c>
      <c r="I1873" s="2" t="str">
        <f aca="false">IF(F1873&lt;&gt;"","N",IF(LEFT(B1873,10)="Arsenal v ","H","A"))</f>
        <v>A</v>
      </c>
      <c r="J1873" s="2"/>
    </row>
    <row r="1874" customFormat="false" ht="15" hidden="false" customHeight="false" outlineLevel="0" collapsed="false">
      <c r="A1874" s="3" t="n">
        <v>44671</v>
      </c>
      <c r="B1874" s="2" t="s">
        <v>426</v>
      </c>
      <c r="C1874" s="2" t="s">
        <v>702</v>
      </c>
      <c r="D1874" s="2" t="s">
        <v>384</v>
      </c>
      <c r="E1874" s="2" t="s">
        <v>356</v>
      </c>
      <c r="F1874" s="2"/>
      <c r="G1874" s="2" t="s">
        <v>386</v>
      </c>
      <c r="H1874" s="2" t="str">
        <f aca="false">IF(LEFT(B1874,10)="Arsenal v ",MID(B1874,11,100),LEFT(B1874,FIND(" v ",B1874)-1))</f>
        <v>Chelsea</v>
      </c>
      <c r="I1874" s="2" t="str">
        <f aca="false">IF(F1874&lt;&gt;"","N",IF(LEFT(B1874,10)="Arsenal v ","H","A"))</f>
        <v>A</v>
      </c>
      <c r="J1874" s="2"/>
    </row>
    <row r="1875" customFormat="false" ht="15" hidden="false" customHeight="false" outlineLevel="0" collapsed="false">
      <c r="A1875" s="3" t="n">
        <v>44674</v>
      </c>
      <c r="B1875" s="2" t="s">
        <v>656</v>
      </c>
      <c r="C1875" s="2" t="s">
        <v>702</v>
      </c>
      <c r="D1875" s="2" t="s">
        <v>377</v>
      </c>
      <c r="E1875" s="2" t="s">
        <v>356</v>
      </c>
      <c r="F1875" s="2"/>
      <c r="G1875" s="2" t="s">
        <v>386</v>
      </c>
      <c r="H1875" s="2" t="str">
        <f aca="false">IF(LEFT(B1875,10)="Arsenal v ",MID(B1875,11,100),LEFT(B1875,FIND(" v ",B1875)-1))</f>
        <v>Manchester United</v>
      </c>
      <c r="I1875" s="2" t="str">
        <f aca="false">IF(F1875&lt;&gt;"","N",IF(LEFT(B1875,10)="Arsenal v ","H","A"))</f>
        <v>H</v>
      </c>
      <c r="J1875" s="2"/>
    </row>
    <row r="1876" customFormat="false" ht="15" hidden="false" customHeight="false" outlineLevel="0" collapsed="false">
      <c r="A1876" s="3" t="n">
        <v>44682</v>
      </c>
      <c r="B1876" s="2" t="s">
        <v>572</v>
      </c>
      <c r="C1876" s="2" t="s">
        <v>702</v>
      </c>
      <c r="D1876" s="2" t="s">
        <v>360</v>
      </c>
      <c r="E1876" s="2" t="s">
        <v>356</v>
      </c>
      <c r="F1876" s="2"/>
      <c r="G1876" s="2" t="s">
        <v>386</v>
      </c>
      <c r="H1876" s="2" t="str">
        <f aca="false">IF(LEFT(B1876,10)="Arsenal v ",MID(B1876,11,100),LEFT(B1876,FIND(" v ",B1876)-1))</f>
        <v>West Ham United</v>
      </c>
      <c r="I1876" s="2" t="str">
        <f aca="false">IF(F1876&lt;&gt;"","N",IF(LEFT(B1876,10)="Arsenal v ","H","A"))</f>
        <v>A</v>
      </c>
      <c r="J1876" s="2"/>
    </row>
    <row r="1877" customFormat="false" ht="15" hidden="false" customHeight="false" outlineLevel="0" collapsed="false">
      <c r="A1877" s="3" t="n">
        <v>44689</v>
      </c>
      <c r="B1877" s="2" t="s">
        <v>729</v>
      </c>
      <c r="C1877" s="2" t="s">
        <v>702</v>
      </c>
      <c r="D1877" s="2" t="s">
        <v>359</v>
      </c>
      <c r="E1877" s="2" t="s">
        <v>356</v>
      </c>
      <c r="F1877" s="2"/>
      <c r="G1877" s="2" t="s">
        <v>386</v>
      </c>
      <c r="H1877" s="2" t="str">
        <f aca="false">IF(LEFT(B1877,10)="Arsenal v ",MID(B1877,11,100),LEFT(B1877,FIND(" v ",B1877)-1))</f>
        <v>Leeds United</v>
      </c>
      <c r="I1877" s="2" t="str">
        <f aca="false">IF(F1877&lt;&gt;"","N",IF(LEFT(B1877,10)="Arsenal v ","H","A"))</f>
        <v>H</v>
      </c>
      <c r="J1877" s="2"/>
    </row>
    <row r="1878" customFormat="false" ht="15" hidden="false" customHeight="false" outlineLevel="0" collapsed="false">
      <c r="A1878" s="3" t="n">
        <v>44693</v>
      </c>
      <c r="B1878" s="2" t="s">
        <v>561</v>
      </c>
      <c r="C1878" s="2" t="s">
        <v>704</v>
      </c>
      <c r="D1878" s="2" t="s">
        <v>434</v>
      </c>
      <c r="E1878" s="2" t="s">
        <v>356</v>
      </c>
      <c r="F1878" s="2"/>
      <c r="G1878" s="2" t="s">
        <v>386</v>
      </c>
      <c r="H1878" s="2" t="str">
        <f aca="false">IF(LEFT(B1878,10)="Arsenal v ",MID(B1878,11,100),LEFT(B1878,FIND(" v ",B1878)-1))</f>
        <v>Tottenham Hotspur</v>
      </c>
      <c r="I1878" s="2" t="str">
        <f aca="false">IF(F1878&lt;&gt;"","N",IF(LEFT(B1878,10)="Arsenal v ","H","A"))</f>
        <v>A</v>
      </c>
      <c r="J1878" s="2"/>
    </row>
    <row r="1879" customFormat="false" ht="15" hidden="false" customHeight="false" outlineLevel="0" collapsed="false">
      <c r="A1879" s="3" t="n">
        <v>44697</v>
      </c>
      <c r="B1879" s="2" t="s">
        <v>501</v>
      </c>
      <c r="C1879" s="2" t="s">
        <v>704</v>
      </c>
      <c r="D1879" s="2" t="s">
        <v>351</v>
      </c>
      <c r="E1879" s="2" t="s">
        <v>356</v>
      </c>
      <c r="F1879" s="2"/>
      <c r="G1879" s="2" t="s">
        <v>386</v>
      </c>
      <c r="H1879" s="2" t="str">
        <f aca="false">IF(LEFT(B1879,10)="Arsenal v ",MID(B1879,11,100),LEFT(B1879,FIND(" v ",B1879)-1))</f>
        <v>Newcastle United</v>
      </c>
      <c r="I1879" s="2" t="str">
        <f aca="false">IF(F1879&lt;&gt;"","N",IF(LEFT(B1879,10)="Arsenal v ","H","A"))</f>
        <v>A</v>
      </c>
      <c r="J1879" s="2"/>
    </row>
    <row r="1880" customFormat="false" ht="15" hidden="false" customHeight="false" outlineLevel="0" collapsed="false">
      <c r="A1880" s="3" t="n">
        <v>44703</v>
      </c>
      <c r="B1880" s="2" t="s">
        <v>718</v>
      </c>
      <c r="C1880" s="2" t="s">
        <v>702</v>
      </c>
      <c r="D1880" s="2" t="s">
        <v>401</v>
      </c>
      <c r="E1880" s="2" t="s">
        <v>356</v>
      </c>
      <c r="F1880" s="2"/>
      <c r="G1880" s="2" t="s">
        <v>386</v>
      </c>
      <c r="H1880" s="2" t="str">
        <f aca="false">IF(LEFT(B1880,10)="Arsenal v ",MID(B1880,11,100),LEFT(B1880,FIND(" v ",B1880)-1))</f>
        <v>Everton</v>
      </c>
      <c r="I1880" s="2" t="str">
        <f aca="false">IF(F1880&lt;&gt;"","N",IF(LEFT(B1880,10)="Arsenal v ","H","A"))</f>
        <v>H</v>
      </c>
      <c r="J1880" s="2"/>
    </row>
    <row r="1881" customFormat="false" ht="15" hidden="false" customHeight="false" outlineLevel="0" collapsed="false">
      <c r="A1881" s="3" t="n">
        <v>44778</v>
      </c>
      <c r="B1881" s="2" t="s">
        <v>433</v>
      </c>
      <c r="C1881" s="2" t="s">
        <v>702</v>
      </c>
      <c r="D1881" s="2" t="s">
        <v>353</v>
      </c>
      <c r="E1881" s="2" t="s">
        <v>356</v>
      </c>
      <c r="F1881" s="2"/>
      <c r="G1881" s="2" t="s">
        <v>147</v>
      </c>
      <c r="H1881" s="2" t="str">
        <f aca="false">IF(LEFT(B1881,10)="Arsenal v ",MID(B1881,11,100),LEFT(B1881,FIND(" v ",B1881)-1))</f>
        <v>Crystal Palace</v>
      </c>
      <c r="I1881" s="2" t="str">
        <f aca="false">IF(F1881&lt;&gt;"","N",IF(LEFT(B1881,10)="Arsenal v ","H","A"))</f>
        <v>A</v>
      </c>
      <c r="J1881" s="2"/>
    </row>
    <row r="1882" customFormat="false" ht="15" hidden="false" customHeight="false" outlineLevel="0" collapsed="false">
      <c r="A1882" s="3" t="n">
        <v>44786</v>
      </c>
      <c r="B1882" s="2" t="s">
        <v>733</v>
      </c>
      <c r="C1882" s="2" t="s">
        <v>702</v>
      </c>
      <c r="D1882" s="2" t="s">
        <v>479</v>
      </c>
      <c r="E1882" s="2" t="s">
        <v>356</v>
      </c>
      <c r="F1882" s="2"/>
      <c r="G1882" s="2" t="s">
        <v>147</v>
      </c>
      <c r="H1882" s="2" t="str">
        <f aca="false">IF(LEFT(B1882,10)="Arsenal v ",MID(B1882,11,100),LEFT(B1882,FIND(" v ",B1882)-1))</f>
        <v>Leicester City</v>
      </c>
      <c r="I1882" s="2" t="str">
        <f aca="false">IF(F1882&lt;&gt;"","N",IF(LEFT(B1882,10)="Arsenal v ","H","A"))</f>
        <v>H</v>
      </c>
      <c r="J1882" s="2"/>
    </row>
    <row r="1883" customFormat="false" ht="15" hidden="false" customHeight="false" outlineLevel="0" collapsed="false">
      <c r="A1883" s="3" t="n">
        <v>44793</v>
      </c>
      <c r="B1883" s="2" t="s">
        <v>357</v>
      </c>
      <c r="C1883" s="2" t="s">
        <v>702</v>
      </c>
      <c r="D1883" s="2" t="s">
        <v>363</v>
      </c>
      <c r="E1883" s="2" t="s">
        <v>356</v>
      </c>
      <c r="F1883" s="2"/>
      <c r="G1883" s="2" t="s">
        <v>147</v>
      </c>
      <c r="H1883" s="2" t="str">
        <f aca="false">IF(LEFT(B1883,10)="Arsenal v ",MID(B1883,11,100),LEFT(B1883,FIND(" v ",B1883)-1))</f>
        <v>AFC Bournemouth</v>
      </c>
      <c r="I1883" s="2" t="str">
        <f aca="false">IF(F1883&lt;&gt;"","N",IF(LEFT(B1883,10)="Arsenal v ","H","A"))</f>
        <v>A</v>
      </c>
      <c r="J1883" s="2"/>
    </row>
    <row r="1884" customFormat="false" ht="15" hidden="false" customHeight="false" outlineLevel="0" collapsed="false">
      <c r="A1884" s="3" t="n">
        <v>44800</v>
      </c>
      <c r="B1884" s="2" t="s">
        <v>784</v>
      </c>
      <c r="C1884" s="2" t="s">
        <v>702</v>
      </c>
      <c r="D1884" s="2" t="s">
        <v>359</v>
      </c>
      <c r="E1884" s="2" t="s">
        <v>356</v>
      </c>
      <c r="F1884" s="2"/>
      <c r="G1884" s="2" t="s">
        <v>147</v>
      </c>
      <c r="H1884" s="2" t="str">
        <f aca="false">IF(LEFT(B1884,10)="Arsenal v ",MID(B1884,11,100),LEFT(B1884,FIND(" v ",B1884)-1))</f>
        <v>Fulham</v>
      </c>
      <c r="I1884" s="2" t="str">
        <f aca="false">IF(F1884&lt;&gt;"","N",IF(LEFT(B1884,10)="Arsenal v ","H","A"))</f>
        <v>H</v>
      </c>
      <c r="J1884" s="2"/>
    </row>
    <row r="1885" customFormat="false" ht="15" hidden="false" customHeight="false" outlineLevel="0" collapsed="false">
      <c r="A1885" s="3" t="n">
        <v>44804</v>
      </c>
      <c r="B1885" s="2" t="s">
        <v>703</v>
      </c>
      <c r="C1885" s="2" t="s">
        <v>702</v>
      </c>
      <c r="D1885" s="2" t="s">
        <v>359</v>
      </c>
      <c r="E1885" s="2" t="s">
        <v>356</v>
      </c>
      <c r="F1885" s="2"/>
      <c r="G1885" s="2" t="s">
        <v>147</v>
      </c>
      <c r="H1885" s="2" t="str">
        <f aca="false">IF(LEFT(B1885,10)="Arsenal v ",MID(B1885,11,100),LEFT(B1885,FIND(" v ",B1885)-1))</f>
        <v>Aston Villa</v>
      </c>
      <c r="I1885" s="2" t="str">
        <f aca="false">IF(F1885&lt;&gt;"","N",IF(LEFT(B1885,10)="Arsenal v ","H","A"))</f>
        <v>H</v>
      </c>
      <c r="J1885" s="2"/>
    </row>
    <row r="1886" customFormat="false" ht="15" hidden="false" customHeight="false" outlineLevel="0" collapsed="false">
      <c r="A1886" s="3" t="n">
        <v>44808</v>
      </c>
      <c r="B1886" s="2" t="s">
        <v>490</v>
      </c>
      <c r="C1886" s="2" t="s">
        <v>704</v>
      </c>
      <c r="D1886" s="2" t="s">
        <v>377</v>
      </c>
      <c r="E1886" s="2" t="s">
        <v>356</v>
      </c>
      <c r="F1886" s="2"/>
      <c r="G1886" s="2" t="s">
        <v>147</v>
      </c>
      <c r="H1886" s="2" t="str">
        <f aca="false">IF(LEFT(B1886,10)="Arsenal v ",MID(B1886,11,100),LEFT(B1886,FIND(" v ",B1886)-1))</f>
        <v>Manchester United</v>
      </c>
      <c r="I1886" s="2" t="str">
        <f aca="false">IF(F1886&lt;&gt;"","N",IF(LEFT(B1886,10)="Arsenal v ","H","A"))</f>
        <v>A</v>
      </c>
      <c r="J1886" s="2"/>
    </row>
    <row r="1887" customFormat="false" ht="15" hidden="false" customHeight="false" outlineLevel="0" collapsed="false">
      <c r="A1887" s="3" t="n">
        <v>44812</v>
      </c>
      <c r="B1887" s="2" t="s">
        <v>456</v>
      </c>
      <c r="C1887" s="2" t="s">
        <v>702</v>
      </c>
      <c r="D1887" s="2" t="s">
        <v>360</v>
      </c>
      <c r="E1887" s="2" t="s">
        <v>346</v>
      </c>
      <c r="F1887" s="2"/>
      <c r="G1887" s="2" t="s">
        <v>147</v>
      </c>
      <c r="H1887" s="2" t="str">
        <f aca="false">IF(LEFT(B1887,10)="Arsenal v ",MID(B1887,11,100),LEFT(B1887,FIND(" v ",B1887)-1))</f>
        <v>FC Zurich</v>
      </c>
      <c r="I1887" s="2" t="str">
        <f aca="false">IF(F1887&lt;&gt;"","N",IF(LEFT(B1887,10)="Arsenal v ","H","A"))</f>
        <v>A</v>
      </c>
      <c r="J1887" s="2"/>
    </row>
    <row r="1888" customFormat="false" ht="15" hidden="false" customHeight="false" outlineLevel="0" collapsed="false">
      <c r="A1888" s="3" t="n">
        <v>44822</v>
      </c>
      <c r="B1888" s="2" t="s">
        <v>416</v>
      </c>
      <c r="C1888" s="2" t="s">
        <v>702</v>
      </c>
      <c r="D1888" s="2" t="s">
        <v>363</v>
      </c>
      <c r="E1888" s="2" t="s">
        <v>356</v>
      </c>
      <c r="F1888" s="2"/>
      <c r="G1888" s="2" t="s">
        <v>147</v>
      </c>
      <c r="H1888" s="2" t="str">
        <f aca="false">IF(LEFT(B1888,10)="Arsenal v ",MID(B1888,11,100),LEFT(B1888,FIND(" v ",B1888)-1))</f>
        <v>Brentford</v>
      </c>
      <c r="I1888" s="2" t="str">
        <f aca="false">IF(F1888&lt;&gt;"","N",IF(LEFT(B1888,10)="Arsenal v ","H","A"))</f>
        <v>A</v>
      </c>
      <c r="J1888" s="2"/>
    </row>
    <row r="1889" customFormat="false" ht="15" hidden="false" customHeight="false" outlineLevel="0" collapsed="false">
      <c r="A1889" s="3" t="n">
        <v>44835</v>
      </c>
      <c r="B1889" s="2" t="s">
        <v>655</v>
      </c>
      <c r="C1889" s="2" t="s">
        <v>702</v>
      </c>
      <c r="D1889" s="2" t="s">
        <v>377</v>
      </c>
      <c r="E1889" s="2" t="s">
        <v>356</v>
      </c>
      <c r="F1889" s="2"/>
      <c r="G1889" s="2" t="s">
        <v>147</v>
      </c>
      <c r="H1889" s="2" t="str">
        <f aca="false">IF(LEFT(B1889,10)="Arsenal v ",MID(B1889,11,100),LEFT(B1889,FIND(" v ",B1889)-1))</f>
        <v>Tottenham Hotspur</v>
      </c>
      <c r="I1889" s="2" t="str">
        <f aca="false">IF(F1889&lt;&gt;"","N",IF(LEFT(B1889,10)="Arsenal v ","H","A"))</f>
        <v>H</v>
      </c>
      <c r="J1889" s="2"/>
    </row>
    <row r="1890" customFormat="false" ht="15" hidden="false" customHeight="false" outlineLevel="0" collapsed="false">
      <c r="A1890" s="3" t="n">
        <v>44840</v>
      </c>
      <c r="B1890" s="2" t="s">
        <v>867</v>
      </c>
      <c r="C1890" s="2" t="s">
        <v>702</v>
      </c>
      <c r="D1890" s="2" t="s">
        <v>434</v>
      </c>
      <c r="E1890" s="2" t="s">
        <v>346</v>
      </c>
      <c r="F1890" s="2"/>
      <c r="G1890" s="2" t="s">
        <v>147</v>
      </c>
      <c r="H1890" s="2" t="str">
        <f aca="false">IF(LEFT(B1890,10)="Arsenal v ",MID(B1890,11,100),LEFT(B1890,FIND(" v ",B1890)-1))</f>
        <v>FK Bodo Glimt</v>
      </c>
      <c r="I1890" s="2" t="str">
        <f aca="false">IF(F1890&lt;&gt;"","N",IF(LEFT(B1890,10)="Arsenal v ","H","A"))</f>
        <v>H</v>
      </c>
      <c r="J1890" s="2"/>
    </row>
    <row r="1891" customFormat="false" ht="15" hidden="false" customHeight="false" outlineLevel="0" collapsed="false">
      <c r="A1891" s="3" t="n">
        <v>44843</v>
      </c>
      <c r="B1891" s="2" t="s">
        <v>710</v>
      </c>
      <c r="C1891" s="2" t="s">
        <v>702</v>
      </c>
      <c r="D1891" s="2" t="s">
        <v>382</v>
      </c>
      <c r="E1891" s="2" t="s">
        <v>356</v>
      </c>
      <c r="F1891" s="2"/>
      <c r="G1891" s="2" t="s">
        <v>147</v>
      </c>
      <c r="H1891" s="2" t="str">
        <f aca="false">IF(LEFT(B1891,10)="Arsenal v ",MID(B1891,11,100),LEFT(B1891,FIND(" v ",B1891)-1))</f>
        <v>Liverpool</v>
      </c>
      <c r="I1891" s="2" t="str">
        <f aca="false">IF(F1891&lt;&gt;"","N",IF(LEFT(B1891,10)="Arsenal v ","H","A"))</f>
        <v>H</v>
      </c>
      <c r="J1891" s="2"/>
    </row>
    <row r="1892" customFormat="false" ht="15" hidden="false" customHeight="false" outlineLevel="0" collapsed="false">
      <c r="A1892" s="3" t="n">
        <v>44847</v>
      </c>
      <c r="B1892" s="2" t="s">
        <v>459</v>
      </c>
      <c r="C1892" s="2" t="s">
        <v>702</v>
      </c>
      <c r="D1892" s="2" t="s">
        <v>383</v>
      </c>
      <c r="E1892" s="2" t="s">
        <v>346</v>
      </c>
      <c r="F1892" s="2"/>
      <c r="G1892" s="2" t="s">
        <v>147</v>
      </c>
      <c r="H1892" s="2" t="str">
        <f aca="false">IF(LEFT(B1892,10)="Arsenal v ",MID(B1892,11,100),LEFT(B1892,FIND(" v ",B1892)-1))</f>
        <v>FK Bodo Glimt</v>
      </c>
      <c r="I1892" s="2" t="str">
        <f aca="false">IF(F1892&lt;&gt;"","N",IF(LEFT(B1892,10)="Arsenal v ","H","A"))</f>
        <v>A</v>
      </c>
      <c r="J1892" s="2"/>
    </row>
    <row r="1893" customFormat="false" ht="15" hidden="false" customHeight="false" outlineLevel="0" collapsed="false">
      <c r="A1893" s="3" t="n">
        <v>44850</v>
      </c>
      <c r="B1893" s="2" t="s">
        <v>473</v>
      </c>
      <c r="C1893" s="2" t="s">
        <v>702</v>
      </c>
      <c r="D1893" s="2" t="s">
        <v>383</v>
      </c>
      <c r="E1893" s="2" t="s">
        <v>356</v>
      </c>
      <c r="F1893" s="2"/>
      <c r="G1893" s="2" t="s">
        <v>147</v>
      </c>
      <c r="H1893" s="2" t="str">
        <f aca="false">IF(LEFT(B1893,10)="Arsenal v ",MID(B1893,11,100),LEFT(B1893,FIND(" v ",B1893)-1))</f>
        <v>Leeds United</v>
      </c>
      <c r="I1893" s="2" t="str">
        <f aca="false">IF(F1893&lt;&gt;"","N",IF(LEFT(B1893,10)="Arsenal v ","H","A"))</f>
        <v>A</v>
      </c>
      <c r="J1893" s="2"/>
    </row>
    <row r="1894" customFormat="false" ht="15" hidden="false" customHeight="false" outlineLevel="0" collapsed="false">
      <c r="A1894" s="3" t="n">
        <v>44854</v>
      </c>
      <c r="B1894" s="2" t="s">
        <v>790</v>
      </c>
      <c r="C1894" s="2" t="s">
        <v>702</v>
      </c>
      <c r="D1894" s="2" t="s">
        <v>348</v>
      </c>
      <c r="E1894" s="2" t="s">
        <v>346</v>
      </c>
      <c r="F1894" s="2"/>
      <c r="G1894" s="2" t="s">
        <v>147</v>
      </c>
      <c r="H1894" s="2" t="str">
        <f aca="false">IF(LEFT(B1894,10)="Arsenal v ",MID(B1894,11,100),LEFT(B1894,FIND(" v ",B1894)-1))</f>
        <v>PSV Eindhoven</v>
      </c>
      <c r="I1894" s="2" t="str">
        <f aca="false">IF(F1894&lt;&gt;"","N",IF(LEFT(B1894,10)="Arsenal v ","H","A"))</f>
        <v>H</v>
      </c>
      <c r="J1894" s="2"/>
    </row>
    <row r="1895" customFormat="false" ht="15" hidden="false" customHeight="false" outlineLevel="0" collapsed="false">
      <c r="A1895" s="3" t="n">
        <v>44857</v>
      </c>
      <c r="B1895" s="2" t="s">
        <v>546</v>
      </c>
      <c r="C1895" s="2" t="s">
        <v>706</v>
      </c>
      <c r="D1895" s="2" t="s">
        <v>361</v>
      </c>
      <c r="E1895" s="2" t="s">
        <v>356</v>
      </c>
      <c r="F1895" s="2"/>
      <c r="G1895" s="2" t="s">
        <v>147</v>
      </c>
      <c r="H1895" s="2" t="str">
        <f aca="false">IF(LEFT(B1895,10)="Arsenal v ",MID(B1895,11,100),LEFT(B1895,FIND(" v ",B1895)-1))</f>
        <v>Southampton</v>
      </c>
      <c r="I1895" s="2" t="str">
        <f aca="false">IF(F1895&lt;&gt;"","N",IF(LEFT(B1895,10)="Arsenal v ","H","A"))</f>
        <v>A</v>
      </c>
      <c r="J1895" s="2"/>
    </row>
    <row r="1896" customFormat="false" ht="15" hidden="false" customHeight="false" outlineLevel="0" collapsed="false">
      <c r="A1896" s="3" t="n">
        <v>44861</v>
      </c>
      <c r="B1896" s="2" t="s">
        <v>522</v>
      </c>
      <c r="C1896" s="2" t="s">
        <v>704</v>
      </c>
      <c r="D1896" s="2" t="s">
        <v>351</v>
      </c>
      <c r="E1896" s="2" t="s">
        <v>346</v>
      </c>
      <c r="F1896" s="2"/>
      <c r="G1896" s="2" t="s">
        <v>147</v>
      </c>
      <c r="H1896" s="2" t="str">
        <f aca="false">IF(LEFT(B1896,10)="Arsenal v ",MID(B1896,11,100),LEFT(B1896,FIND(" v ",B1896)-1))</f>
        <v>PSV Eindhoven</v>
      </c>
      <c r="I1896" s="2" t="str">
        <f aca="false">IF(F1896&lt;&gt;"","N",IF(LEFT(B1896,10)="Arsenal v ","H","A"))</f>
        <v>A</v>
      </c>
      <c r="J1896" s="2"/>
    </row>
    <row r="1897" customFormat="false" ht="15" hidden="false" customHeight="false" outlineLevel="0" collapsed="false">
      <c r="A1897" s="3" t="n">
        <v>44864</v>
      </c>
      <c r="B1897" s="2" t="s">
        <v>716</v>
      </c>
      <c r="C1897" s="2" t="s">
        <v>702</v>
      </c>
      <c r="D1897" s="2" t="s">
        <v>489</v>
      </c>
      <c r="E1897" s="2" t="s">
        <v>356</v>
      </c>
      <c r="F1897" s="2"/>
      <c r="G1897" s="2" t="s">
        <v>147</v>
      </c>
      <c r="H1897" s="2" t="str">
        <f aca="false">IF(LEFT(B1897,10)="Arsenal v ",MID(B1897,11,100),LEFT(B1897,FIND(" v ",B1897)-1))</f>
        <v>Nottingham Forest</v>
      </c>
      <c r="I1897" s="2" t="str">
        <f aca="false">IF(F1897&lt;&gt;"","N",IF(LEFT(B1897,10)="Arsenal v ","H","A"))</f>
        <v>H</v>
      </c>
      <c r="J1897" s="2"/>
    </row>
    <row r="1898" customFormat="false" ht="15" hidden="false" customHeight="false" outlineLevel="0" collapsed="false">
      <c r="A1898" s="3" t="n">
        <v>44868</v>
      </c>
      <c r="B1898" s="2" t="s">
        <v>868</v>
      </c>
      <c r="C1898" s="2" t="s">
        <v>702</v>
      </c>
      <c r="D1898" s="2" t="s">
        <v>348</v>
      </c>
      <c r="E1898" s="2" t="s">
        <v>346</v>
      </c>
      <c r="F1898" s="2"/>
      <c r="G1898" s="2" t="s">
        <v>147</v>
      </c>
      <c r="H1898" s="2" t="str">
        <f aca="false">IF(LEFT(B1898,10)="Arsenal v ",MID(B1898,11,100),LEFT(B1898,FIND(" v ",B1898)-1))</f>
        <v>FC Zurich</v>
      </c>
      <c r="I1898" s="2" t="str">
        <f aca="false">IF(F1898&lt;&gt;"","N",IF(LEFT(B1898,10)="Arsenal v ","H","A"))</f>
        <v>H</v>
      </c>
      <c r="J1898" s="2"/>
    </row>
    <row r="1899" customFormat="false" ht="15" hidden="false" customHeight="false" outlineLevel="0" collapsed="false">
      <c r="A1899" s="3" t="n">
        <v>44871</v>
      </c>
      <c r="B1899" s="2" t="s">
        <v>426</v>
      </c>
      <c r="C1899" s="2" t="s">
        <v>702</v>
      </c>
      <c r="D1899" s="2" t="s">
        <v>383</v>
      </c>
      <c r="E1899" s="2" t="s">
        <v>356</v>
      </c>
      <c r="F1899" s="2"/>
      <c r="G1899" s="2" t="s">
        <v>147</v>
      </c>
      <c r="H1899" s="2" t="str">
        <f aca="false">IF(LEFT(B1899,10)="Arsenal v ",MID(B1899,11,100),LEFT(B1899,FIND(" v ",B1899)-1))</f>
        <v>Chelsea</v>
      </c>
      <c r="I1899" s="2" t="str">
        <f aca="false">IF(F1899&lt;&gt;"","N",IF(LEFT(B1899,10)="Arsenal v ","H","A"))</f>
        <v>A</v>
      </c>
      <c r="J1899" s="2"/>
    </row>
    <row r="1900" customFormat="false" ht="15" hidden="false" customHeight="false" outlineLevel="0" collapsed="false">
      <c r="A1900" s="3" t="n">
        <v>44874</v>
      </c>
      <c r="B1900" s="2" t="s">
        <v>848</v>
      </c>
      <c r="C1900" s="2" t="s">
        <v>704</v>
      </c>
      <c r="D1900" s="2" t="s">
        <v>373</v>
      </c>
      <c r="E1900" s="2" t="s">
        <v>379</v>
      </c>
      <c r="F1900" s="2"/>
      <c r="G1900" s="2" t="s">
        <v>147</v>
      </c>
      <c r="H1900" s="2" t="str">
        <f aca="false">IF(LEFT(B1900,10)="Arsenal v ",MID(B1900,11,100),LEFT(B1900,FIND(" v ",B1900)-1))</f>
        <v>Brighton and Hove Albion</v>
      </c>
      <c r="I1900" s="2" t="str">
        <f aca="false">IF(F1900&lt;&gt;"","N",IF(LEFT(B1900,10)="Arsenal v ","H","A"))</f>
        <v>H</v>
      </c>
      <c r="J1900" s="2"/>
    </row>
    <row r="1901" customFormat="false" ht="15" hidden="false" customHeight="false" outlineLevel="0" collapsed="false">
      <c r="A1901" s="3" t="n">
        <v>44877</v>
      </c>
      <c r="B1901" s="2" t="s">
        <v>575</v>
      </c>
      <c r="C1901" s="2" t="s">
        <v>702</v>
      </c>
      <c r="D1901" s="2" t="s">
        <v>353</v>
      </c>
      <c r="E1901" s="2" t="s">
        <v>356</v>
      </c>
      <c r="F1901" s="2"/>
      <c r="G1901" s="2" t="s">
        <v>147</v>
      </c>
      <c r="H1901" s="2" t="str">
        <f aca="false">IF(LEFT(B1901,10)="Arsenal v ",MID(B1901,11,100),LEFT(B1901,FIND(" v ",B1901)-1))</f>
        <v>Wolverhampton Wanderers</v>
      </c>
      <c r="I1901" s="2" t="str">
        <f aca="false">IF(F1901&lt;&gt;"","N",IF(LEFT(B1901,10)="Arsenal v ","H","A"))</f>
        <v>A</v>
      </c>
      <c r="J1901" s="2"/>
    </row>
    <row r="1902" customFormat="false" ht="15" hidden="false" customHeight="false" outlineLevel="0" collapsed="false">
      <c r="A1902" s="3" t="n">
        <v>44921</v>
      </c>
      <c r="B1902" s="2" t="s">
        <v>712</v>
      </c>
      <c r="C1902" s="2" t="s">
        <v>702</v>
      </c>
      <c r="D1902" s="2" t="s">
        <v>377</v>
      </c>
      <c r="E1902" s="2" t="s">
        <v>356</v>
      </c>
      <c r="F1902" s="2"/>
      <c r="G1902" s="2" t="s">
        <v>147</v>
      </c>
      <c r="H1902" s="2" t="str">
        <f aca="false">IF(LEFT(B1902,10)="Arsenal v ",MID(B1902,11,100),LEFT(B1902,FIND(" v ",B1902)-1))</f>
        <v>West Ham United</v>
      </c>
      <c r="I1902" s="2" t="str">
        <f aca="false">IF(F1902&lt;&gt;"","N",IF(LEFT(B1902,10)="Arsenal v ","H","A"))</f>
        <v>H</v>
      </c>
      <c r="J1902" s="2"/>
    </row>
    <row r="1903" customFormat="false" ht="15" hidden="false" customHeight="false" outlineLevel="0" collapsed="false">
      <c r="A1903" s="3" t="n">
        <v>44926</v>
      </c>
      <c r="B1903" s="2" t="s">
        <v>417</v>
      </c>
      <c r="C1903" s="2" t="s">
        <v>702</v>
      </c>
      <c r="D1903" s="2" t="s">
        <v>384</v>
      </c>
      <c r="E1903" s="2" t="s">
        <v>356</v>
      </c>
      <c r="F1903" s="2"/>
      <c r="G1903" s="2" t="s">
        <v>147</v>
      </c>
      <c r="H1903" s="2" t="str">
        <f aca="false">IF(LEFT(B1903,10)="Arsenal v ",MID(B1903,11,100),LEFT(B1903,FIND(" v ",B1903)-1))</f>
        <v>Brighton and Hove Albion</v>
      </c>
      <c r="I1903" s="2" t="str">
        <f aca="false">IF(F1903&lt;&gt;"","N",IF(LEFT(B1903,10)="Arsenal v ","H","A"))</f>
        <v>A</v>
      </c>
      <c r="J1903" s="2"/>
    </row>
    <row r="1904" customFormat="false" ht="15" hidden="false" customHeight="false" outlineLevel="0" collapsed="false">
      <c r="A1904" s="3" t="n">
        <v>44929</v>
      </c>
      <c r="B1904" s="2" t="s">
        <v>719</v>
      </c>
      <c r="C1904" s="2" t="s">
        <v>706</v>
      </c>
      <c r="D1904" s="2" t="s">
        <v>369</v>
      </c>
      <c r="E1904" s="2" t="s">
        <v>356</v>
      </c>
      <c r="F1904" s="2"/>
      <c r="G1904" s="2" t="s">
        <v>147</v>
      </c>
      <c r="H1904" s="2" t="str">
        <f aca="false">IF(LEFT(B1904,10)="Arsenal v ",MID(B1904,11,100),LEFT(B1904,FIND(" v ",B1904)-1))</f>
        <v>Newcastle United</v>
      </c>
      <c r="I1904" s="2" t="str">
        <f aca="false">IF(F1904&lt;&gt;"","N",IF(LEFT(B1904,10)="Arsenal v ","H","A"))</f>
        <v>H</v>
      </c>
      <c r="J1904" s="2"/>
    </row>
    <row r="1905" customFormat="false" ht="15" hidden="false" customHeight="false" outlineLevel="0" collapsed="false">
      <c r="A1905" s="3" t="n">
        <v>44935</v>
      </c>
      <c r="B1905" s="2" t="s">
        <v>511</v>
      </c>
      <c r="C1905" s="2" t="s">
        <v>702</v>
      </c>
      <c r="D1905" s="2" t="s">
        <v>363</v>
      </c>
      <c r="E1905" s="2" t="s">
        <v>362</v>
      </c>
      <c r="F1905" s="2"/>
      <c r="G1905" s="2" t="s">
        <v>147</v>
      </c>
      <c r="H1905" s="2" t="str">
        <f aca="false">IF(LEFT(B1905,10)="Arsenal v ",MID(B1905,11,100),LEFT(B1905,FIND(" v ",B1905)-1))</f>
        <v>Oxford United</v>
      </c>
      <c r="I1905" s="2" t="str">
        <f aca="false">IF(F1905&lt;&gt;"","N",IF(LEFT(B1905,10)="Arsenal v ","H","A"))</f>
        <v>A</v>
      </c>
      <c r="J1905" s="2"/>
    </row>
    <row r="1906" customFormat="false" ht="15" hidden="false" customHeight="false" outlineLevel="0" collapsed="false">
      <c r="A1906" s="3" t="n">
        <v>44941</v>
      </c>
      <c r="B1906" s="2" t="s">
        <v>561</v>
      </c>
      <c r="C1906" s="2" t="s">
        <v>702</v>
      </c>
      <c r="D1906" s="2" t="s">
        <v>353</v>
      </c>
      <c r="E1906" s="2" t="s">
        <v>356</v>
      </c>
      <c r="F1906" s="2"/>
      <c r="G1906" s="2" t="s">
        <v>147</v>
      </c>
      <c r="H1906" s="2" t="str">
        <f aca="false">IF(LEFT(B1906,10)="Arsenal v ",MID(B1906,11,100),LEFT(B1906,FIND(" v ",B1906)-1))</f>
        <v>Tottenham Hotspur</v>
      </c>
      <c r="I1906" s="2" t="str">
        <f aca="false">IF(F1906&lt;&gt;"","N",IF(LEFT(B1906,10)="Arsenal v ","H","A"))</f>
        <v>A</v>
      </c>
      <c r="J1906" s="2"/>
    </row>
    <row r="1907" customFormat="false" ht="15" hidden="false" customHeight="false" outlineLevel="0" collapsed="false">
      <c r="A1907" s="3" t="n">
        <v>44948</v>
      </c>
      <c r="B1907" s="2" t="s">
        <v>656</v>
      </c>
      <c r="C1907" s="2" t="s">
        <v>702</v>
      </c>
      <c r="D1907" s="2" t="s">
        <v>382</v>
      </c>
      <c r="E1907" s="2" t="s">
        <v>356</v>
      </c>
      <c r="F1907" s="2"/>
      <c r="G1907" s="2" t="s">
        <v>147</v>
      </c>
      <c r="H1907" s="2" t="str">
        <f aca="false">IF(LEFT(B1907,10)="Arsenal v ",MID(B1907,11,100),LEFT(B1907,FIND(" v ",B1907)-1))</f>
        <v>Manchester United</v>
      </c>
      <c r="I1907" s="2" t="str">
        <f aca="false">IF(F1907&lt;&gt;"","N",IF(LEFT(B1907,10)="Arsenal v ","H","A"))</f>
        <v>H</v>
      </c>
      <c r="J1907" s="2"/>
    </row>
    <row r="1908" customFormat="false" ht="15" hidden="false" customHeight="false" outlineLevel="0" collapsed="false">
      <c r="A1908" s="3" t="n">
        <v>44953</v>
      </c>
      <c r="B1908" s="2" t="s">
        <v>487</v>
      </c>
      <c r="C1908" s="2" t="s">
        <v>704</v>
      </c>
      <c r="D1908" s="2" t="s">
        <v>348</v>
      </c>
      <c r="E1908" s="2" t="s">
        <v>362</v>
      </c>
      <c r="F1908" s="2"/>
      <c r="G1908" s="2" t="s">
        <v>147</v>
      </c>
      <c r="H1908" s="2" t="str">
        <f aca="false">IF(LEFT(B1908,10)="Arsenal v ",MID(B1908,11,100),LEFT(B1908,FIND(" v ",B1908)-1))</f>
        <v>Manchester City</v>
      </c>
      <c r="I1908" s="2" t="str">
        <f aca="false">IF(F1908&lt;&gt;"","N",IF(LEFT(B1908,10)="Arsenal v ","H","A"))</f>
        <v>A</v>
      </c>
      <c r="J1908" s="2"/>
    </row>
    <row r="1909" customFormat="false" ht="15" hidden="false" customHeight="false" outlineLevel="0" collapsed="false">
      <c r="A1909" s="3" t="n">
        <v>44961</v>
      </c>
      <c r="B1909" s="2" t="s">
        <v>448</v>
      </c>
      <c r="C1909" s="2" t="s">
        <v>704</v>
      </c>
      <c r="D1909" s="2" t="s">
        <v>348</v>
      </c>
      <c r="E1909" s="2" t="s">
        <v>356</v>
      </c>
      <c r="F1909" s="2"/>
      <c r="G1909" s="2" t="s">
        <v>147</v>
      </c>
      <c r="H1909" s="2" t="str">
        <f aca="false">IF(LEFT(B1909,10)="Arsenal v ",MID(B1909,11,100),LEFT(B1909,FIND(" v ",B1909)-1))</f>
        <v>Everton</v>
      </c>
      <c r="I1909" s="2" t="str">
        <f aca="false">IF(F1909&lt;&gt;"","N",IF(LEFT(B1909,10)="Arsenal v ","H","A"))</f>
        <v>A</v>
      </c>
      <c r="J1909" s="2"/>
    </row>
    <row r="1910" customFormat="false" ht="15" hidden="false" customHeight="false" outlineLevel="0" collapsed="false">
      <c r="A1910" s="3" t="n">
        <v>44968</v>
      </c>
      <c r="B1910" s="2" t="s">
        <v>855</v>
      </c>
      <c r="C1910" s="2" t="s">
        <v>706</v>
      </c>
      <c r="D1910" s="2" t="s">
        <v>361</v>
      </c>
      <c r="E1910" s="2" t="s">
        <v>356</v>
      </c>
      <c r="F1910" s="2"/>
      <c r="G1910" s="2" t="s">
        <v>147</v>
      </c>
      <c r="H1910" s="2" t="str">
        <f aca="false">IF(LEFT(B1910,10)="Arsenal v ",MID(B1910,11,100),LEFT(B1910,FIND(" v ",B1910)-1))</f>
        <v>Brentford</v>
      </c>
      <c r="I1910" s="2" t="str">
        <f aca="false">IF(F1910&lt;&gt;"","N",IF(LEFT(B1910,10)="Arsenal v ","H","A"))</f>
        <v>H</v>
      </c>
      <c r="J1910" s="2"/>
    </row>
    <row r="1911" customFormat="false" ht="15" hidden="false" customHeight="false" outlineLevel="0" collapsed="false">
      <c r="A1911" s="3" t="n">
        <v>44972</v>
      </c>
      <c r="B1911" s="2" t="s">
        <v>657</v>
      </c>
      <c r="C1911" s="2" t="s">
        <v>704</v>
      </c>
      <c r="D1911" s="2" t="s">
        <v>373</v>
      </c>
      <c r="E1911" s="2" t="s">
        <v>356</v>
      </c>
      <c r="F1911" s="2"/>
      <c r="G1911" s="2" t="s">
        <v>147</v>
      </c>
      <c r="H1911" s="2" t="str">
        <f aca="false">IF(LEFT(B1911,10)="Arsenal v ",MID(B1911,11,100),LEFT(B1911,FIND(" v ",B1911)-1))</f>
        <v>Manchester City</v>
      </c>
      <c r="I1911" s="2" t="str">
        <f aca="false">IF(F1911&lt;&gt;"","N",IF(LEFT(B1911,10)="Arsenal v ","H","A"))</f>
        <v>H</v>
      </c>
      <c r="J1911" s="2"/>
    </row>
    <row r="1912" customFormat="false" ht="15" hidden="false" customHeight="false" outlineLevel="0" collapsed="false">
      <c r="A1912" s="3" t="n">
        <v>44975</v>
      </c>
      <c r="B1912" s="2" t="s">
        <v>376</v>
      </c>
      <c r="C1912" s="2" t="s">
        <v>702</v>
      </c>
      <c r="D1912" s="2" t="s">
        <v>384</v>
      </c>
      <c r="E1912" s="2" t="s">
        <v>356</v>
      </c>
      <c r="F1912" s="2"/>
      <c r="G1912" s="2" t="s">
        <v>147</v>
      </c>
      <c r="H1912" s="2" t="str">
        <f aca="false">IF(LEFT(B1912,10)="Arsenal v ",MID(B1912,11,100),LEFT(B1912,FIND(" v ",B1912)-1))</f>
        <v>Aston Villa</v>
      </c>
      <c r="I1912" s="2" t="str">
        <f aca="false">IF(F1912&lt;&gt;"","N",IF(LEFT(B1912,10)="Arsenal v ","H","A"))</f>
        <v>A</v>
      </c>
      <c r="J1912" s="2"/>
    </row>
    <row r="1913" customFormat="false" ht="15" hidden="false" customHeight="false" outlineLevel="0" collapsed="false">
      <c r="A1913" s="3" t="n">
        <v>44982</v>
      </c>
      <c r="B1913" s="2" t="s">
        <v>474</v>
      </c>
      <c r="C1913" s="2" t="s">
        <v>702</v>
      </c>
      <c r="D1913" s="2" t="s">
        <v>383</v>
      </c>
      <c r="E1913" s="2" t="s">
        <v>356</v>
      </c>
      <c r="F1913" s="2"/>
      <c r="G1913" s="2" t="s">
        <v>147</v>
      </c>
      <c r="H1913" s="2" t="str">
        <f aca="false">IF(LEFT(B1913,10)="Arsenal v ",MID(B1913,11,100),LEFT(B1913,FIND(" v ",B1913)-1))</f>
        <v>Leicester City</v>
      </c>
      <c r="I1913" s="2" t="str">
        <f aca="false">IF(F1913&lt;&gt;"","N",IF(LEFT(B1913,10)="Arsenal v ","H","A"))</f>
        <v>A</v>
      </c>
      <c r="J1913" s="2"/>
    </row>
    <row r="1914" customFormat="false" ht="15" hidden="false" customHeight="false" outlineLevel="0" collapsed="false">
      <c r="A1914" s="3" t="n">
        <v>44986</v>
      </c>
      <c r="B1914" s="2" t="s">
        <v>718</v>
      </c>
      <c r="C1914" s="2" t="s">
        <v>702</v>
      </c>
      <c r="D1914" s="2" t="s">
        <v>354</v>
      </c>
      <c r="E1914" s="2" t="s">
        <v>356</v>
      </c>
      <c r="F1914" s="2"/>
      <c r="G1914" s="2" t="s">
        <v>147</v>
      </c>
      <c r="H1914" s="2" t="str">
        <f aca="false">IF(LEFT(B1914,10)="Arsenal v ",MID(B1914,11,100),LEFT(B1914,FIND(" v ",B1914)-1))</f>
        <v>Everton</v>
      </c>
      <c r="I1914" s="2" t="str">
        <f aca="false">IF(F1914&lt;&gt;"","N",IF(LEFT(B1914,10)="Arsenal v ","H","A"))</f>
        <v>H</v>
      </c>
      <c r="J1914" s="2"/>
    </row>
    <row r="1915" customFormat="false" ht="15" hidden="false" customHeight="false" outlineLevel="0" collapsed="false">
      <c r="A1915" s="3" t="n">
        <v>44989</v>
      </c>
      <c r="B1915" s="2" t="s">
        <v>841</v>
      </c>
      <c r="C1915" s="2" t="s">
        <v>702</v>
      </c>
      <c r="D1915" s="2" t="s">
        <v>382</v>
      </c>
      <c r="E1915" s="2" t="s">
        <v>356</v>
      </c>
      <c r="F1915" s="2"/>
      <c r="G1915" s="2" t="s">
        <v>147</v>
      </c>
      <c r="H1915" s="2" t="str">
        <f aca="false">IF(LEFT(B1915,10)="Arsenal v ",MID(B1915,11,100),LEFT(B1915,FIND(" v ",B1915)-1))</f>
        <v>AFC Bournemouth</v>
      </c>
      <c r="I1915" s="2" t="str">
        <f aca="false">IF(F1915&lt;&gt;"","N",IF(LEFT(B1915,10)="Arsenal v ","H","A"))</f>
        <v>H</v>
      </c>
      <c r="J1915" s="2"/>
    </row>
    <row r="1916" customFormat="false" ht="15" hidden="false" customHeight="false" outlineLevel="0" collapsed="false">
      <c r="A1916" s="3" t="n">
        <v>44994</v>
      </c>
      <c r="B1916" s="2" t="s">
        <v>550</v>
      </c>
      <c r="C1916" s="2" t="s">
        <v>706</v>
      </c>
      <c r="D1916" s="2" t="s">
        <v>380</v>
      </c>
      <c r="E1916" s="2" t="s">
        <v>346</v>
      </c>
      <c r="F1916" s="2"/>
      <c r="G1916" s="2" t="s">
        <v>147</v>
      </c>
      <c r="H1916" s="2" t="str">
        <f aca="false">IF(LEFT(B1916,10)="Arsenal v ",MID(B1916,11,100),LEFT(B1916,FIND(" v ",B1916)-1))</f>
        <v>Sporting Clube Portugal</v>
      </c>
      <c r="I1916" s="2" t="str">
        <f aca="false">IF(F1916&lt;&gt;"","N",IF(LEFT(B1916,10)="Arsenal v ","H","A"))</f>
        <v>A</v>
      </c>
      <c r="J1916" s="2"/>
    </row>
    <row r="1917" customFormat="false" ht="15" hidden="false" customHeight="false" outlineLevel="0" collapsed="false">
      <c r="A1917" s="3" t="n">
        <v>44997</v>
      </c>
      <c r="B1917" s="2" t="s">
        <v>461</v>
      </c>
      <c r="C1917" s="2" t="s">
        <v>702</v>
      </c>
      <c r="D1917" s="2" t="s">
        <v>363</v>
      </c>
      <c r="E1917" s="2" t="s">
        <v>356</v>
      </c>
      <c r="F1917" s="2"/>
      <c r="G1917" s="2" t="s">
        <v>147</v>
      </c>
      <c r="H1917" s="2" t="str">
        <f aca="false">IF(LEFT(B1917,10)="Arsenal v ",MID(B1917,11,100),LEFT(B1917,FIND(" v ",B1917)-1))</f>
        <v>Fulham</v>
      </c>
      <c r="I1917" s="2" t="str">
        <f aca="false">IF(F1917&lt;&gt;"","N",IF(LEFT(B1917,10)="Arsenal v ","H","A"))</f>
        <v>A</v>
      </c>
      <c r="J1917" s="2"/>
    </row>
    <row r="1918" customFormat="false" ht="15" hidden="false" customHeight="false" outlineLevel="0" collapsed="false">
      <c r="A1918" s="3" t="n">
        <v>45001</v>
      </c>
      <c r="B1918" s="2" t="s">
        <v>856</v>
      </c>
      <c r="C1918" s="2" t="s">
        <v>704</v>
      </c>
      <c r="D1918" s="2" t="s">
        <v>869</v>
      </c>
      <c r="E1918" s="2" t="s">
        <v>346</v>
      </c>
      <c r="F1918" s="2"/>
      <c r="G1918" s="2" t="s">
        <v>147</v>
      </c>
      <c r="H1918" s="2" t="str">
        <f aca="false">IF(LEFT(B1918,10)="Arsenal v ",MID(B1918,11,100),LEFT(B1918,FIND(" v ",B1918)-1))</f>
        <v>Sporting Clube Portugal</v>
      </c>
      <c r="I1918" s="2" t="str">
        <f aca="false">IF(F1918&lt;&gt;"","N",IF(LEFT(B1918,10)="Arsenal v ","H","A"))</f>
        <v>H</v>
      </c>
      <c r="J1918" s="2"/>
    </row>
    <row r="1919" customFormat="false" ht="15" hidden="false" customHeight="false" outlineLevel="0" collapsed="false">
      <c r="A1919" s="3" t="n">
        <v>45004</v>
      </c>
      <c r="B1919" s="2" t="s">
        <v>724</v>
      </c>
      <c r="C1919" s="2" t="s">
        <v>702</v>
      </c>
      <c r="D1919" s="2" t="s">
        <v>397</v>
      </c>
      <c r="E1919" s="2" t="s">
        <v>356</v>
      </c>
      <c r="F1919" s="2"/>
      <c r="G1919" s="2" t="s">
        <v>147</v>
      </c>
      <c r="H1919" s="2" t="str">
        <f aca="false">IF(LEFT(B1919,10)="Arsenal v ",MID(B1919,11,100),LEFT(B1919,FIND(" v ",B1919)-1))</f>
        <v>Crystal Palace</v>
      </c>
      <c r="I1919" s="2" t="str">
        <f aca="false">IF(F1919&lt;&gt;"","N",IF(LEFT(B1919,10)="Arsenal v ","H","A"))</f>
        <v>H</v>
      </c>
      <c r="J1919" s="2"/>
    </row>
    <row r="1920" customFormat="false" ht="15" hidden="false" customHeight="false" outlineLevel="0" collapsed="false">
      <c r="A1920" s="3" t="n">
        <v>45017</v>
      </c>
      <c r="B1920" s="2" t="s">
        <v>729</v>
      </c>
      <c r="C1920" s="2" t="s">
        <v>702</v>
      </c>
      <c r="D1920" s="2" t="s">
        <v>397</v>
      </c>
      <c r="E1920" s="2" t="s">
        <v>356</v>
      </c>
      <c r="F1920" s="2"/>
      <c r="G1920" s="2" t="s">
        <v>147</v>
      </c>
      <c r="H1920" s="2" t="str">
        <f aca="false">IF(LEFT(B1920,10)="Arsenal v ",MID(B1920,11,100),LEFT(B1920,FIND(" v ",B1920)-1))</f>
        <v>Leeds United</v>
      </c>
      <c r="I1920" s="2" t="str">
        <f aca="false">IF(F1920&lt;&gt;"","N",IF(LEFT(B1920,10)="Arsenal v ","H","A"))</f>
        <v>H</v>
      </c>
      <c r="J1920" s="2"/>
    </row>
    <row r="1921" customFormat="false" ht="15" hidden="false" customHeight="false" outlineLevel="0" collapsed="false">
      <c r="A1921" s="3" t="n">
        <v>45025</v>
      </c>
      <c r="B1921" s="2" t="s">
        <v>477</v>
      </c>
      <c r="C1921" s="2" t="s">
        <v>706</v>
      </c>
      <c r="D1921" s="2" t="s">
        <v>380</v>
      </c>
      <c r="E1921" s="2" t="s">
        <v>356</v>
      </c>
      <c r="F1921" s="2"/>
      <c r="G1921" s="2" t="s">
        <v>147</v>
      </c>
      <c r="H1921" s="2" t="str">
        <f aca="false">IF(LEFT(B1921,10)="Arsenal v ",MID(B1921,11,100),LEFT(B1921,FIND(" v ",B1921)-1))</f>
        <v>Liverpool</v>
      </c>
      <c r="I1921" s="2" t="str">
        <f aca="false">IF(F1921&lt;&gt;"","N",IF(LEFT(B1921,10)="Arsenal v ","H","A"))</f>
        <v>A</v>
      </c>
      <c r="J1921" s="2"/>
    </row>
    <row r="1922" customFormat="false" ht="15" hidden="false" customHeight="false" outlineLevel="0" collapsed="false">
      <c r="A1922" s="3" t="n">
        <v>45032</v>
      </c>
      <c r="B1922" s="2" t="s">
        <v>572</v>
      </c>
      <c r="C1922" s="2" t="s">
        <v>706</v>
      </c>
      <c r="D1922" s="2" t="s">
        <v>380</v>
      </c>
      <c r="E1922" s="2" t="s">
        <v>356</v>
      </c>
      <c r="F1922" s="2"/>
      <c r="G1922" s="2" t="s">
        <v>147</v>
      </c>
      <c r="H1922" s="2" t="str">
        <f aca="false">IF(LEFT(B1922,10)="Arsenal v ",MID(B1922,11,100),LEFT(B1922,FIND(" v ",B1922)-1))</f>
        <v>West Ham United</v>
      </c>
      <c r="I1922" s="2" t="str">
        <f aca="false">IF(F1922&lt;&gt;"","N",IF(LEFT(B1922,10)="Arsenal v ","H","A"))</f>
        <v>A</v>
      </c>
      <c r="J1922" s="2"/>
    </row>
    <row r="1923" customFormat="false" ht="15" hidden="false" customHeight="false" outlineLevel="0" collapsed="false">
      <c r="A1923" s="3" t="n">
        <v>45037</v>
      </c>
      <c r="B1923" s="2" t="s">
        <v>705</v>
      </c>
      <c r="C1923" s="2" t="s">
        <v>706</v>
      </c>
      <c r="D1923" s="2" t="s">
        <v>358</v>
      </c>
      <c r="E1923" s="2" t="s">
        <v>356</v>
      </c>
      <c r="F1923" s="2"/>
      <c r="G1923" s="2" t="s">
        <v>147</v>
      </c>
      <c r="H1923" s="2" t="str">
        <f aca="false">IF(LEFT(B1923,10)="Arsenal v ",MID(B1923,11,100),LEFT(B1923,FIND(" v ",B1923)-1))</f>
        <v>Southampton</v>
      </c>
      <c r="I1923" s="2" t="str">
        <f aca="false">IF(F1923&lt;&gt;"","N",IF(LEFT(B1923,10)="Arsenal v ","H","A"))</f>
        <v>H</v>
      </c>
      <c r="J1923" s="2"/>
    </row>
    <row r="1924" customFormat="false" ht="15" hidden="false" customHeight="false" outlineLevel="0" collapsed="false">
      <c r="A1924" s="3" t="n">
        <v>45042</v>
      </c>
      <c r="B1924" s="2" t="s">
        <v>487</v>
      </c>
      <c r="C1924" s="2" t="s">
        <v>704</v>
      </c>
      <c r="D1924" s="2" t="s">
        <v>397</v>
      </c>
      <c r="E1924" s="2" t="s">
        <v>356</v>
      </c>
      <c r="F1924" s="2"/>
      <c r="G1924" s="2" t="s">
        <v>147</v>
      </c>
      <c r="H1924" s="2" t="str">
        <f aca="false">IF(LEFT(B1924,10)="Arsenal v ",MID(B1924,11,100),LEFT(B1924,FIND(" v ",B1924)-1))</f>
        <v>Manchester City</v>
      </c>
      <c r="I1924" s="2" t="str">
        <f aca="false">IF(F1924&lt;&gt;"","N",IF(LEFT(B1924,10)="Arsenal v ","H","A"))</f>
        <v>A</v>
      </c>
      <c r="J1924" s="2"/>
    </row>
    <row r="1925" customFormat="false" ht="15" hidden="false" customHeight="false" outlineLevel="0" collapsed="false">
      <c r="A1925" s="3" t="n">
        <v>45048</v>
      </c>
      <c r="B1925" s="2" t="s">
        <v>725</v>
      </c>
      <c r="C1925" s="2" t="s">
        <v>702</v>
      </c>
      <c r="D1925" s="2" t="s">
        <v>377</v>
      </c>
      <c r="E1925" s="2" t="s">
        <v>356</v>
      </c>
      <c r="F1925" s="2"/>
      <c r="G1925" s="2" t="s">
        <v>147</v>
      </c>
      <c r="H1925" s="2" t="str">
        <f aca="false">IF(LEFT(B1925,10)="Arsenal v ",MID(B1925,11,100),LEFT(B1925,FIND(" v ",B1925)-1))</f>
        <v>Chelsea</v>
      </c>
      <c r="I1925" s="2" t="str">
        <f aca="false">IF(F1925&lt;&gt;"","N",IF(LEFT(B1925,10)="Arsenal v ","H","A"))</f>
        <v>H</v>
      </c>
      <c r="J1925" s="2"/>
    </row>
    <row r="1926" customFormat="false" ht="15" hidden="false" customHeight="false" outlineLevel="0" collapsed="false">
      <c r="A1926" s="3" t="n">
        <v>45053</v>
      </c>
      <c r="B1926" s="2" t="s">
        <v>501</v>
      </c>
      <c r="C1926" s="2" t="s">
        <v>702</v>
      </c>
      <c r="D1926" s="2" t="s">
        <v>353</v>
      </c>
      <c r="E1926" s="2" t="s">
        <v>356</v>
      </c>
      <c r="F1926" s="2"/>
      <c r="G1926" s="2" t="s">
        <v>147</v>
      </c>
      <c r="H1926" s="2" t="str">
        <f aca="false">IF(LEFT(B1926,10)="Arsenal v ",MID(B1926,11,100),LEFT(B1926,FIND(" v ",B1926)-1))</f>
        <v>Newcastle United</v>
      </c>
      <c r="I1926" s="2" t="str">
        <f aca="false">IF(F1926&lt;&gt;"","N",IF(LEFT(B1926,10)="Arsenal v ","H","A"))</f>
        <v>A</v>
      </c>
      <c r="J1926" s="2"/>
    </row>
    <row r="1927" customFormat="false" ht="15" hidden="false" customHeight="false" outlineLevel="0" collapsed="false">
      <c r="A1927" s="3" t="n">
        <v>45060</v>
      </c>
      <c r="B1927" s="2" t="s">
        <v>848</v>
      </c>
      <c r="C1927" s="2" t="s">
        <v>704</v>
      </c>
      <c r="D1927" s="2" t="s">
        <v>363</v>
      </c>
      <c r="E1927" s="2" t="s">
        <v>356</v>
      </c>
      <c r="F1927" s="2"/>
      <c r="G1927" s="2" t="s">
        <v>147</v>
      </c>
      <c r="H1927" s="2" t="str">
        <f aca="false">IF(LEFT(B1927,10)="Arsenal v ",MID(B1927,11,100),LEFT(B1927,FIND(" v ",B1927)-1))</f>
        <v>Brighton and Hove Albion</v>
      </c>
      <c r="I1927" s="2" t="str">
        <f aca="false">IF(F1927&lt;&gt;"","N",IF(LEFT(B1927,10)="Arsenal v ","H","A"))</f>
        <v>H</v>
      </c>
      <c r="J1927" s="2"/>
    </row>
    <row r="1928" customFormat="false" ht="15" hidden="false" customHeight="false" outlineLevel="0" collapsed="false">
      <c r="A1928" s="3" t="n">
        <v>45066</v>
      </c>
      <c r="B1928" s="2" t="s">
        <v>503</v>
      </c>
      <c r="C1928" s="2" t="s">
        <v>704</v>
      </c>
      <c r="D1928" s="2" t="s">
        <v>348</v>
      </c>
      <c r="E1928" s="2" t="s">
        <v>356</v>
      </c>
      <c r="F1928" s="2"/>
      <c r="G1928" s="2" t="s">
        <v>147</v>
      </c>
      <c r="H1928" s="2" t="str">
        <f aca="false">IF(LEFT(B1928,10)="Arsenal v ",MID(B1928,11,100),LEFT(B1928,FIND(" v ",B1928)-1))</f>
        <v>Nottingham Forest</v>
      </c>
      <c r="I1928" s="2" t="str">
        <f aca="false">IF(F1928&lt;&gt;"","N",IF(LEFT(B1928,10)="Arsenal v ","H","A"))</f>
        <v>A</v>
      </c>
      <c r="J1928" s="2"/>
    </row>
    <row r="1929" customFormat="false" ht="15" hidden="false" customHeight="false" outlineLevel="0" collapsed="false">
      <c r="A1929" s="3" t="n">
        <v>45074</v>
      </c>
      <c r="B1929" s="2" t="s">
        <v>762</v>
      </c>
      <c r="C1929" s="2" t="s">
        <v>702</v>
      </c>
      <c r="D1929" s="2" t="s">
        <v>489</v>
      </c>
      <c r="E1929" s="2" t="s">
        <v>356</v>
      </c>
      <c r="F1929" s="2"/>
      <c r="G1929" s="2" t="s">
        <v>147</v>
      </c>
      <c r="H1929" s="2" t="str">
        <f aca="false">IF(LEFT(B1929,10)="Arsenal v ",MID(B1929,11,100),LEFT(B1929,FIND(" v ",B1929)-1))</f>
        <v>Wolverhampton Wanderers</v>
      </c>
      <c r="I1929" s="2" t="str">
        <f aca="false">IF(F1929&lt;&gt;"","N",IF(LEFT(B1929,10)="Arsenal v ","H","A"))</f>
        <v>H</v>
      </c>
      <c r="J1929" s="2"/>
    </row>
    <row r="1930" customFormat="false" ht="15" hidden="false" customHeight="false" outlineLevel="0" collapsed="false">
      <c r="A1930" s="3" t="n">
        <v>45144</v>
      </c>
      <c r="B1930" s="2" t="s">
        <v>657</v>
      </c>
      <c r="C1930" s="2" t="s">
        <v>702</v>
      </c>
      <c r="D1930" s="2" t="s">
        <v>845</v>
      </c>
      <c r="E1930" s="2" t="s">
        <v>787</v>
      </c>
      <c r="F1930" s="2"/>
      <c r="G1930" s="2" t="s">
        <v>364</v>
      </c>
      <c r="H1930" s="2" t="str">
        <f aca="false">IF(LEFT(B1930,10)="Arsenal v ",MID(B1930,11,100),LEFT(B1930,FIND(" v ",B1930)-1))</f>
        <v>Manchester City</v>
      </c>
      <c r="I1930" s="2" t="str">
        <f aca="false">IF(F1930&lt;&gt;"","N",IF(LEFT(B1930,10)="Arsenal v ","H","A"))</f>
        <v>H</v>
      </c>
      <c r="J1930" s="2"/>
    </row>
    <row r="1931" customFormat="false" ht="15" hidden="false" customHeight="false" outlineLevel="0" collapsed="false">
      <c r="A1931" s="3" t="n">
        <v>45150</v>
      </c>
      <c r="B1931" s="2" t="s">
        <v>716</v>
      </c>
      <c r="C1931" s="2" t="s">
        <v>702</v>
      </c>
      <c r="D1931" s="2" t="s">
        <v>359</v>
      </c>
      <c r="E1931" s="2" t="s">
        <v>356</v>
      </c>
      <c r="F1931" s="2"/>
      <c r="G1931" s="2" t="s">
        <v>364</v>
      </c>
      <c r="H1931" s="2" t="str">
        <f aca="false">IF(LEFT(B1931,10)="Arsenal v ",MID(B1931,11,100),LEFT(B1931,FIND(" v ",B1931)-1))</f>
        <v>Nottingham Forest</v>
      </c>
      <c r="I1931" s="2" t="str">
        <f aca="false">IF(F1931&lt;&gt;"","N",IF(LEFT(B1931,10)="Arsenal v ","H","A"))</f>
        <v>H</v>
      </c>
      <c r="J1931" s="2"/>
    </row>
    <row r="1932" customFormat="false" ht="15" hidden="false" customHeight="false" outlineLevel="0" collapsed="false">
      <c r="A1932" s="3" t="n">
        <v>45159</v>
      </c>
      <c r="B1932" s="2" t="s">
        <v>433</v>
      </c>
      <c r="C1932" s="2" t="s">
        <v>702</v>
      </c>
      <c r="D1932" s="2" t="s">
        <v>383</v>
      </c>
      <c r="E1932" s="2" t="s">
        <v>356</v>
      </c>
      <c r="F1932" s="2"/>
      <c r="G1932" s="2" t="s">
        <v>364</v>
      </c>
      <c r="H1932" s="2" t="str">
        <f aca="false">IF(LEFT(B1932,10)="Arsenal v ",MID(B1932,11,100),LEFT(B1932,FIND(" v ",B1932)-1))</f>
        <v>Crystal Palace</v>
      </c>
      <c r="I1932" s="2" t="str">
        <f aca="false">IF(F1932&lt;&gt;"","N",IF(LEFT(B1932,10)="Arsenal v ","H","A"))</f>
        <v>A</v>
      </c>
      <c r="J1932" s="2"/>
    </row>
    <row r="1933" customFormat="false" ht="15" hidden="false" customHeight="false" outlineLevel="0" collapsed="false">
      <c r="A1933" s="3" t="n">
        <v>45164</v>
      </c>
      <c r="B1933" s="2" t="s">
        <v>784</v>
      </c>
      <c r="C1933" s="2" t="s">
        <v>706</v>
      </c>
      <c r="D1933" s="2" t="s">
        <v>380</v>
      </c>
      <c r="E1933" s="2" t="s">
        <v>356</v>
      </c>
      <c r="F1933" s="2"/>
      <c r="G1933" s="2" t="s">
        <v>364</v>
      </c>
      <c r="H1933" s="2" t="str">
        <f aca="false">IF(LEFT(B1933,10)="Arsenal v ",MID(B1933,11,100),LEFT(B1933,FIND(" v ",B1933)-1))</f>
        <v>Fulham</v>
      </c>
      <c r="I1933" s="2" t="str">
        <f aca="false">IF(F1933&lt;&gt;"","N",IF(LEFT(B1933,10)="Arsenal v ","H","A"))</f>
        <v>H</v>
      </c>
      <c r="J1933" s="2"/>
    </row>
    <row r="1934" customFormat="false" ht="15" hidden="false" customHeight="false" outlineLevel="0" collapsed="false">
      <c r="A1934" s="3" t="n">
        <v>45172</v>
      </c>
      <c r="B1934" s="2" t="s">
        <v>656</v>
      </c>
      <c r="C1934" s="2" t="s">
        <v>702</v>
      </c>
      <c r="D1934" s="2" t="s">
        <v>377</v>
      </c>
      <c r="E1934" s="2" t="s">
        <v>356</v>
      </c>
      <c r="F1934" s="2"/>
      <c r="G1934" s="2" t="s">
        <v>364</v>
      </c>
      <c r="H1934" s="2" t="str">
        <f aca="false">IF(LEFT(B1934,10)="Arsenal v ",MID(B1934,11,100),LEFT(B1934,FIND(" v ",B1934)-1))</f>
        <v>Manchester United</v>
      </c>
      <c r="I1934" s="2" t="str">
        <f aca="false">IF(F1934&lt;&gt;"","N",IF(LEFT(B1934,10)="Arsenal v ","H","A"))</f>
        <v>H</v>
      </c>
      <c r="J1934" s="2"/>
    </row>
    <row r="1935" customFormat="false" ht="15" hidden="false" customHeight="false" outlineLevel="0" collapsed="false">
      <c r="A1935" s="3" t="n">
        <v>45186</v>
      </c>
      <c r="B1935" s="2" t="s">
        <v>448</v>
      </c>
      <c r="C1935" s="2" t="s">
        <v>702</v>
      </c>
      <c r="D1935" s="2" t="s">
        <v>383</v>
      </c>
      <c r="E1935" s="2" t="s">
        <v>356</v>
      </c>
      <c r="F1935" s="2"/>
      <c r="G1935" s="2" t="s">
        <v>364</v>
      </c>
      <c r="H1935" s="2" t="str">
        <f aca="false">IF(LEFT(B1935,10)="Arsenal v ",MID(B1935,11,100),LEFT(B1935,FIND(" v ",B1935)-1))</f>
        <v>Everton</v>
      </c>
      <c r="I1935" s="2" t="str">
        <f aca="false">IF(F1935&lt;&gt;"","N",IF(LEFT(B1935,10)="Arsenal v ","H","A"))</f>
        <v>A</v>
      </c>
      <c r="J1935" s="2"/>
    </row>
    <row r="1936" customFormat="false" ht="15" hidden="false" customHeight="false" outlineLevel="0" collapsed="false">
      <c r="A1936" s="3" t="n">
        <v>45189</v>
      </c>
      <c r="B1936" s="2" t="s">
        <v>790</v>
      </c>
      <c r="C1936" s="2" t="s">
        <v>702</v>
      </c>
      <c r="D1936" s="2" t="s">
        <v>354</v>
      </c>
      <c r="E1936" s="2" t="s">
        <v>352</v>
      </c>
      <c r="F1936" s="2"/>
      <c r="G1936" s="2" t="s">
        <v>364</v>
      </c>
      <c r="H1936" s="2" t="str">
        <f aca="false">IF(LEFT(B1936,10)="Arsenal v ",MID(B1936,11,100),LEFT(B1936,FIND(" v ",B1936)-1))</f>
        <v>PSV Eindhoven</v>
      </c>
      <c r="I1936" s="2" t="str">
        <f aca="false">IF(F1936&lt;&gt;"","N",IF(LEFT(B1936,10)="Arsenal v ","H","A"))</f>
        <v>H</v>
      </c>
      <c r="J1936" s="2"/>
    </row>
    <row r="1937" customFormat="false" ht="15" hidden="false" customHeight="false" outlineLevel="0" collapsed="false">
      <c r="A1937" s="3" t="n">
        <v>45193</v>
      </c>
      <c r="B1937" s="2" t="s">
        <v>655</v>
      </c>
      <c r="C1937" s="2" t="s">
        <v>706</v>
      </c>
      <c r="D1937" s="2" t="s">
        <v>380</v>
      </c>
      <c r="E1937" s="2" t="s">
        <v>356</v>
      </c>
      <c r="F1937" s="2"/>
      <c r="G1937" s="2" t="s">
        <v>364</v>
      </c>
      <c r="H1937" s="2" t="str">
        <f aca="false">IF(LEFT(B1937,10)="Arsenal v ",MID(B1937,11,100),LEFT(B1937,FIND(" v ",B1937)-1))</f>
        <v>Tottenham Hotspur</v>
      </c>
      <c r="I1937" s="2" t="str">
        <f aca="false">IF(F1937&lt;&gt;"","N",IF(LEFT(B1937,10)="Arsenal v ","H","A"))</f>
        <v>H</v>
      </c>
      <c r="J1937" s="2"/>
    </row>
    <row r="1938" customFormat="false" ht="15" hidden="false" customHeight="false" outlineLevel="0" collapsed="false">
      <c r="A1938" s="3" t="n">
        <v>45196</v>
      </c>
      <c r="B1938" s="2" t="s">
        <v>416</v>
      </c>
      <c r="C1938" s="2" t="s">
        <v>702</v>
      </c>
      <c r="D1938" s="2" t="s">
        <v>383</v>
      </c>
      <c r="E1938" s="2" t="s">
        <v>379</v>
      </c>
      <c r="F1938" s="2"/>
      <c r="G1938" s="2" t="s">
        <v>364</v>
      </c>
      <c r="H1938" s="2" t="str">
        <f aca="false">IF(LEFT(B1938,10)="Arsenal v ",MID(B1938,11,100),LEFT(B1938,FIND(" v ",B1938)-1))</f>
        <v>Brentford</v>
      </c>
      <c r="I1938" s="2" t="str">
        <f aca="false">IF(F1938&lt;&gt;"","N",IF(LEFT(B1938,10)="Arsenal v ","H","A"))</f>
        <v>A</v>
      </c>
      <c r="J1938" s="2"/>
    </row>
    <row r="1939" customFormat="false" ht="15" hidden="false" customHeight="false" outlineLevel="0" collapsed="false">
      <c r="A1939" s="3" t="n">
        <v>45199</v>
      </c>
      <c r="B1939" s="2" t="s">
        <v>357</v>
      </c>
      <c r="C1939" s="2" t="s">
        <v>702</v>
      </c>
      <c r="D1939" s="2" t="s">
        <v>365</v>
      </c>
      <c r="E1939" s="2" t="s">
        <v>356</v>
      </c>
      <c r="F1939" s="2"/>
      <c r="G1939" s="2" t="s">
        <v>364</v>
      </c>
      <c r="H1939" s="2" t="str">
        <f aca="false">IF(LEFT(B1939,10)="Arsenal v ",MID(B1939,11,100),LEFT(B1939,FIND(" v ",B1939)-1))</f>
        <v>AFC Bournemouth</v>
      </c>
      <c r="I1939" s="2" t="str">
        <f aca="false">IF(F1939&lt;&gt;"","N",IF(LEFT(B1939,10)="Arsenal v ","H","A"))</f>
        <v>A</v>
      </c>
      <c r="J1939" s="2"/>
    </row>
    <row r="1940" customFormat="false" ht="15" hidden="false" customHeight="false" outlineLevel="0" collapsed="false">
      <c r="A1940" s="3" t="n">
        <v>45202</v>
      </c>
      <c r="B1940" s="2" t="s">
        <v>529</v>
      </c>
      <c r="C1940" s="2" t="s">
        <v>704</v>
      </c>
      <c r="D1940" s="2" t="s">
        <v>359</v>
      </c>
      <c r="E1940" s="2" t="s">
        <v>352</v>
      </c>
      <c r="F1940" s="2"/>
      <c r="G1940" s="2" t="s">
        <v>364</v>
      </c>
      <c r="H1940" s="2" t="str">
        <f aca="false">IF(LEFT(B1940,10)="Arsenal v ",MID(B1940,11,100),LEFT(B1940,FIND(" v ",B1940)-1))</f>
        <v>RC Lens</v>
      </c>
      <c r="I1940" s="2" t="str">
        <f aca="false">IF(F1940&lt;&gt;"","N",IF(LEFT(B1940,10)="Arsenal v ","H","A"))</f>
        <v>A</v>
      </c>
      <c r="J1940" s="2"/>
    </row>
    <row r="1941" customFormat="false" ht="15" hidden="false" customHeight="false" outlineLevel="0" collapsed="false">
      <c r="A1941" s="3" t="n">
        <v>45207</v>
      </c>
      <c r="B1941" s="2" t="s">
        <v>657</v>
      </c>
      <c r="C1941" s="2" t="s">
        <v>702</v>
      </c>
      <c r="D1941" s="2" t="s">
        <v>348</v>
      </c>
      <c r="E1941" s="2" t="s">
        <v>356</v>
      </c>
      <c r="F1941" s="2"/>
      <c r="G1941" s="2" t="s">
        <v>364</v>
      </c>
      <c r="H1941" s="2" t="str">
        <f aca="false">IF(LEFT(B1941,10)="Arsenal v ",MID(B1941,11,100),LEFT(B1941,FIND(" v ",B1941)-1))</f>
        <v>Manchester City</v>
      </c>
      <c r="I1941" s="2" t="str">
        <f aca="false">IF(F1941&lt;&gt;"","N",IF(LEFT(B1941,10)="Arsenal v ","H","A"))</f>
        <v>H</v>
      </c>
      <c r="J1941" s="2"/>
    </row>
    <row r="1942" customFormat="false" ht="15" hidden="false" customHeight="false" outlineLevel="0" collapsed="false">
      <c r="A1942" s="3" t="n">
        <v>45220</v>
      </c>
      <c r="B1942" s="2" t="s">
        <v>426</v>
      </c>
      <c r="C1942" s="2" t="s">
        <v>706</v>
      </c>
      <c r="D1942" s="2" t="s">
        <v>380</v>
      </c>
      <c r="E1942" s="2" t="s">
        <v>356</v>
      </c>
      <c r="F1942" s="2"/>
      <c r="G1942" s="2" t="s">
        <v>364</v>
      </c>
      <c r="H1942" s="2" t="str">
        <f aca="false">IF(LEFT(B1942,10)="Arsenal v ",MID(B1942,11,100),LEFT(B1942,FIND(" v ",B1942)-1))</f>
        <v>Chelsea</v>
      </c>
      <c r="I1942" s="2" t="str">
        <f aca="false">IF(F1942&lt;&gt;"","N",IF(LEFT(B1942,10)="Arsenal v ","H","A"))</f>
        <v>A</v>
      </c>
      <c r="J1942" s="2"/>
    </row>
    <row r="1943" customFormat="false" ht="15" hidden="false" customHeight="false" outlineLevel="0" collapsed="false">
      <c r="A1943" s="3" t="n">
        <v>45223</v>
      </c>
      <c r="B1943" s="2" t="s">
        <v>539</v>
      </c>
      <c r="C1943" s="2" t="s">
        <v>702</v>
      </c>
      <c r="D1943" s="2" t="s">
        <v>360</v>
      </c>
      <c r="E1943" s="2" t="s">
        <v>352</v>
      </c>
      <c r="F1943" s="2"/>
      <c r="G1943" s="2" t="s">
        <v>364</v>
      </c>
      <c r="H1943" s="2" t="str">
        <f aca="false">IF(LEFT(B1943,10)="Arsenal v ",MID(B1943,11,100),LEFT(B1943,FIND(" v ",B1943)-1))</f>
        <v>Sevilla</v>
      </c>
      <c r="I1943" s="2" t="str">
        <f aca="false">IF(F1943&lt;&gt;"","N",IF(LEFT(B1943,10)="Arsenal v ","H","A"))</f>
        <v>A</v>
      </c>
      <c r="J1943" s="2"/>
    </row>
    <row r="1944" customFormat="false" ht="15" hidden="false" customHeight="false" outlineLevel="0" collapsed="false">
      <c r="A1944" s="3" t="n">
        <v>45227</v>
      </c>
      <c r="B1944" s="2" t="s">
        <v>728</v>
      </c>
      <c r="C1944" s="2" t="s">
        <v>702</v>
      </c>
      <c r="D1944" s="2" t="s">
        <v>489</v>
      </c>
      <c r="E1944" s="2" t="s">
        <v>356</v>
      </c>
      <c r="F1944" s="2"/>
      <c r="G1944" s="2" t="s">
        <v>364</v>
      </c>
      <c r="H1944" s="2" t="str">
        <f aca="false">IF(LEFT(B1944,10)="Arsenal v ",MID(B1944,11,100),LEFT(B1944,FIND(" v ",B1944)-1))</f>
        <v>Sheffield United</v>
      </c>
      <c r="I1944" s="2" t="str">
        <f aca="false">IF(F1944&lt;&gt;"","N",IF(LEFT(B1944,10)="Arsenal v ","H","A"))</f>
        <v>H</v>
      </c>
      <c r="J1944" s="2"/>
    </row>
    <row r="1945" customFormat="false" ht="15" hidden="false" customHeight="false" outlineLevel="0" collapsed="false">
      <c r="A1945" s="3" t="n">
        <v>45231</v>
      </c>
      <c r="B1945" s="2" t="s">
        <v>572</v>
      </c>
      <c r="C1945" s="2" t="s">
        <v>704</v>
      </c>
      <c r="D1945" s="2" t="s">
        <v>377</v>
      </c>
      <c r="E1945" s="2" t="s">
        <v>379</v>
      </c>
      <c r="F1945" s="2"/>
      <c r="G1945" s="2" t="s">
        <v>364</v>
      </c>
      <c r="H1945" s="2" t="str">
        <f aca="false">IF(LEFT(B1945,10)="Arsenal v ",MID(B1945,11,100),LEFT(B1945,FIND(" v ",B1945)-1))</f>
        <v>West Ham United</v>
      </c>
      <c r="I1945" s="2" t="str">
        <f aca="false">IF(F1945&lt;&gt;"","N",IF(LEFT(B1945,10)="Arsenal v ","H","A"))</f>
        <v>A</v>
      </c>
      <c r="J1945" s="2"/>
    </row>
    <row r="1946" customFormat="false" ht="15" hidden="false" customHeight="false" outlineLevel="0" collapsed="false">
      <c r="A1946" s="3" t="n">
        <v>45234</v>
      </c>
      <c r="B1946" s="2" t="s">
        <v>501</v>
      </c>
      <c r="C1946" s="2" t="s">
        <v>704</v>
      </c>
      <c r="D1946" s="2" t="s">
        <v>348</v>
      </c>
      <c r="E1946" s="2" t="s">
        <v>356</v>
      </c>
      <c r="F1946" s="2"/>
      <c r="G1946" s="2" t="s">
        <v>364</v>
      </c>
      <c r="H1946" s="2" t="str">
        <f aca="false">IF(LEFT(B1946,10)="Arsenal v ",MID(B1946,11,100),LEFT(B1946,FIND(" v ",B1946)-1))</f>
        <v>Newcastle United</v>
      </c>
      <c r="I1946" s="2" t="str">
        <f aca="false">IF(F1946&lt;&gt;"","N",IF(LEFT(B1946,10)="Arsenal v ","H","A"))</f>
        <v>A</v>
      </c>
      <c r="J1946" s="2"/>
    </row>
    <row r="1947" customFormat="false" ht="15" hidden="false" customHeight="false" outlineLevel="0" collapsed="false">
      <c r="A1947" s="3" t="n">
        <v>45238</v>
      </c>
      <c r="B1947" s="2" t="s">
        <v>817</v>
      </c>
      <c r="C1947" s="2" t="s">
        <v>702</v>
      </c>
      <c r="D1947" s="2" t="s">
        <v>351</v>
      </c>
      <c r="E1947" s="2" t="s">
        <v>352</v>
      </c>
      <c r="F1947" s="2"/>
      <c r="G1947" s="2" t="s">
        <v>364</v>
      </c>
      <c r="H1947" s="2" t="str">
        <f aca="false">IF(LEFT(B1947,10)="Arsenal v ",MID(B1947,11,100),LEFT(B1947,FIND(" v ",B1947)-1))</f>
        <v>Sevilla</v>
      </c>
      <c r="I1947" s="2" t="str">
        <f aca="false">IF(F1947&lt;&gt;"","N",IF(LEFT(B1947,10)="Arsenal v ","H","A"))</f>
        <v>H</v>
      </c>
      <c r="J1947" s="2"/>
    </row>
    <row r="1948" customFormat="false" ht="15" hidden="false" customHeight="false" outlineLevel="0" collapsed="false">
      <c r="A1948" s="3" t="n">
        <v>45241</v>
      </c>
      <c r="B1948" s="2" t="s">
        <v>822</v>
      </c>
      <c r="C1948" s="2" t="s">
        <v>702</v>
      </c>
      <c r="D1948" s="2" t="s">
        <v>377</v>
      </c>
      <c r="E1948" s="2" t="s">
        <v>356</v>
      </c>
      <c r="F1948" s="2"/>
      <c r="G1948" s="2" t="s">
        <v>364</v>
      </c>
      <c r="H1948" s="2" t="str">
        <f aca="false">IF(LEFT(B1948,10)="Arsenal v ",MID(B1948,11,100),LEFT(B1948,FIND(" v ",B1948)-1))</f>
        <v>Burnley</v>
      </c>
      <c r="I1948" s="2" t="str">
        <f aca="false">IF(F1948&lt;&gt;"","N",IF(LEFT(B1948,10)="Arsenal v ","H","A"))</f>
        <v>H</v>
      </c>
      <c r="J1948" s="2"/>
    </row>
    <row r="1949" customFormat="false" ht="15" hidden="false" customHeight="false" outlineLevel="0" collapsed="false">
      <c r="A1949" s="3" t="n">
        <v>45255</v>
      </c>
      <c r="B1949" s="2" t="s">
        <v>416</v>
      </c>
      <c r="C1949" s="2" t="s">
        <v>702</v>
      </c>
      <c r="D1949" s="2" t="s">
        <v>383</v>
      </c>
      <c r="E1949" s="2" t="s">
        <v>356</v>
      </c>
      <c r="F1949" s="2"/>
      <c r="G1949" s="2" t="s">
        <v>364</v>
      </c>
      <c r="H1949" s="2" t="str">
        <f aca="false">IF(LEFT(B1949,10)="Arsenal v ",MID(B1949,11,100),LEFT(B1949,FIND(" v ",B1949)-1))</f>
        <v>Brentford</v>
      </c>
      <c r="I1949" s="2" t="str">
        <f aca="false">IF(F1949&lt;&gt;"","N",IF(LEFT(B1949,10)="Arsenal v ","H","A"))</f>
        <v>A</v>
      </c>
      <c r="J1949" s="2"/>
    </row>
    <row r="1950" customFormat="false" ht="15" hidden="false" customHeight="false" outlineLevel="0" collapsed="false">
      <c r="A1950" s="3" t="n">
        <v>45259</v>
      </c>
      <c r="B1950" s="2" t="s">
        <v>662</v>
      </c>
      <c r="C1950" s="2" t="s">
        <v>702</v>
      </c>
      <c r="D1950" s="2" t="s">
        <v>428</v>
      </c>
      <c r="E1950" s="2" t="s">
        <v>352</v>
      </c>
      <c r="F1950" s="2"/>
      <c r="G1950" s="2" t="s">
        <v>364</v>
      </c>
      <c r="H1950" s="2" t="str">
        <f aca="false">IF(LEFT(B1950,10)="Arsenal v ",MID(B1950,11,100),LEFT(B1950,FIND(" v ",B1950)-1))</f>
        <v>RC Lens</v>
      </c>
      <c r="I1950" s="2" t="str">
        <f aca="false">IF(F1950&lt;&gt;"","N",IF(LEFT(B1950,10)="Arsenal v ","H","A"))</f>
        <v>H</v>
      </c>
      <c r="J1950" s="2"/>
    </row>
    <row r="1951" customFormat="false" ht="15" hidden="false" customHeight="false" outlineLevel="0" collapsed="false">
      <c r="A1951" s="3" t="n">
        <v>45262</v>
      </c>
      <c r="B1951" s="2" t="s">
        <v>762</v>
      </c>
      <c r="C1951" s="2" t="s">
        <v>702</v>
      </c>
      <c r="D1951" s="2" t="s">
        <v>359</v>
      </c>
      <c r="E1951" s="2" t="s">
        <v>356</v>
      </c>
      <c r="F1951" s="2"/>
      <c r="G1951" s="2" t="s">
        <v>364</v>
      </c>
      <c r="H1951" s="2" t="str">
        <f aca="false">IF(LEFT(B1951,10)="Arsenal v ",MID(B1951,11,100),LEFT(B1951,FIND(" v ",B1951)-1))</f>
        <v>Wolverhampton Wanderers</v>
      </c>
      <c r="I1951" s="2" t="str">
        <f aca="false">IF(F1951&lt;&gt;"","N",IF(LEFT(B1951,10)="Arsenal v ","H","A"))</f>
        <v>H</v>
      </c>
      <c r="J1951" s="2"/>
    </row>
    <row r="1952" customFormat="false" ht="15" hidden="false" customHeight="false" outlineLevel="0" collapsed="false">
      <c r="A1952" s="3" t="n">
        <v>45265</v>
      </c>
      <c r="B1952" s="2" t="s">
        <v>485</v>
      </c>
      <c r="C1952" s="2" t="s">
        <v>702</v>
      </c>
      <c r="D1952" s="2" t="s">
        <v>486</v>
      </c>
      <c r="E1952" s="2" t="s">
        <v>356</v>
      </c>
      <c r="F1952" s="2"/>
      <c r="G1952" s="2" t="s">
        <v>364</v>
      </c>
      <c r="H1952" s="2" t="str">
        <f aca="false">IF(LEFT(B1952,10)="Arsenal v ",MID(B1952,11,100),LEFT(B1952,FIND(" v ",B1952)-1))</f>
        <v>Luton Town</v>
      </c>
      <c r="I1952" s="2" t="str">
        <f aca="false">IF(F1952&lt;&gt;"","N",IF(LEFT(B1952,10)="Arsenal v ","H","A"))</f>
        <v>A</v>
      </c>
      <c r="J1952" s="2"/>
    </row>
    <row r="1953" customFormat="false" ht="15" hidden="false" customHeight="false" outlineLevel="0" collapsed="false">
      <c r="A1953" s="3" t="n">
        <v>45269</v>
      </c>
      <c r="B1953" s="2" t="s">
        <v>376</v>
      </c>
      <c r="C1953" s="2" t="s">
        <v>704</v>
      </c>
      <c r="D1953" s="2" t="s">
        <v>348</v>
      </c>
      <c r="E1953" s="2" t="s">
        <v>356</v>
      </c>
      <c r="F1953" s="2"/>
      <c r="G1953" s="2" t="s">
        <v>364</v>
      </c>
      <c r="H1953" s="2" t="str">
        <f aca="false">IF(LEFT(B1953,10)="Arsenal v ",MID(B1953,11,100),LEFT(B1953,FIND(" v ",B1953)-1))</f>
        <v>Aston Villa</v>
      </c>
      <c r="I1953" s="2" t="str">
        <f aca="false">IF(F1953&lt;&gt;"","N",IF(LEFT(B1953,10)="Arsenal v ","H","A"))</f>
        <v>A</v>
      </c>
      <c r="J1953" s="2"/>
    </row>
    <row r="1954" customFormat="false" ht="15" hidden="false" customHeight="false" outlineLevel="0" collapsed="false">
      <c r="A1954" s="3" t="n">
        <v>45272</v>
      </c>
      <c r="B1954" s="2" t="s">
        <v>522</v>
      </c>
      <c r="C1954" s="2" t="s">
        <v>706</v>
      </c>
      <c r="D1954" s="2" t="s">
        <v>361</v>
      </c>
      <c r="E1954" s="2" t="s">
        <v>352</v>
      </c>
      <c r="F1954" s="2"/>
      <c r="G1954" s="2" t="s">
        <v>364</v>
      </c>
      <c r="H1954" s="2" t="str">
        <f aca="false">IF(LEFT(B1954,10)="Arsenal v ",MID(B1954,11,100),LEFT(B1954,FIND(" v ",B1954)-1))</f>
        <v>PSV Eindhoven</v>
      </c>
      <c r="I1954" s="2" t="str">
        <f aca="false">IF(F1954&lt;&gt;"","N",IF(LEFT(B1954,10)="Arsenal v ","H","A"))</f>
        <v>A</v>
      </c>
      <c r="J1954" s="2"/>
    </row>
    <row r="1955" customFormat="false" ht="15" hidden="false" customHeight="false" outlineLevel="0" collapsed="false">
      <c r="A1955" s="3" t="n">
        <v>45277</v>
      </c>
      <c r="B1955" s="2" t="s">
        <v>848</v>
      </c>
      <c r="C1955" s="2" t="s">
        <v>702</v>
      </c>
      <c r="D1955" s="2" t="s">
        <v>351</v>
      </c>
      <c r="E1955" s="2" t="s">
        <v>356</v>
      </c>
      <c r="F1955" s="2"/>
      <c r="G1955" s="2" t="s">
        <v>364</v>
      </c>
      <c r="H1955" s="2" t="str">
        <f aca="false">IF(LEFT(B1955,10)="Arsenal v ",MID(B1955,11,100),LEFT(B1955,FIND(" v ",B1955)-1))</f>
        <v>Brighton and Hove Albion</v>
      </c>
      <c r="I1955" s="2" t="str">
        <f aca="false">IF(F1955&lt;&gt;"","N",IF(LEFT(B1955,10)="Arsenal v ","H","A"))</f>
        <v>H</v>
      </c>
      <c r="J1955" s="2"/>
    </row>
    <row r="1956" customFormat="false" ht="15" hidden="false" customHeight="false" outlineLevel="0" collapsed="false">
      <c r="A1956" s="3" t="n">
        <v>45283</v>
      </c>
      <c r="B1956" s="2" t="s">
        <v>477</v>
      </c>
      <c r="C1956" s="2" t="s">
        <v>706</v>
      </c>
      <c r="D1956" s="2" t="s">
        <v>361</v>
      </c>
      <c r="E1956" s="2" t="s">
        <v>356</v>
      </c>
      <c r="F1956" s="2"/>
      <c r="G1956" s="2" t="s">
        <v>364</v>
      </c>
      <c r="H1956" s="2" t="str">
        <f aca="false">IF(LEFT(B1956,10)="Arsenal v ",MID(B1956,11,100),LEFT(B1956,FIND(" v ",B1956)-1))</f>
        <v>Liverpool</v>
      </c>
      <c r="I1956" s="2" t="str">
        <f aca="false">IF(F1956&lt;&gt;"","N",IF(LEFT(B1956,10)="Arsenal v ","H","A"))</f>
        <v>A</v>
      </c>
      <c r="J1956" s="2"/>
    </row>
    <row r="1957" customFormat="false" ht="15" hidden="false" customHeight="false" outlineLevel="0" collapsed="false">
      <c r="A1957" s="3" t="n">
        <v>45288</v>
      </c>
      <c r="B1957" s="2" t="s">
        <v>712</v>
      </c>
      <c r="C1957" s="2" t="s">
        <v>704</v>
      </c>
      <c r="D1957" s="2" t="s">
        <v>353</v>
      </c>
      <c r="E1957" s="2" t="s">
        <v>356</v>
      </c>
      <c r="F1957" s="2"/>
      <c r="G1957" s="2" t="s">
        <v>364</v>
      </c>
      <c r="H1957" s="2" t="str">
        <f aca="false">IF(LEFT(B1957,10)="Arsenal v ",MID(B1957,11,100),LEFT(B1957,FIND(" v ",B1957)-1))</f>
        <v>West Ham United</v>
      </c>
      <c r="I1957" s="2" t="str">
        <f aca="false">IF(F1957&lt;&gt;"","N",IF(LEFT(B1957,10)="Arsenal v ","H","A"))</f>
        <v>H</v>
      </c>
      <c r="J1957" s="2"/>
    </row>
    <row r="1958" customFormat="false" ht="15" hidden="false" customHeight="false" outlineLevel="0" collapsed="false">
      <c r="A1958" s="3" t="n">
        <v>45291</v>
      </c>
      <c r="B1958" s="2" t="s">
        <v>461</v>
      </c>
      <c r="C1958" s="2" t="s">
        <v>704</v>
      </c>
      <c r="D1958" s="2" t="s">
        <v>359</v>
      </c>
      <c r="E1958" s="2" t="s">
        <v>356</v>
      </c>
      <c r="F1958" s="2"/>
      <c r="G1958" s="2" t="s">
        <v>364</v>
      </c>
      <c r="H1958" s="2" t="str">
        <f aca="false">IF(LEFT(B1958,10)="Arsenal v ",MID(B1958,11,100),LEFT(B1958,FIND(" v ",B1958)-1))</f>
        <v>Fulham</v>
      </c>
      <c r="I1958" s="2" t="str">
        <f aca="false">IF(F1958&lt;&gt;"","N",IF(LEFT(B1958,10)="Arsenal v ","H","A"))</f>
        <v>A</v>
      </c>
      <c r="J1958" s="2"/>
    </row>
    <row r="1959" customFormat="false" ht="15" hidden="false" customHeight="false" outlineLevel="0" collapsed="false">
      <c r="A1959" s="3" t="n">
        <v>45298</v>
      </c>
      <c r="B1959" s="2" t="s">
        <v>710</v>
      </c>
      <c r="C1959" s="2" t="s">
        <v>704</v>
      </c>
      <c r="D1959" s="2" t="s">
        <v>353</v>
      </c>
      <c r="E1959" s="2" t="s">
        <v>362</v>
      </c>
      <c r="F1959" s="2"/>
      <c r="G1959" s="2" t="s">
        <v>364</v>
      </c>
      <c r="H1959" s="2" t="str">
        <f aca="false">IF(LEFT(B1959,10)="Arsenal v ",MID(B1959,11,100),LEFT(B1959,FIND(" v ",B1959)-1))</f>
        <v>Liverpool</v>
      </c>
      <c r="I1959" s="2" t="str">
        <f aca="false">IF(F1959&lt;&gt;"","N",IF(LEFT(B1959,10)="Arsenal v ","H","A"))</f>
        <v>H</v>
      </c>
      <c r="J1959" s="2"/>
    </row>
    <row r="1960" customFormat="false" ht="15" hidden="false" customHeight="false" outlineLevel="0" collapsed="false">
      <c r="A1960" s="3" t="n">
        <v>45311</v>
      </c>
      <c r="B1960" s="2" t="s">
        <v>724</v>
      </c>
      <c r="C1960" s="2" t="s">
        <v>702</v>
      </c>
      <c r="D1960" s="2" t="s">
        <v>489</v>
      </c>
      <c r="E1960" s="2" t="s">
        <v>356</v>
      </c>
      <c r="F1960" s="2"/>
      <c r="G1960" s="2" t="s">
        <v>364</v>
      </c>
      <c r="H1960" s="2" t="str">
        <f aca="false">IF(LEFT(B1960,10)="Arsenal v ",MID(B1960,11,100),LEFT(B1960,FIND(" v ",B1960)-1))</f>
        <v>Crystal Palace</v>
      </c>
      <c r="I1960" s="2" t="str">
        <f aca="false">IF(F1960&lt;&gt;"","N",IF(LEFT(B1960,10)="Arsenal v ","H","A"))</f>
        <v>H</v>
      </c>
      <c r="J1960" s="2"/>
    </row>
    <row r="1961" customFormat="false" ht="15" hidden="false" customHeight="false" outlineLevel="0" collapsed="false">
      <c r="A1961" s="3" t="n">
        <v>45321</v>
      </c>
      <c r="B1961" s="2" t="s">
        <v>503</v>
      </c>
      <c r="C1961" s="2" t="s">
        <v>702</v>
      </c>
      <c r="D1961" s="2" t="s">
        <v>360</v>
      </c>
      <c r="E1961" s="2" t="s">
        <v>356</v>
      </c>
      <c r="F1961" s="2"/>
      <c r="G1961" s="2" t="s">
        <v>364</v>
      </c>
      <c r="H1961" s="2" t="str">
        <f aca="false">IF(LEFT(B1961,10)="Arsenal v ",MID(B1961,11,100),LEFT(B1961,FIND(" v ",B1961)-1))</f>
        <v>Nottingham Forest</v>
      </c>
      <c r="I1961" s="2" t="str">
        <f aca="false">IF(F1961&lt;&gt;"","N",IF(LEFT(B1961,10)="Arsenal v ","H","A"))</f>
        <v>A</v>
      </c>
      <c r="J1961" s="2"/>
    </row>
    <row r="1962" customFormat="false" ht="15" hidden="false" customHeight="false" outlineLevel="0" collapsed="false">
      <c r="A1962" s="3" t="n">
        <v>45326</v>
      </c>
      <c r="B1962" s="2" t="s">
        <v>710</v>
      </c>
      <c r="C1962" s="2" t="s">
        <v>702</v>
      </c>
      <c r="D1962" s="2" t="s">
        <v>377</v>
      </c>
      <c r="E1962" s="2" t="s">
        <v>356</v>
      </c>
      <c r="F1962" s="2"/>
      <c r="G1962" s="2" t="s">
        <v>364</v>
      </c>
      <c r="H1962" s="2" t="str">
        <f aca="false">IF(LEFT(B1962,10)="Arsenal v ",MID(B1962,11,100),LEFT(B1962,FIND(" v ",B1962)-1))</f>
        <v>Liverpool</v>
      </c>
      <c r="I1962" s="2" t="str">
        <f aca="false">IF(F1962&lt;&gt;"","N",IF(LEFT(B1962,10)="Arsenal v ","H","A"))</f>
        <v>H</v>
      </c>
      <c r="J1962" s="2"/>
    </row>
    <row r="1963" customFormat="false" ht="15" hidden="false" customHeight="false" outlineLevel="0" collapsed="false">
      <c r="A1963" s="3" t="n">
        <v>45333</v>
      </c>
      <c r="B1963" s="2" t="s">
        <v>572</v>
      </c>
      <c r="C1963" s="2" t="s">
        <v>702</v>
      </c>
      <c r="D1963" s="2" t="s">
        <v>525</v>
      </c>
      <c r="E1963" s="2" t="s">
        <v>356</v>
      </c>
      <c r="F1963" s="2"/>
      <c r="G1963" s="2" t="s">
        <v>364</v>
      </c>
      <c r="H1963" s="2" t="str">
        <f aca="false">IF(LEFT(B1963,10)="Arsenal v ",MID(B1963,11,100),LEFT(B1963,FIND(" v ",B1963)-1))</f>
        <v>West Ham United</v>
      </c>
      <c r="I1963" s="2" t="str">
        <f aca="false">IF(F1963&lt;&gt;"","N",IF(LEFT(B1963,10)="Arsenal v ","H","A"))</f>
        <v>A</v>
      </c>
      <c r="J1963" s="2"/>
    </row>
    <row r="1964" customFormat="false" ht="15" hidden="false" customHeight="false" outlineLevel="0" collapsed="false">
      <c r="A1964" s="3" t="n">
        <v>45339</v>
      </c>
      <c r="B1964" s="2" t="s">
        <v>419</v>
      </c>
      <c r="C1964" s="2" t="s">
        <v>702</v>
      </c>
      <c r="D1964" s="2" t="s">
        <v>420</v>
      </c>
      <c r="E1964" s="2" t="s">
        <v>356</v>
      </c>
      <c r="F1964" s="2"/>
      <c r="G1964" s="2" t="s">
        <v>364</v>
      </c>
      <c r="H1964" s="2" t="str">
        <f aca="false">IF(LEFT(B1964,10)="Arsenal v ",MID(B1964,11,100),LEFT(B1964,FIND(" v ",B1964)-1))</f>
        <v>Burnley</v>
      </c>
      <c r="I1964" s="2" t="str">
        <f aca="false">IF(F1964&lt;&gt;"","N",IF(LEFT(B1964,10)="Arsenal v ","H","A"))</f>
        <v>A</v>
      </c>
      <c r="J1964" s="2"/>
    </row>
    <row r="1965" customFormat="false" ht="15" hidden="false" customHeight="false" outlineLevel="0" collapsed="false">
      <c r="A1965" s="3" t="n">
        <v>45343</v>
      </c>
      <c r="B1965" s="2" t="s">
        <v>454</v>
      </c>
      <c r="C1965" s="2" t="s">
        <v>704</v>
      </c>
      <c r="D1965" s="2" t="s">
        <v>348</v>
      </c>
      <c r="E1965" s="2" t="s">
        <v>352</v>
      </c>
      <c r="F1965" s="2"/>
      <c r="G1965" s="2" t="s">
        <v>364</v>
      </c>
      <c r="H1965" s="2" t="str">
        <f aca="false">IF(LEFT(B1965,10)="Arsenal v ",MID(B1965,11,100),LEFT(B1965,FIND(" v ",B1965)-1))</f>
        <v>FC Porto</v>
      </c>
      <c r="I1965" s="2" t="str">
        <f aca="false">IF(F1965&lt;&gt;"","N",IF(LEFT(B1965,10)="Arsenal v ","H","A"))</f>
        <v>A</v>
      </c>
      <c r="J1965" s="2"/>
    </row>
    <row r="1966" customFormat="false" ht="15" hidden="false" customHeight="false" outlineLevel="0" collapsed="false">
      <c r="A1966" s="3" t="n">
        <v>45346</v>
      </c>
      <c r="B1966" s="2" t="s">
        <v>719</v>
      </c>
      <c r="C1966" s="2" t="s">
        <v>702</v>
      </c>
      <c r="D1966" s="2" t="s">
        <v>397</v>
      </c>
      <c r="E1966" s="2" t="s">
        <v>356</v>
      </c>
      <c r="F1966" s="2"/>
      <c r="G1966" s="2" t="s">
        <v>364</v>
      </c>
      <c r="H1966" s="2" t="str">
        <f aca="false">IF(LEFT(B1966,10)="Arsenal v ",MID(B1966,11,100),LEFT(B1966,FIND(" v ",B1966)-1))</f>
        <v>Newcastle United</v>
      </c>
      <c r="I1966" s="2" t="str">
        <f aca="false">IF(F1966&lt;&gt;"","N",IF(LEFT(B1966,10)="Arsenal v ","H","A"))</f>
        <v>H</v>
      </c>
      <c r="J1966" s="2"/>
    </row>
    <row r="1967" customFormat="false" ht="15" hidden="false" customHeight="false" outlineLevel="0" collapsed="false">
      <c r="A1967" s="3" t="n">
        <v>45355</v>
      </c>
      <c r="B1967" s="2" t="s">
        <v>541</v>
      </c>
      <c r="C1967" s="2" t="s">
        <v>702</v>
      </c>
      <c r="D1967" s="2" t="s">
        <v>525</v>
      </c>
      <c r="E1967" s="2" t="s">
        <v>356</v>
      </c>
      <c r="F1967" s="2"/>
      <c r="G1967" s="2" t="s">
        <v>364</v>
      </c>
      <c r="H1967" s="2" t="str">
        <f aca="false">IF(LEFT(B1967,10)="Arsenal v ",MID(B1967,11,100),LEFT(B1967,FIND(" v ",B1967)-1))</f>
        <v>Sheffield United</v>
      </c>
      <c r="I1967" s="2" t="str">
        <f aca="false">IF(F1967&lt;&gt;"","N",IF(LEFT(B1967,10)="Arsenal v ","H","A"))</f>
        <v>A</v>
      </c>
      <c r="J1967" s="2"/>
    </row>
    <row r="1968" customFormat="false" ht="15" hidden="false" customHeight="false" outlineLevel="0" collapsed="false">
      <c r="A1968" s="3" t="n">
        <v>45360</v>
      </c>
      <c r="B1968" s="2" t="s">
        <v>855</v>
      </c>
      <c r="C1968" s="2" t="s">
        <v>702</v>
      </c>
      <c r="D1968" s="2" t="s">
        <v>359</v>
      </c>
      <c r="E1968" s="2" t="s">
        <v>356</v>
      </c>
      <c r="F1968" s="2"/>
      <c r="G1968" s="2" t="s">
        <v>364</v>
      </c>
      <c r="H1968" s="2" t="str">
        <f aca="false">IF(LEFT(B1968,10)="Arsenal v ",MID(B1968,11,100),LEFT(B1968,FIND(" v ",B1968)-1))</f>
        <v>Brentford</v>
      </c>
      <c r="I1968" s="2" t="str">
        <f aca="false">IF(F1968&lt;&gt;"","N",IF(LEFT(B1968,10)="Arsenal v ","H","A"))</f>
        <v>H</v>
      </c>
      <c r="J1968" s="2"/>
    </row>
    <row r="1969" customFormat="false" ht="15" hidden="false" customHeight="false" outlineLevel="0" collapsed="false">
      <c r="A1969" s="3" t="n">
        <v>45363</v>
      </c>
      <c r="B1969" s="2" t="s">
        <v>813</v>
      </c>
      <c r="C1969" s="2" t="s">
        <v>702</v>
      </c>
      <c r="D1969" s="2" t="s">
        <v>870</v>
      </c>
      <c r="E1969" s="2" t="s">
        <v>352</v>
      </c>
      <c r="F1969" s="2"/>
      <c r="G1969" s="2" t="s">
        <v>364</v>
      </c>
      <c r="H1969" s="2" t="str">
        <f aca="false">IF(LEFT(B1969,10)="Arsenal v ",MID(B1969,11,100),LEFT(B1969,FIND(" v ",B1969)-1))</f>
        <v>FC Porto</v>
      </c>
      <c r="I1969" s="2" t="str">
        <f aca="false">IF(F1969&lt;&gt;"","N",IF(LEFT(B1969,10)="Arsenal v ","H","A"))</f>
        <v>H</v>
      </c>
      <c r="J1969" s="2"/>
    </row>
    <row r="1970" customFormat="false" ht="15" hidden="false" customHeight="false" outlineLevel="0" collapsed="false">
      <c r="A1970" s="3" t="n">
        <v>45382</v>
      </c>
      <c r="B1970" s="2" t="s">
        <v>487</v>
      </c>
      <c r="C1970" s="2" t="s">
        <v>706</v>
      </c>
      <c r="D1970" s="2" t="s">
        <v>369</v>
      </c>
      <c r="E1970" s="2" t="s">
        <v>356</v>
      </c>
      <c r="F1970" s="2"/>
      <c r="G1970" s="2" t="s">
        <v>364</v>
      </c>
      <c r="H1970" s="2" t="str">
        <f aca="false">IF(LEFT(B1970,10)="Arsenal v ",MID(B1970,11,100),LEFT(B1970,FIND(" v ",B1970)-1))</f>
        <v>Manchester City</v>
      </c>
      <c r="I1970" s="2" t="str">
        <f aca="false">IF(F1970&lt;&gt;"","N",IF(LEFT(B1970,10)="Arsenal v ","H","A"))</f>
        <v>A</v>
      </c>
      <c r="J1970" s="2"/>
    </row>
    <row r="1971" customFormat="false" ht="15" hidden="false" customHeight="false" outlineLevel="0" collapsed="false">
      <c r="A1971" s="3" t="n">
        <v>45385</v>
      </c>
      <c r="B1971" s="2" t="s">
        <v>714</v>
      </c>
      <c r="C1971" s="2" t="s">
        <v>702</v>
      </c>
      <c r="D1971" s="2" t="s">
        <v>351</v>
      </c>
      <c r="E1971" s="2" t="s">
        <v>356</v>
      </c>
      <c r="F1971" s="2"/>
      <c r="G1971" s="2" t="s">
        <v>364</v>
      </c>
      <c r="H1971" s="2" t="str">
        <f aca="false">IF(LEFT(B1971,10)="Arsenal v ",MID(B1971,11,100),LEFT(B1971,FIND(" v ",B1971)-1))</f>
        <v>Luton Town</v>
      </c>
      <c r="I1971" s="2" t="str">
        <f aca="false">IF(F1971&lt;&gt;"","N",IF(LEFT(B1971,10)="Arsenal v ","H","A"))</f>
        <v>H</v>
      </c>
      <c r="J1971" s="2"/>
    </row>
    <row r="1972" customFormat="false" ht="15" hidden="false" customHeight="false" outlineLevel="0" collapsed="false">
      <c r="A1972" s="3" t="n">
        <v>45388</v>
      </c>
      <c r="B1972" s="2" t="s">
        <v>417</v>
      </c>
      <c r="C1972" s="2" t="s">
        <v>702</v>
      </c>
      <c r="D1972" s="2" t="s">
        <v>363</v>
      </c>
      <c r="E1972" s="2" t="s">
        <v>356</v>
      </c>
      <c r="F1972" s="2"/>
      <c r="G1972" s="2" t="s">
        <v>364</v>
      </c>
      <c r="H1972" s="2" t="str">
        <f aca="false">IF(LEFT(B1972,10)="Arsenal v ",MID(B1972,11,100),LEFT(B1972,FIND(" v ",B1972)-1))</f>
        <v>Brighton and Hove Albion</v>
      </c>
      <c r="I1972" s="2" t="str">
        <f aca="false">IF(F1972&lt;&gt;"","N",IF(LEFT(B1972,10)="Arsenal v ","H","A"))</f>
        <v>A</v>
      </c>
      <c r="J1972" s="2"/>
    </row>
    <row r="1973" customFormat="false" ht="15" hidden="false" customHeight="false" outlineLevel="0" collapsed="false">
      <c r="A1973" s="3" t="n">
        <v>45391</v>
      </c>
      <c r="B1973" s="2" t="s">
        <v>802</v>
      </c>
      <c r="C1973" s="2" t="s">
        <v>706</v>
      </c>
      <c r="D1973" s="2" t="s">
        <v>380</v>
      </c>
      <c r="E1973" s="2" t="s">
        <v>352</v>
      </c>
      <c r="F1973" s="2"/>
      <c r="G1973" s="2" t="s">
        <v>364</v>
      </c>
      <c r="H1973" s="2" t="str">
        <f aca="false">IF(LEFT(B1973,10)="Arsenal v ",MID(B1973,11,100),LEFT(B1973,FIND(" v ",B1973)-1))</f>
        <v>Bayern Munchen</v>
      </c>
      <c r="I1973" s="2" t="str">
        <f aca="false">IF(F1973&lt;&gt;"","N",IF(LEFT(B1973,10)="Arsenal v ","H","A"))</f>
        <v>H</v>
      </c>
      <c r="J1973" s="2"/>
    </row>
    <row r="1974" customFormat="false" ht="15" hidden="false" customHeight="false" outlineLevel="0" collapsed="false">
      <c r="A1974" s="3" t="n">
        <v>45396</v>
      </c>
      <c r="B1974" s="2" t="s">
        <v>703</v>
      </c>
      <c r="C1974" s="2" t="s">
        <v>704</v>
      </c>
      <c r="D1974" s="2" t="s">
        <v>353</v>
      </c>
      <c r="E1974" s="2" t="s">
        <v>356</v>
      </c>
      <c r="F1974" s="2"/>
      <c r="G1974" s="2" t="s">
        <v>364</v>
      </c>
      <c r="H1974" s="2" t="str">
        <f aca="false">IF(LEFT(B1974,10)="Arsenal v ",MID(B1974,11,100),LEFT(B1974,FIND(" v ",B1974)-1))</f>
        <v>Aston Villa</v>
      </c>
      <c r="I1974" s="2" t="str">
        <f aca="false">IF(F1974&lt;&gt;"","N",IF(LEFT(B1974,10)="Arsenal v ","H","A"))</f>
        <v>H</v>
      </c>
      <c r="J1974" s="2"/>
    </row>
    <row r="1975" customFormat="false" ht="15" hidden="false" customHeight="false" outlineLevel="0" collapsed="false">
      <c r="A1975" s="3" t="n">
        <v>45399</v>
      </c>
      <c r="B1975" s="2" t="s">
        <v>400</v>
      </c>
      <c r="C1975" s="2" t="s">
        <v>704</v>
      </c>
      <c r="D1975" s="2" t="s">
        <v>348</v>
      </c>
      <c r="E1975" s="2" t="s">
        <v>352</v>
      </c>
      <c r="F1975" s="2"/>
      <c r="G1975" s="2" t="s">
        <v>364</v>
      </c>
      <c r="H1975" s="2" t="str">
        <f aca="false">IF(LEFT(B1975,10)="Arsenal v ",MID(B1975,11,100),LEFT(B1975,FIND(" v ",B1975)-1))</f>
        <v>Bayern Munchen</v>
      </c>
      <c r="I1975" s="2" t="str">
        <f aca="false">IF(F1975&lt;&gt;"","N",IF(LEFT(B1975,10)="Arsenal v ","H","A"))</f>
        <v>A</v>
      </c>
      <c r="J1975" s="2"/>
    </row>
    <row r="1976" customFormat="false" ht="15" hidden="false" customHeight="false" outlineLevel="0" collapsed="false">
      <c r="A1976" s="3" t="n">
        <v>45402</v>
      </c>
      <c r="B1976" s="2" t="s">
        <v>575</v>
      </c>
      <c r="C1976" s="2" t="s">
        <v>702</v>
      </c>
      <c r="D1976" s="2" t="s">
        <v>353</v>
      </c>
      <c r="E1976" s="2" t="s">
        <v>356</v>
      </c>
      <c r="F1976" s="2"/>
      <c r="G1976" s="2" t="s">
        <v>364</v>
      </c>
      <c r="H1976" s="2" t="str">
        <f aca="false">IF(LEFT(B1976,10)="Arsenal v ",MID(B1976,11,100),LEFT(B1976,FIND(" v ",B1976)-1))</f>
        <v>Wolverhampton Wanderers</v>
      </c>
      <c r="I1976" s="2" t="str">
        <f aca="false">IF(F1976&lt;&gt;"","N",IF(LEFT(B1976,10)="Arsenal v ","H","A"))</f>
        <v>A</v>
      </c>
      <c r="J1976" s="2"/>
    </row>
    <row r="1977" customFormat="false" ht="15" hidden="false" customHeight="false" outlineLevel="0" collapsed="false">
      <c r="A1977" s="3" t="n">
        <v>45405</v>
      </c>
      <c r="B1977" s="2" t="s">
        <v>725</v>
      </c>
      <c r="C1977" s="2" t="s">
        <v>702</v>
      </c>
      <c r="D1977" s="2" t="s">
        <v>489</v>
      </c>
      <c r="E1977" s="2" t="s">
        <v>356</v>
      </c>
      <c r="F1977" s="2"/>
      <c r="G1977" s="2" t="s">
        <v>364</v>
      </c>
      <c r="H1977" s="2" t="str">
        <f aca="false">IF(LEFT(B1977,10)="Arsenal v ",MID(B1977,11,100),LEFT(B1977,FIND(" v ",B1977)-1))</f>
        <v>Chelsea</v>
      </c>
      <c r="I1977" s="2" t="str">
        <f aca="false">IF(F1977&lt;&gt;"","N",IF(LEFT(B1977,10)="Arsenal v ","H","A"))</f>
        <v>H</v>
      </c>
      <c r="J1977" s="2"/>
    </row>
    <row r="1978" customFormat="false" ht="15" hidden="false" customHeight="false" outlineLevel="0" collapsed="false">
      <c r="A1978" s="3" t="n">
        <v>45410</v>
      </c>
      <c r="B1978" s="2" t="s">
        <v>561</v>
      </c>
      <c r="C1978" s="2" t="s">
        <v>702</v>
      </c>
      <c r="D1978" s="2" t="s">
        <v>366</v>
      </c>
      <c r="E1978" s="2" t="s">
        <v>356</v>
      </c>
      <c r="F1978" s="2"/>
      <c r="G1978" s="2" t="s">
        <v>364</v>
      </c>
      <c r="H1978" s="2" t="str">
        <f aca="false">IF(LEFT(B1978,10)="Arsenal v ",MID(B1978,11,100),LEFT(B1978,FIND(" v ",B1978)-1))</f>
        <v>Tottenham Hotspur</v>
      </c>
      <c r="I1978" s="2" t="str">
        <f aca="false">IF(F1978&lt;&gt;"","N",IF(LEFT(B1978,10)="Arsenal v ","H","A"))</f>
        <v>A</v>
      </c>
      <c r="J1978" s="2"/>
    </row>
    <row r="1979" customFormat="false" ht="15" hidden="false" customHeight="false" outlineLevel="0" collapsed="false">
      <c r="A1979" s="3" t="n">
        <v>45416</v>
      </c>
      <c r="B1979" s="2" t="s">
        <v>841</v>
      </c>
      <c r="C1979" s="2" t="s">
        <v>702</v>
      </c>
      <c r="D1979" s="2" t="s">
        <v>434</v>
      </c>
      <c r="E1979" s="2" t="s">
        <v>356</v>
      </c>
      <c r="F1979" s="2"/>
      <c r="G1979" s="2" t="s">
        <v>364</v>
      </c>
      <c r="H1979" s="2" t="str">
        <f aca="false">IF(LEFT(B1979,10)="Arsenal v ",MID(B1979,11,100),LEFT(B1979,FIND(" v ",B1979)-1))</f>
        <v>AFC Bournemouth</v>
      </c>
      <c r="I1979" s="2" t="str">
        <f aca="false">IF(F1979&lt;&gt;"","N",IF(LEFT(B1979,10)="Arsenal v ","H","A"))</f>
        <v>H</v>
      </c>
      <c r="J1979" s="2"/>
    </row>
    <row r="1980" customFormat="false" ht="15" hidden="false" customHeight="false" outlineLevel="0" collapsed="false">
      <c r="A1980" s="3" t="n">
        <v>45424</v>
      </c>
      <c r="B1980" s="2" t="s">
        <v>490</v>
      </c>
      <c r="C1980" s="2" t="s">
        <v>702</v>
      </c>
      <c r="D1980" s="2" t="s">
        <v>383</v>
      </c>
      <c r="E1980" s="2" t="s">
        <v>356</v>
      </c>
      <c r="F1980" s="2"/>
      <c r="G1980" s="2" t="s">
        <v>364</v>
      </c>
      <c r="H1980" s="2" t="str">
        <f aca="false">IF(LEFT(B1980,10)="Arsenal v ",MID(B1980,11,100),LEFT(B1980,FIND(" v ",B1980)-1))</f>
        <v>Manchester United</v>
      </c>
      <c r="I1980" s="2" t="str">
        <f aca="false">IF(F1980&lt;&gt;"","N",IF(LEFT(B1980,10)="Arsenal v ","H","A"))</f>
        <v>A</v>
      </c>
      <c r="J1980" s="2"/>
    </row>
    <row r="1981" customFormat="false" ht="15" hidden="false" customHeight="false" outlineLevel="0" collapsed="false">
      <c r="A1981" s="3" t="n">
        <v>45431</v>
      </c>
      <c r="B1981" s="2" t="s">
        <v>718</v>
      </c>
      <c r="C1981" s="2" t="s">
        <v>702</v>
      </c>
      <c r="D1981" s="2" t="s">
        <v>359</v>
      </c>
      <c r="E1981" s="2" t="s">
        <v>356</v>
      </c>
      <c r="F1981" s="2"/>
      <c r="G1981" s="2" t="s">
        <v>364</v>
      </c>
      <c r="H1981" s="2" t="str">
        <f aca="false">IF(LEFT(B1981,10)="Arsenal v ",MID(B1981,11,100),LEFT(B1981,FIND(" v ",B1981)-1))</f>
        <v>Everton</v>
      </c>
      <c r="I1981" s="2" t="str">
        <f aca="false">IF(F1981&lt;&gt;"","N",IF(LEFT(B1981,10)="Arsenal v ","H","A"))</f>
        <v>H</v>
      </c>
      <c r="J1981" s="2"/>
    </row>
    <row r="1982" customFormat="false" ht="15" hidden="false" customHeight="false" outlineLevel="0" collapsed="false">
      <c r="A1982" s="3" t="n">
        <v>45521</v>
      </c>
      <c r="B1982" s="2" t="s">
        <v>762</v>
      </c>
      <c r="C1982" s="2" t="s">
        <v>702</v>
      </c>
      <c r="D1982" s="2" t="s">
        <v>351</v>
      </c>
      <c r="E1982" s="2" t="s">
        <v>356</v>
      </c>
      <c r="F1982" s="2"/>
      <c r="G1982" s="2" t="s">
        <v>30</v>
      </c>
      <c r="H1982" s="2" t="str">
        <f aca="false">IF(LEFT(B1982,10)="Arsenal v ",MID(B1982,11,100),LEFT(B1982,FIND(" v ",B1982)-1))</f>
        <v>Wolverhampton Wanderers</v>
      </c>
      <c r="I1982" s="2" t="str">
        <f aca="false">IF(F1982&lt;&gt;"","N",IF(LEFT(B1982,10)="Arsenal v ","H","A"))</f>
        <v>H</v>
      </c>
      <c r="J1982" s="2"/>
    </row>
    <row r="1983" customFormat="false" ht="15" hidden="false" customHeight="false" outlineLevel="0" collapsed="false">
      <c r="A1983" s="3" t="n">
        <v>45528</v>
      </c>
      <c r="B1983" s="2" t="s">
        <v>376</v>
      </c>
      <c r="C1983" s="2" t="s">
        <v>702</v>
      </c>
      <c r="D1983" s="2" t="s">
        <v>353</v>
      </c>
      <c r="E1983" s="2" t="s">
        <v>356</v>
      </c>
      <c r="F1983" s="2"/>
      <c r="G1983" s="2" t="s">
        <v>30</v>
      </c>
      <c r="H1983" s="2" t="str">
        <f aca="false">IF(LEFT(B1983,10)="Arsenal v ",MID(B1983,11,100),LEFT(B1983,FIND(" v ",B1983)-1))</f>
        <v>Aston Villa</v>
      </c>
      <c r="I1983" s="2" t="str">
        <f aca="false">IF(F1983&lt;&gt;"","N",IF(LEFT(B1983,10)="Arsenal v ","H","A"))</f>
        <v>A</v>
      </c>
      <c r="J1983" s="2"/>
    </row>
    <row r="1984" customFormat="false" ht="15" hidden="false" customHeight="false" outlineLevel="0" collapsed="false">
      <c r="A1984" s="3" t="n">
        <v>45535</v>
      </c>
      <c r="B1984" s="2" t="s">
        <v>848</v>
      </c>
      <c r="C1984" s="2" t="s">
        <v>706</v>
      </c>
      <c r="D1984" s="2" t="s">
        <v>361</v>
      </c>
      <c r="E1984" s="2" t="s">
        <v>356</v>
      </c>
      <c r="F1984" s="2"/>
      <c r="G1984" s="2" t="s">
        <v>30</v>
      </c>
      <c r="H1984" s="2" t="str">
        <f aca="false">IF(LEFT(B1984,10)="Arsenal v ",MID(B1984,11,100),LEFT(B1984,FIND(" v ",B1984)-1))</f>
        <v>Brighton and Hove Albion</v>
      </c>
      <c r="I1984" s="2" t="str">
        <f aca="false">IF(F1984&lt;&gt;"","N",IF(LEFT(B1984,10)="Arsenal v ","H","A"))</f>
        <v>H</v>
      </c>
      <c r="J1984" s="2"/>
    </row>
    <row r="1985" customFormat="false" ht="15" hidden="false" customHeight="false" outlineLevel="0" collapsed="false">
      <c r="A1985" s="3" t="n">
        <v>45550</v>
      </c>
      <c r="B1985" s="2" t="s">
        <v>561</v>
      </c>
      <c r="C1985" s="2" t="s">
        <v>702</v>
      </c>
      <c r="D1985" s="2" t="s">
        <v>383</v>
      </c>
      <c r="E1985" s="2" t="s">
        <v>356</v>
      </c>
      <c r="F1985" s="2"/>
      <c r="G1985" s="2" t="s">
        <v>30</v>
      </c>
      <c r="H1985" s="2" t="str">
        <f aca="false">IF(LEFT(B1985,10)="Arsenal v ",MID(B1985,11,100),LEFT(B1985,FIND(" v ",B1985)-1))</f>
        <v>Tottenham Hotspur</v>
      </c>
      <c r="I1985" s="2" t="str">
        <f aca="false">IF(F1985&lt;&gt;"","N",IF(LEFT(B1985,10)="Arsenal v ","H","A"))</f>
        <v>A</v>
      </c>
      <c r="J1985" s="2"/>
    </row>
    <row r="1986" customFormat="false" ht="15" hidden="false" customHeight="false" outlineLevel="0" collapsed="false">
      <c r="A1986" s="3" t="n">
        <v>45554</v>
      </c>
      <c r="B1986" s="2" t="s">
        <v>387</v>
      </c>
      <c r="C1986" s="2" t="s">
        <v>706</v>
      </c>
      <c r="D1986" s="2" t="s">
        <v>369</v>
      </c>
      <c r="E1986" s="2" t="s">
        <v>352</v>
      </c>
      <c r="F1986" s="2"/>
      <c r="G1986" s="2" t="s">
        <v>30</v>
      </c>
      <c r="H1986" s="2" t="str">
        <f aca="false">IF(LEFT(B1986,10)="Arsenal v ",MID(B1986,11,100),LEFT(B1986,FIND(" v ",B1986)-1))</f>
        <v>Atalanta</v>
      </c>
      <c r="I1986" s="2" t="str">
        <f aca="false">IF(F1986&lt;&gt;"","N",IF(LEFT(B1986,10)="Arsenal v ","H","A"))</f>
        <v>A</v>
      </c>
      <c r="J1986" s="2"/>
    </row>
    <row r="1987" customFormat="false" ht="15" hidden="false" customHeight="false" outlineLevel="0" collapsed="false">
      <c r="A1987" s="3" t="n">
        <v>45557</v>
      </c>
      <c r="B1987" s="2" t="s">
        <v>487</v>
      </c>
      <c r="C1987" s="2" t="s">
        <v>706</v>
      </c>
      <c r="D1987" s="2" t="s">
        <v>380</v>
      </c>
      <c r="E1987" s="2" t="s">
        <v>356</v>
      </c>
      <c r="F1987" s="2"/>
      <c r="G1987" s="2" t="s">
        <v>30</v>
      </c>
      <c r="H1987" s="2" t="str">
        <f aca="false">IF(LEFT(B1987,10)="Arsenal v ",MID(B1987,11,100),LEFT(B1987,FIND(" v ",B1987)-1))</f>
        <v>Manchester City</v>
      </c>
      <c r="I1987" s="2" t="str">
        <f aca="false">IF(F1987&lt;&gt;"","N",IF(LEFT(B1987,10)="Arsenal v ","H","A"))</f>
        <v>A</v>
      </c>
      <c r="J1987" s="2"/>
    </row>
    <row r="1988" customFormat="false" ht="15" hidden="false" customHeight="false" outlineLevel="0" collapsed="false">
      <c r="A1988" s="3" t="n">
        <v>45560</v>
      </c>
      <c r="B1988" s="2" t="s">
        <v>743</v>
      </c>
      <c r="C1988" s="2" t="s">
        <v>702</v>
      </c>
      <c r="D1988" s="2" t="s">
        <v>401</v>
      </c>
      <c r="E1988" s="2" t="s">
        <v>379</v>
      </c>
      <c r="F1988" s="2"/>
      <c r="G1988" s="2" t="s">
        <v>30</v>
      </c>
      <c r="H1988" s="2" t="str">
        <f aca="false">IF(LEFT(B1988,10)="Arsenal v ",MID(B1988,11,100),LEFT(B1988,FIND(" v ",B1988)-1))</f>
        <v>Bolton Wanderers</v>
      </c>
      <c r="I1988" s="2" t="str">
        <f aca="false">IF(F1988&lt;&gt;"","N",IF(LEFT(B1988,10)="Arsenal v ","H","A"))</f>
        <v>H</v>
      </c>
      <c r="J1988" s="2"/>
    </row>
    <row r="1989" customFormat="false" ht="15" hidden="false" customHeight="false" outlineLevel="0" collapsed="false">
      <c r="A1989" s="3" t="n">
        <v>45563</v>
      </c>
      <c r="B1989" s="2" t="s">
        <v>733</v>
      </c>
      <c r="C1989" s="2" t="s">
        <v>702</v>
      </c>
      <c r="D1989" s="2" t="s">
        <v>479</v>
      </c>
      <c r="E1989" s="2" t="s">
        <v>356</v>
      </c>
      <c r="F1989" s="2"/>
      <c r="G1989" s="2" t="s">
        <v>30</v>
      </c>
      <c r="H1989" s="2" t="str">
        <f aca="false">IF(LEFT(B1989,10)="Arsenal v ",MID(B1989,11,100),LEFT(B1989,FIND(" v ",B1989)-1))</f>
        <v>Leicester City</v>
      </c>
      <c r="I1989" s="2" t="str">
        <f aca="false">IF(F1989&lt;&gt;"","N",IF(LEFT(B1989,10)="Arsenal v ","H","A"))</f>
        <v>H</v>
      </c>
      <c r="J1989" s="2"/>
    </row>
    <row r="1990" customFormat="false" ht="15" hidden="false" customHeight="false" outlineLevel="0" collapsed="false">
      <c r="A1990" s="3" t="n">
        <v>45566</v>
      </c>
      <c r="B1990" s="2" t="s">
        <v>746</v>
      </c>
      <c r="C1990" s="2" t="s">
        <v>702</v>
      </c>
      <c r="D1990" s="2" t="s">
        <v>351</v>
      </c>
      <c r="E1990" s="2" t="s">
        <v>352</v>
      </c>
      <c r="F1990" s="2"/>
      <c r="G1990" s="2" t="s">
        <v>30</v>
      </c>
      <c r="H1990" s="2" t="str">
        <f aca="false">IF(LEFT(B1990,10)="Arsenal v ",MID(B1990,11,100),LEFT(B1990,FIND(" v ",B1990)-1))</f>
        <v>Paris St Germain</v>
      </c>
      <c r="I1990" s="2" t="str">
        <f aca="false">IF(F1990&lt;&gt;"","N",IF(LEFT(B1990,10)="Arsenal v ","H","A"))</f>
        <v>H</v>
      </c>
      <c r="J1990" s="2"/>
    </row>
    <row r="1991" customFormat="false" ht="15" hidden="false" customHeight="false" outlineLevel="0" collapsed="false">
      <c r="A1991" s="3" t="n">
        <v>45570</v>
      </c>
      <c r="B1991" s="2" t="s">
        <v>705</v>
      </c>
      <c r="C1991" s="2" t="s">
        <v>702</v>
      </c>
      <c r="D1991" s="2" t="s">
        <v>377</v>
      </c>
      <c r="E1991" s="2" t="s">
        <v>356</v>
      </c>
      <c r="F1991" s="2"/>
      <c r="G1991" s="2" t="s">
        <v>30</v>
      </c>
      <c r="H1991" s="2" t="str">
        <f aca="false">IF(LEFT(B1991,10)="Arsenal v ",MID(B1991,11,100),LEFT(B1991,FIND(" v ",B1991)-1))</f>
        <v>Southampton</v>
      </c>
      <c r="I1991" s="2" t="str">
        <f aca="false">IF(F1991&lt;&gt;"","N",IF(LEFT(B1991,10)="Arsenal v ","H","A"))</f>
        <v>H</v>
      </c>
      <c r="J1991" s="2"/>
    </row>
    <row r="1992" customFormat="false" ht="15" hidden="false" customHeight="false" outlineLevel="0" collapsed="false">
      <c r="A1992" s="3" t="n">
        <v>45584</v>
      </c>
      <c r="B1992" s="2" t="s">
        <v>357</v>
      </c>
      <c r="C1992" s="2" t="s">
        <v>704</v>
      </c>
      <c r="D1992" s="2" t="s">
        <v>351</v>
      </c>
      <c r="E1992" s="2" t="s">
        <v>356</v>
      </c>
      <c r="F1992" s="2"/>
      <c r="G1992" s="2" t="s">
        <v>30</v>
      </c>
      <c r="H1992" s="2" t="str">
        <f aca="false">IF(LEFT(B1992,10)="Arsenal v ",MID(B1992,11,100),LEFT(B1992,FIND(" v ",B1992)-1))</f>
        <v>AFC Bournemouth</v>
      </c>
      <c r="I1992" s="2" t="str">
        <f aca="false">IF(F1992&lt;&gt;"","N",IF(LEFT(B1992,10)="Arsenal v ","H","A"))</f>
        <v>A</v>
      </c>
      <c r="J1992" s="2"/>
    </row>
    <row r="1993" customFormat="false" ht="15" hidden="false" customHeight="false" outlineLevel="0" collapsed="false">
      <c r="A1993" s="3" t="n">
        <v>45587</v>
      </c>
      <c r="B1993" s="2" t="s">
        <v>772</v>
      </c>
      <c r="C1993" s="2" t="s">
        <v>702</v>
      </c>
      <c r="D1993" s="2" t="s">
        <v>348</v>
      </c>
      <c r="E1993" s="2" t="s">
        <v>352</v>
      </c>
      <c r="F1993" s="2"/>
      <c r="G1993" s="2" t="s">
        <v>30</v>
      </c>
      <c r="H1993" s="2" t="str">
        <f aca="false">IF(LEFT(B1993,10)="Arsenal v ",MID(B1993,11,100),LEFT(B1993,FIND(" v ",B1993)-1))</f>
        <v>Shakhtar Donetsk</v>
      </c>
      <c r="I1993" s="2" t="str">
        <f aca="false">IF(F1993&lt;&gt;"","N",IF(LEFT(B1993,10)="Arsenal v ","H","A"))</f>
        <v>H</v>
      </c>
      <c r="J1993" s="2"/>
    </row>
    <row r="1994" customFormat="false" ht="15" hidden="false" customHeight="false" outlineLevel="0" collapsed="false">
      <c r="A1994" s="3" t="n">
        <v>45592</v>
      </c>
      <c r="B1994" s="2" t="s">
        <v>710</v>
      </c>
      <c r="C1994" s="2" t="s">
        <v>706</v>
      </c>
      <c r="D1994" s="2" t="s">
        <v>380</v>
      </c>
      <c r="E1994" s="2" t="s">
        <v>356</v>
      </c>
      <c r="F1994" s="2"/>
      <c r="G1994" s="2" t="s">
        <v>30</v>
      </c>
      <c r="H1994" s="2" t="str">
        <f aca="false">IF(LEFT(B1994,10)="Arsenal v ",MID(B1994,11,100),LEFT(B1994,FIND(" v ",B1994)-1))</f>
        <v>Liverpool</v>
      </c>
      <c r="I1994" s="2" t="str">
        <f aca="false">IF(F1994&lt;&gt;"","N",IF(LEFT(B1994,10)="Arsenal v ","H","A"))</f>
        <v>H</v>
      </c>
      <c r="J1994" s="2"/>
    </row>
    <row r="1995" customFormat="false" ht="15" hidden="false" customHeight="false" outlineLevel="0" collapsed="false">
      <c r="A1995" s="3" t="n">
        <v>45595</v>
      </c>
      <c r="B1995" s="2" t="s">
        <v>521</v>
      </c>
      <c r="C1995" s="2" t="s">
        <v>702</v>
      </c>
      <c r="D1995" s="2" t="s">
        <v>363</v>
      </c>
      <c r="E1995" s="2" t="s">
        <v>379</v>
      </c>
      <c r="F1995" s="2"/>
      <c r="G1995" s="2" t="s">
        <v>30</v>
      </c>
      <c r="H1995" s="2" t="str">
        <f aca="false">IF(LEFT(B1995,10)="Arsenal v ",MID(B1995,11,100),LEFT(B1995,FIND(" v ",B1995)-1))</f>
        <v>Preston North End</v>
      </c>
      <c r="I1995" s="2" t="str">
        <f aca="false">IF(F1995&lt;&gt;"","N",IF(LEFT(B1995,10)="Arsenal v ","H","A"))</f>
        <v>A</v>
      </c>
      <c r="J1995" s="2"/>
    </row>
    <row r="1996" customFormat="false" ht="15" hidden="false" customHeight="false" outlineLevel="0" collapsed="false">
      <c r="A1996" s="3" t="n">
        <v>45598</v>
      </c>
      <c r="B1996" s="2" t="s">
        <v>501</v>
      </c>
      <c r="C1996" s="2" t="s">
        <v>704</v>
      </c>
      <c r="D1996" s="2" t="s">
        <v>348</v>
      </c>
      <c r="E1996" s="2" t="s">
        <v>356</v>
      </c>
      <c r="F1996" s="2"/>
      <c r="G1996" s="2" t="s">
        <v>30</v>
      </c>
      <c r="H1996" s="2" t="str">
        <f aca="false">IF(LEFT(B1996,10)="Arsenal v ",MID(B1996,11,100),LEFT(B1996,FIND(" v ",B1996)-1))</f>
        <v>Newcastle United</v>
      </c>
      <c r="I1996" s="2" t="str">
        <f aca="false">IF(F1996&lt;&gt;"","N",IF(LEFT(B1996,10)="Arsenal v ","H","A"))</f>
        <v>A</v>
      </c>
      <c r="J1996" s="2"/>
    </row>
    <row r="1997" customFormat="false" ht="15" hidden="false" customHeight="false" outlineLevel="0" collapsed="false">
      <c r="A1997" s="3" t="n">
        <v>45602</v>
      </c>
      <c r="B1997" s="2" t="s">
        <v>469</v>
      </c>
      <c r="C1997" s="2" t="s">
        <v>704</v>
      </c>
      <c r="D1997" s="2" t="s">
        <v>348</v>
      </c>
      <c r="E1997" s="2" t="s">
        <v>352</v>
      </c>
      <c r="F1997" s="2"/>
      <c r="G1997" s="2" t="s">
        <v>30</v>
      </c>
      <c r="H1997" s="2" t="str">
        <f aca="false">IF(LEFT(B1997,10)="Arsenal v ",MID(B1997,11,100),LEFT(B1997,FIND(" v ",B1997)-1))</f>
        <v>Internazionale</v>
      </c>
      <c r="I1997" s="2" t="str">
        <f aca="false">IF(F1997&lt;&gt;"","N",IF(LEFT(B1997,10)="Arsenal v ","H","A"))</f>
        <v>A</v>
      </c>
      <c r="J1997" s="2"/>
    </row>
    <row r="1998" customFormat="false" ht="15" hidden="false" customHeight="false" outlineLevel="0" collapsed="false">
      <c r="A1998" s="3" t="n">
        <v>45606</v>
      </c>
      <c r="B1998" s="2" t="s">
        <v>426</v>
      </c>
      <c r="C1998" s="2" t="s">
        <v>706</v>
      </c>
      <c r="D1998" s="2" t="s">
        <v>361</v>
      </c>
      <c r="E1998" s="2" t="s">
        <v>356</v>
      </c>
      <c r="F1998" s="2"/>
      <c r="G1998" s="2" t="s">
        <v>30</v>
      </c>
      <c r="H1998" s="2" t="str">
        <f aca="false">IF(LEFT(B1998,10)="Arsenal v ",MID(B1998,11,100),LEFT(B1998,FIND(" v ",B1998)-1))</f>
        <v>Chelsea</v>
      </c>
      <c r="I1998" s="2" t="str">
        <f aca="false">IF(F1998&lt;&gt;"","N",IF(LEFT(B1998,10)="Arsenal v ","H","A"))</f>
        <v>A</v>
      </c>
      <c r="J1998" s="2"/>
    </row>
    <row r="1999" customFormat="false" ht="15" hidden="false" customHeight="false" outlineLevel="0" collapsed="false">
      <c r="A1999" s="3" t="n">
        <v>45619</v>
      </c>
      <c r="B1999" s="2" t="s">
        <v>716</v>
      </c>
      <c r="C1999" s="2" t="s">
        <v>702</v>
      </c>
      <c r="D1999" s="2" t="s">
        <v>434</v>
      </c>
      <c r="E1999" s="2" t="s">
        <v>356</v>
      </c>
      <c r="F1999" s="2"/>
      <c r="G1999" s="2" t="s">
        <v>30</v>
      </c>
      <c r="H1999" s="2" t="str">
        <f aca="false">IF(LEFT(B1999,10)="Arsenal v ",MID(B1999,11,100),LEFT(B1999,FIND(" v ",B1999)-1))</f>
        <v>Nottingham Forest</v>
      </c>
      <c r="I1999" s="2" t="str">
        <f aca="false">IF(F1999&lt;&gt;"","N",IF(LEFT(B1999,10)="Arsenal v ","H","A"))</f>
        <v>H</v>
      </c>
      <c r="J1999" s="2"/>
    </row>
    <row r="2000" customFormat="false" ht="15" hidden="false" customHeight="false" outlineLevel="0" collapsed="false">
      <c r="A2000" s="3" t="n">
        <v>45622</v>
      </c>
      <c r="B2000" s="2" t="s">
        <v>550</v>
      </c>
      <c r="C2000" s="2" t="s">
        <v>702</v>
      </c>
      <c r="D2000" s="2" t="s">
        <v>435</v>
      </c>
      <c r="E2000" s="2" t="s">
        <v>352</v>
      </c>
      <c r="F2000" s="2"/>
      <c r="G2000" s="2" t="s">
        <v>30</v>
      </c>
      <c r="H2000" s="2" t="str">
        <f aca="false">IF(LEFT(B2000,10)="Arsenal v ",MID(B2000,11,100),LEFT(B2000,FIND(" v ",B2000)-1))</f>
        <v>Sporting Clube Portugal</v>
      </c>
      <c r="I2000" s="2" t="str">
        <f aca="false">IF(F2000&lt;&gt;"","N",IF(LEFT(B2000,10)="Arsenal v ","H","A"))</f>
        <v>A</v>
      </c>
      <c r="J2000" s="2"/>
    </row>
    <row r="2001" customFormat="false" ht="15" hidden="false" customHeight="false" outlineLevel="0" collapsed="false">
      <c r="A2001" s="3" t="n">
        <v>45626</v>
      </c>
      <c r="B2001" s="2" t="s">
        <v>572</v>
      </c>
      <c r="C2001" s="2" t="s">
        <v>702</v>
      </c>
      <c r="D2001" s="2" t="s">
        <v>450</v>
      </c>
      <c r="E2001" s="2" t="s">
        <v>356</v>
      </c>
      <c r="F2001" s="2"/>
      <c r="G2001" s="2" t="s">
        <v>30</v>
      </c>
      <c r="H2001" s="2" t="str">
        <f aca="false">IF(LEFT(B2001,10)="Arsenal v ",MID(B2001,11,100),LEFT(B2001,FIND(" v ",B2001)-1))</f>
        <v>West Ham United</v>
      </c>
      <c r="I2001" s="2" t="str">
        <f aca="false">IF(F2001&lt;&gt;"","N",IF(LEFT(B2001,10)="Arsenal v ","H","A"))</f>
        <v>A</v>
      </c>
      <c r="J2001" s="2"/>
    </row>
    <row r="2002" customFormat="false" ht="15" hidden="false" customHeight="false" outlineLevel="0" collapsed="false">
      <c r="A2002" s="3" t="n">
        <v>45630</v>
      </c>
      <c r="B2002" s="2" t="s">
        <v>656</v>
      </c>
      <c r="C2002" s="2" t="s">
        <v>702</v>
      </c>
      <c r="D2002" s="2" t="s">
        <v>351</v>
      </c>
      <c r="E2002" s="2" t="s">
        <v>356</v>
      </c>
      <c r="F2002" s="2"/>
      <c r="G2002" s="2" t="s">
        <v>30</v>
      </c>
      <c r="H2002" s="2" t="str">
        <f aca="false">IF(LEFT(B2002,10)="Arsenal v ",MID(B2002,11,100),LEFT(B2002,FIND(" v ",B2002)-1))</f>
        <v>Manchester United</v>
      </c>
      <c r="I2002" s="2" t="str">
        <f aca="false">IF(F2002&lt;&gt;"","N",IF(LEFT(B2002,10)="Arsenal v ","H","A"))</f>
        <v>H</v>
      </c>
      <c r="J2002" s="2"/>
    </row>
    <row r="2003" customFormat="false" ht="15" hidden="false" customHeight="false" outlineLevel="0" collapsed="false">
      <c r="A2003" s="3" t="n">
        <v>45634</v>
      </c>
      <c r="B2003" s="2" t="s">
        <v>461</v>
      </c>
      <c r="C2003" s="2" t="s">
        <v>706</v>
      </c>
      <c r="D2003" s="2" t="s">
        <v>361</v>
      </c>
      <c r="E2003" s="2" t="s">
        <v>356</v>
      </c>
      <c r="F2003" s="2"/>
      <c r="G2003" s="2" t="s">
        <v>30</v>
      </c>
      <c r="H2003" s="2" t="str">
        <f aca="false">IF(LEFT(B2003,10)="Arsenal v ",MID(B2003,11,100),LEFT(B2003,FIND(" v ",B2003)-1))</f>
        <v>Fulham</v>
      </c>
      <c r="I2003" s="2" t="str">
        <f aca="false">IF(F2003&lt;&gt;"","N",IF(LEFT(B2003,10)="Arsenal v ","H","A"))</f>
        <v>A</v>
      </c>
      <c r="J2003" s="2"/>
    </row>
    <row r="2004" customFormat="false" ht="15" hidden="false" customHeight="false" outlineLevel="0" collapsed="false">
      <c r="A2004" s="3" t="n">
        <v>45637</v>
      </c>
      <c r="B2004" s="2" t="s">
        <v>840</v>
      </c>
      <c r="C2004" s="2" t="s">
        <v>702</v>
      </c>
      <c r="D2004" s="2" t="s">
        <v>434</v>
      </c>
      <c r="E2004" s="2" t="s">
        <v>352</v>
      </c>
      <c r="F2004" s="2"/>
      <c r="G2004" s="2" t="s">
        <v>30</v>
      </c>
      <c r="H2004" s="2" t="str">
        <f aca="false">IF(LEFT(B2004,10)="Arsenal v ",MID(B2004,11,100),LEFT(B2004,FIND(" v ",B2004)-1))</f>
        <v>AS Monaco</v>
      </c>
      <c r="I2004" s="2" t="str">
        <f aca="false">IF(F2004&lt;&gt;"","N",IF(LEFT(B2004,10)="Arsenal v ","H","A"))</f>
        <v>H</v>
      </c>
      <c r="J2004" s="2"/>
    </row>
    <row r="2005" customFormat="false" ht="15" hidden="false" customHeight="false" outlineLevel="0" collapsed="false">
      <c r="A2005" s="3" t="n">
        <v>45640</v>
      </c>
      <c r="B2005" s="2" t="s">
        <v>718</v>
      </c>
      <c r="C2005" s="2" t="s">
        <v>706</v>
      </c>
      <c r="D2005" s="2" t="s">
        <v>369</v>
      </c>
      <c r="E2005" s="2" t="s">
        <v>356</v>
      </c>
      <c r="F2005" s="2"/>
      <c r="G2005" s="2" t="s">
        <v>30</v>
      </c>
      <c r="H2005" s="2" t="str">
        <f aca="false">IF(LEFT(B2005,10)="Arsenal v ",MID(B2005,11,100),LEFT(B2005,FIND(" v ",B2005)-1))</f>
        <v>Everton</v>
      </c>
      <c r="I2005" s="2" t="str">
        <f aca="false">IF(F2005&lt;&gt;"","N",IF(LEFT(B2005,10)="Arsenal v ","H","A"))</f>
        <v>H</v>
      </c>
      <c r="J2005" s="2"/>
    </row>
    <row r="2006" customFormat="false" ht="15" hidden="false" customHeight="false" outlineLevel="0" collapsed="false">
      <c r="A2006" s="3" t="n">
        <v>45644</v>
      </c>
      <c r="B2006" s="2" t="s">
        <v>724</v>
      </c>
      <c r="C2006" s="2" t="s">
        <v>702</v>
      </c>
      <c r="D2006" s="2" t="s">
        <v>382</v>
      </c>
      <c r="E2006" s="2" t="s">
        <v>379</v>
      </c>
      <c r="F2006" s="2"/>
      <c r="G2006" s="2" t="s">
        <v>30</v>
      </c>
      <c r="H2006" s="2" t="str">
        <f aca="false">IF(LEFT(B2006,10)="Arsenal v ",MID(B2006,11,100),LEFT(B2006,FIND(" v ",B2006)-1))</f>
        <v>Crystal Palace</v>
      </c>
      <c r="I2006" s="2" t="str">
        <f aca="false">IF(F2006&lt;&gt;"","N",IF(LEFT(B2006,10)="Arsenal v ","H","A"))</f>
        <v>H</v>
      </c>
      <c r="J2006" s="2"/>
    </row>
    <row r="2007" customFormat="false" ht="15" hidden="false" customHeight="false" outlineLevel="0" collapsed="false">
      <c r="A2007" s="3" t="n">
        <v>45647</v>
      </c>
      <c r="B2007" s="2" t="s">
        <v>433</v>
      </c>
      <c r="C2007" s="2" t="s">
        <v>702</v>
      </c>
      <c r="D2007" s="2" t="s">
        <v>435</v>
      </c>
      <c r="E2007" s="2" t="s">
        <v>356</v>
      </c>
      <c r="F2007" s="2"/>
      <c r="G2007" s="2" t="s">
        <v>30</v>
      </c>
      <c r="H2007" s="2" t="str">
        <f aca="false">IF(LEFT(B2007,10)="Arsenal v ",MID(B2007,11,100),LEFT(B2007,FIND(" v ",B2007)-1))</f>
        <v>Crystal Palace</v>
      </c>
      <c r="I2007" s="2" t="str">
        <f aca="false">IF(F2007&lt;&gt;"","N",IF(LEFT(B2007,10)="Arsenal v ","H","A"))</f>
        <v>A</v>
      </c>
      <c r="J2007" s="2"/>
    </row>
    <row r="2008" customFormat="false" ht="15" hidden="false" customHeight="false" outlineLevel="0" collapsed="false">
      <c r="A2008" s="3" t="n">
        <v>45653</v>
      </c>
      <c r="B2008" s="2" t="s">
        <v>738</v>
      </c>
      <c r="C2008" s="2" t="s">
        <v>702</v>
      </c>
      <c r="D2008" s="2" t="s">
        <v>348</v>
      </c>
      <c r="E2008" s="2" t="s">
        <v>356</v>
      </c>
      <c r="F2008" s="2"/>
      <c r="G2008" s="2" t="s">
        <v>30</v>
      </c>
      <c r="H2008" s="2" t="str">
        <f aca="false">IF(LEFT(B2008,10)="Arsenal v ",MID(B2008,11,100),LEFT(B2008,FIND(" v ",B2008)-1))</f>
        <v>Ipswich Town</v>
      </c>
      <c r="I2008" s="2" t="str">
        <f aca="false">IF(F2008&lt;&gt;"","N",IF(LEFT(B2008,10)="Arsenal v ","H","A"))</f>
        <v>H</v>
      </c>
      <c r="J2008" s="2"/>
    </row>
    <row r="2009" customFormat="false" ht="15" hidden="false" customHeight="false" outlineLevel="0" collapsed="false">
      <c r="A2009" s="3" t="n">
        <v>45658</v>
      </c>
      <c r="B2009" s="2" t="s">
        <v>416</v>
      </c>
      <c r="C2009" s="2" t="s">
        <v>702</v>
      </c>
      <c r="D2009" s="2" t="s">
        <v>373</v>
      </c>
      <c r="E2009" s="2" t="s">
        <v>356</v>
      </c>
      <c r="F2009" s="2"/>
      <c r="G2009" s="2" t="s">
        <v>30</v>
      </c>
      <c r="H2009" s="2" t="str">
        <f aca="false">IF(LEFT(B2009,10)="Arsenal v ",MID(B2009,11,100),LEFT(B2009,FIND(" v ",B2009)-1))</f>
        <v>Brentford</v>
      </c>
      <c r="I2009" s="2" t="str">
        <f aca="false">IF(F2009&lt;&gt;"","N",IF(LEFT(B2009,10)="Arsenal v ","H","A"))</f>
        <v>A</v>
      </c>
      <c r="J2009" s="2"/>
    </row>
    <row r="2010" customFormat="false" ht="15" hidden="false" customHeight="false" outlineLevel="0" collapsed="false">
      <c r="A2010" s="3" t="n">
        <v>45661</v>
      </c>
      <c r="B2010" s="2" t="s">
        <v>417</v>
      </c>
      <c r="C2010" s="2" t="s">
        <v>706</v>
      </c>
      <c r="D2010" s="2" t="s">
        <v>361</v>
      </c>
      <c r="E2010" s="2" t="s">
        <v>356</v>
      </c>
      <c r="F2010" s="2"/>
      <c r="G2010" s="2" t="s">
        <v>30</v>
      </c>
      <c r="H2010" s="2" t="str">
        <f aca="false">IF(LEFT(B2010,10)="Arsenal v ",MID(B2010,11,100),LEFT(B2010,FIND(" v ",B2010)-1))</f>
        <v>Brighton and Hove Albion</v>
      </c>
      <c r="I2010" s="2" t="str">
        <f aca="false">IF(F2010&lt;&gt;"","N",IF(LEFT(B2010,10)="Arsenal v ","H","A"))</f>
        <v>A</v>
      </c>
      <c r="J2010" s="2"/>
    </row>
    <row r="2011" customFormat="false" ht="15" hidden="false" customHeight="false" outlineLevel="0" collapsed="false">
      <c r="A2011" s="3" t="n">
        <v>45664</v>
      </c>
      <c r="B2011" s="2" t="s">
        <v>719</v>
      </c>
      <c r="C2011" s="2" t="s">
        <v>704</v>
      </c>
      <c r="D2011" s="2" t="s">
        <v>353</v>
      </c>
      <c r="E2011" s="2" t="s">
        <v>379</v>
      </c>
      <c r="F2011" s="2"/>
      <c r="G2011" s="2" t="s">
        <v>30</v>
      </c>
      <c r="H2011" s="2" t="str">
        <f aca="false">IF(LEFT(B2011,10)="Arsenal v ",MID(B2011,11,100),LEFT(B2011,FIND(" v ",B2011)-1))</f>
        <v>Newcastle United</v>
      </c>
      <c r="I2011" s="2" t="str">
        <f aca="false">IF(F2011&lt;&gt;"","N",IF(LEFT(B2011,10)="Arsenal v ","H","A"))</f>
        <v>H</v>
      </c>
      <c r="J2011" s="2"/>
    </row>
    <row r="2012" customFormat="false" ht="15" hidden="false" customHeight="false" outlineLevel="0" collapsed="false">
      <c r="A2012" s="3" t="n">
        <v>45669</v>
      </c>
      <c r="B2012" s="2" t="s">
        <v>656</v>
      </c>
      <c r="C2012" s="2" t="s">
        <v>704</v>
      </c>
      <c r="D2012" s="2" t="s">
        <v>869</v>
      </c>
      <c r="E2012" s="2" t="s">
        <v>362</v>
      </c>
      <c r="F2012" s="2"/>
      <c r="G2012" s="2" t="s">
        <v>30</v>
      </c>
      <c r="H2012" s="2" t="str">
        <f aca="false">IF(LEFT(B2012,10)="Arsenal v ",MID(B2012,11,100),LEFT(B2012,FIND(" v ",B2012)-1))</f>
        <v>Manchester United</v>
      </c>
      <c r="I2012" s="2" t="str">
        <f aca="false">IF(F2012&lt;&gt;"","N",IF(LEFT(B2012,10)="Arsenal v ","H","A"))</f>
        <v>H</v>
      </c>
      <c r="J2012" s="2"/>
    </row>
    <row r="2013" customFormat="false" ht="15" hidden="false" customHeight="false" outlineLevel="0" collapsed="false">
      <c r="A2013" s="3" t="n">
        <v>45672</v>
      </c>
      <c r="B2013" s="2" t="s">
        <v>655</v>
      </c>
      <c r="C2013" s="2" t="s">
        <v>702</v>
      </c>
      <c r="D2013" s="2" t="s">
        <v>359</v>
      </c>
      <c r="E2013" s="2" t="s">
        <v>356</v>
      </c>
      <c r="F2013" s="2"/>
      <c r="G2013" s="2" t="s">
        <v>30</v>
      </c>
      <c r="H2013" s="2" t="str">
        <f aca="false">IF(LEFT(B2013,10)="Arsenal v ",MID(B2013,11,100),LEFT(B2013,FIND(" v ",B2013)-1))</f>
        <v>Tottenham Hotspur</v>
      </c>
      <c r="I2013" s="2" t="str">
        <f aca="false">IF(F2013&lt;&gt;"","N",IF(LEFT(B2013,10)="Arsenal v ","H","A"))</f>
        <v>H</v>
      </c>
      <c r="J2013" s="2"/>
    </row>
    <row r="2014" customFormat="false" ht="15" hidden="false" customHeight="false" outlineLevel="0" collapsed="false">
      <c r="A2014" s="3" t="n">
        <v>45675</v>
      </c>
      <c r="B2014" s="2" t="s">
        <v>703</v>
      </c>
      <c r="C2014" s="2" t="s">
        <v>706</v>
      </c>
      <c r="D2014" s="2" t="s">
        <v>380</v>
      </c>
      <c r="E2014" s="2" t="s">
        <v>356</v>
      </c>
      <c r="F2014" s="2"/>
      <c r="G2014" s="2" t="s">
        <v>30</v>
      </c>
      <c r="H2014" s="2" t="str">
        <f aca="false">IF(LEFT(B2014,10)="Arsenal v ",MID(B2014,11,100),LEFT(B2014,FIND(" v ",B2014)-1))</f>
        <v>Aston Villa</v>
      </c>
      <c r="I2014" s="2" t="str">
        <f aca="false">IF(F2014&lt;&gt;"","N",IF(LEFT(B2014,10)="Arsenal v ","H","A"))</f>
        <v>H</v>
      </c>
      <c r="J2014" s="2"/>
    </row>
    <row r="2015" customFormat="false" ht="15" hidden="false" customHeight="false" outlineLevel="0" collapsed="false">
      <c r="A2015" s="3" t="n">
        <v>45679</v>
      </c>
      <c r="B2015" s="2" t="s">
        <v>812</v>
      </c>
      <c r="C2015" s="2" t="s">
        <v>702</v>
      </c>
      <c r="D2015" s="2" t="s">
        <v>434</v>
      </c>
      <c r="E2015" s="2" t="s">
        <v>352</v>
      </c>
      <c r="F2015" s="2"/>
      <c r="G2015" s="2" t="s">
        <v>30</v>
      </c>
      <c r="H2015" s="2" t="str">
        <f aca="false">IF(LEFT(B2015,10)="Arsenal v ",MID(B2015,11,100),LEFT(B2015,FIND(" v ",B2015)-1))</f>
        <v>Dinamo Zagreb</v>
      </c>
      <c r="I2015" s="2" t="str">
        <f aca="false">IF(F2015&lt;&gt;"","N",IF(LEFT(B2015,10)="Arsenal v ","H","A"))</f>
        <v>H</v>
      </c>
      <c r="J2015" s="2"/>
    </row>
    <row r="2016" customFormat="false" ht="15" hidden="false" customHeight="false" outlineLevel="0" collapsed="false">
      <c r="A2016" s="3" t="n">
        <v>45682</v>
      </c>
      <c r="B2016" s="2" t="s">
        <v>575</v>
      </c>
      <c r="C2016" s="2" t="s">
        <v>702</v>
      </c>
      <c r="D2016" s="2" t="s">
        <v>383</v>
      </c>
      <c r="E2016" s="2" t="s">
        <v>356</v>
      </c>
      <c r="F2016" s="2"/>
      <c r="G2016" s="2" t="s">
        <v>30</v>
      </c>
      <c r="H2016" s="2" t="str">
        <f aca="false">IF(LEFT(B2016,10)="Arsenal v ",MID(B2016,11,100),LEFT(B2016,FIND(" v ",B2016)-1))</f>
        <v>Wolverhampton Wanderers</v>
      </c>
      <c r="I2016" s="2" t="str">
        <f aca="false">IF(F2016&lt;&gt;"","N",IF(LEFT(B2016,10)="Arsenal v ","H","A"))</f>
        <v>A</v>
      </c>
      <c r="J2016" s="2"/>
    </row>
    <row r="2017" customFormat="false" ht="15" hidden="false" customHeight="false" outlineLevel="0" collapsed="false">
      <c r="A2017" s="3" t="n">
        <v>45686</v>
      </c>
      <c r="B2017" s="2" t="s">
        <v>463</v>
      </c>
      <c r="C2017" s="2" t="s">
        <v>702</v>
      </c>
      <c r="D2017" s="2" t="s">
        <v>360</v>
      </c>
      <c r="E2017" s="2" t="s">
        <v>352</v>
      </c>
      <c r="F2017" s="2"/>
      <c r="G2017" s="2" t="s">
        <v>30</v>
      </c>
      <c r="H2017" s="2" t="str">
        <f aca="false">IF(LEFT(B2017,10)="Arsenal v ",MID(B2017,11,100),LEFT(B2017,FIND(" v ",B2017)-1))</f>
        <v>Girona</v>
      </c>
      <c r="I2017" s="2" t="str">
        <f aca="false">IF(F2017&lt;&gt;"","N",IF(LEFT(B2017,10)="Arsenal v ","H","A"))</f>
        <v>A</v>
      </c>
      <c r="J2017" s="2"/>
    </row>
    <row r="2018" customFormat="false" ht="15" hidden="false" customHeight="false" outlineLevel="0" collapsed="false">
      <c r="A2018" s="3" t="n">
        <v>45690</v>
      </c>
      <c r="B2018" s="2" t="s">
        <v>657</v>
      </c>
      <c r="C2018" s="2" t="s">
        <v>702</v>
      </c>
      <c r="D2018" s="2" t="s">
        <v>401</v>
      </c>
      <c r="E2018" s="2" t="s">
        <v>356</v>
      </c>
      <c r="F2018" s="2"/>
      <c r="G2018" s="2" t="s">
        <v>30</v>
      </c>
      <c r="H2018" s="2" t="str">
        <f aca="false">IF(LEFT(B2018,10)="Arsenal v ",MID(B2018,11,100),LEFT(B2018,FIND(" v ",B2018)-1))</f>
        <v>Manchester City</v>
      </c>
      <c r="I2018" s="2" t="str">
        <f aca="false">IF(F2018&lt;&gt;"","N",IF(LEFT(B2018,10)="Arsenal v ","H","A"))</f>
        <v>H</v>
      </c>
      <c r="J2018" s="2"/>
    </row>
    <row r="2019" customFormat="false" ht="15" hidden="false" customHeight="false" outlineLevel="0" collapsed="false">
      <c r="A2019" s="3" t="n">
        <v>45693</v>
      </c>
      <c r="B2019" s="2" t="s">
        <v>501</v>
      </c>
      <c r="C2019" s="2" t="s">
        <v>704</v>
      </c>
      <c r="D2019" s="2" t="s">
        <v>351</v>
      </c>
      <c r="E2019" s="2" t="s">
        <v>379</v>
      </c>
      <c r="F2019" s="2"/>
      <c r="G2019" s="2" t="s">
        <v>30</v>
      </c>
      <c r="H2019" s="2" t="str">
        <f aca="false">IF(LEFT(B2019,10)="Arsenal v ",MID(B2019,11,100),LEFT(B2019,FIND(" v ",B2019)-1))</f>
        <v>Newcastle United</v>
      </c>
      <c r="I2019" s="2" t="str">
        <f aca="false">IF(F2019&lt;&gt;"","N",IF(LEFT(B2019,10)="Arsenal v ","H","A"))</f>
        <v>A</v>
      </c>
      <c r="J2019" s="2"/>
    </row>
    <row r="2020" customFormat="false" ht="15" hidden="false" customHeight="false" outlineLevel="0" collapsed="false">
      <c r="A2020" s="3" t="n">
        <v>45703</v>
      </c>
      <c r="B2020" s="2" t="s">
        <v>474</v>
      </c>
      <c r="C2020" s="2" t="s">
        <v>702</v>
      </c>
      <c r="D2020" s="2" t="s">
        <v>353</v>
      </c>
      <c r="E2020" s="2" t="s">
        <v>356</v>
      </c>
      <c r="F2020" s="2"/>
      <c r="G2020" s="2" t="s">
        <v>30</v>
      </c>
      <c r="H2020" s="2" t="str">
        <f aca="false">IF(LEFT(B2020,10)="Arsenal v ",MID(B2020,11,100),LEFT(B2020,FIND(" v ",B2020)-1))</f>
        <v>Leicester City</v>
      </c>
      <c r="I2020" s="2" t="str">
        <f aca="false">IF(F2020&lt;&gt;"","N",IF(LEFT(B2020,10)="Arsenal v ","H","A"))</f>
        <v>A</v>
      </c>
      <c r="J2020" s="2"/>
    </row>
    <row r="2021" customFormat="false" ht="15" hidden="false" customHeight="false" outlineLevel="0" collapsed="false">
      <c r="A2021" s="3" t="n">
        <v>45710</v>
      </c>
      <c r="B2021" s="2" t="s">
        <v>712</v>
      </c>
      <c r="C2021" s="2" t="s">
        <v>704</v>
      </c>
      <c r="D2021" s="2" t="s">
        <v>383</v>
      </c>
      <c r="E2021" s="2" t="s">
        <v>356</v>
      </c>
      <c r="F2021" s="2"/>
      <c r="G2021" s="2" t="s">
        <v>30</v>
      </c>
      <c r="H2021" s="2" t="str">
        <f aca="false">IF(LEFT(B2021,10)="Arsenal v ",MID(B2021,11,100),LEFT(B2021,FIND(" v ",B2021)-1))</f>
        <v>West Ham United</v>
      </c>
      <c r="I2021" s="2" t="str">
        <f aca="false">IF(F2021&lt;&gt;"","N",IF(LEFT(B2021,10)="Arsenal v ","H","A"))</f>
        <v>H</v>
      </c>
      <c r="J2021" s="2"/>
    </row>
    <row r="2022" customFormat="false" ht="15" hidden="false" customHeight="false" outlineLevel="0" collapsed="false">
      <c r="A2022" s="3" t="n">
        <v>45714</v>
      </c>
      <c r="B2022" s="2" t="s">
        <v>503</v>
      </c>
      <c r="C2022" s="2" t="s">
        <v>706</v>
      </c>
      <c r="D2022" s="2" t="s">
        <v>369</v>
      </c>
      <c r="E2022" s="2" t="s">
        <v>356</v>
      </c>
      <c r="F2022" s="2"/>
      <c r="G2022" s="2" t="s">
        <v>30</v>
      </c>
      <c r="H2022" s="2" t="str">
        <f aca="false">IF(LEFT(B2022,10)="Arsenal v ",MID(B2022,11,100),LEFT(B2022,FIND(" v ",B2022)-1))</f>
        <v>Nottingham Forest</v>
      </c>
      <c r="I2022" s="2" t="str">
        <f aca="false">IF(F2022&lt;&gt;"","N",IF(LEFT(B2022,10)="Arsenal v ","H","A"))</f>
        <v>A</v>
      </c>
      <c r="J2022" s="2"/>
    </row>
    <row r="2023" customFormat="false" ht="15" hidden="false" customHeight="false" outlineLevel="0" collapsed="false">
      <c r="A2023" s="3" t="n">
        <v>45720</v>
      </c>
      <c r="B2023" s="2" t="s">
        <v>522</v>
      </c>
      <c r="C2023" s="2" t="s">
        <v>702</v>
      </c>
      <c r="D2023" s="2" t="s">
        <v>523</v>
      </c>
      <c r="E2023" s="2" t="s">
        <v>352</v>
      </c>
      <c r="F2023" s="2"/>
      <c r="G2023" s="2" t="s">
        <v>30</v>
      </c>
      <c r="H2023" s="2" t="str">
        <f aca="false">IF(LEFT(B2023,10)="Arsenal v ",MID(B2023,11,100),LEFT(B2023,FIND(" v ",B2023)-1))</f>
        <v>PSV Eindhoven</v>
      </c>
      <c r="I2023" s="2" t="str">
        <f aca="false">IF(F2023&lt;&gt;"","N",IF(LEFT(B2023,10)="Arsenal v ","H","A"))</f>
        <v>A</v>
      </c>
      <c r="J2023" s="2"/>
    </row>
    <row r="2024" customFormat="false" ht="15" hidden="false" customHeight="false" outlineLevel="0" collapsed="false">
      <c r="A2024" s="3" t="n">
        <v>45725</v>
      </c>
      <c r="B2024" s="2" t="s">
        <v>490</v>
      </c>
      <c r="C2024" s="2" t="s">
        <v>706</v>
      </c>
      <c r="D2024" s="2" t="s">
        <v>361</v>
      </c>
      <c r="E2024" s="2" t="s">
        <v>356</v>
      </c>
      <c r="F2024" s="2"/>
      <c r="G2024" s="2" t="s">
        <v>30</v>
      </c>
      <c r="H2024" s="2" t="str">
        <f aca="false">IF(LEFT(B2024,10)="Arsenal v ",MID(B2024,11,100),LEFT(B2024,FIND(" v ",B2024)-1))</f>
        <v>Manchester United</v>
      </c>
      <c r="I2024" s="2" t="str">
        <f aca="false">IF(F2024&lt;&gt;"","N",IF(LEFT(B2024,10)="Arsenal v ","H","A"))</f>
        <v>A</v>
      </c>
      <c r="J2024" s="2"/>
    </row>
    <row r="2025" customFormat="false" ht="15" hidden="false" customHeight="false" outlineLevel="0" collapsed="false">
      <c r="A2025" s="3" t="n">
        <v>45728</v>
      </c>
      <c r="B2025" s="2" t="s">
        <v>790</v>
      </c>
      <c r="C2025" s="2" t="s">
        <v>706</v>
      </c>
      <c r="D2025" s="2" t="s">
        <v>380</v>
      </c>
      <c r="E2025" s="2" t="s">
        <v>352</v>
      </c>
      <c r="F2025" s="2"/>
      <c r="G2025" s="2" t="s">
        <v>30</v>
      </c>
      <c r="H2025" s="2" t="str">
        <f aca="false">IF(LEFT(B2025,10)="Arsenal v ",MID(B2025,11,100),LEFT(B2025,FIND(" v ",B2025)-1))</f>
        <v>PSV Eindhoven</v>
      </c>
      <c r="I2025" s="2" t="str">
        <f aca="false">IF(F2025&lt;&gt;"","N",IF(LEFT(B2025,10)="Arsenal v ","H","A"))</f>
        <v>H</v>
      </c>
      <c r="J2025" s="2"/>
    </row>
    <row r="2026" customFormat="false" ht="15" hidden="false" customHeight="false" outlineLevel="0" collapsed="false">
      <c r="A2026" s="3" t="n">
        <v>45732</v>
      </c>
      <c r="B2026" s="2" t="s">
        <v>725</v>
      </c>
      <c r="C2026" s="2" t="s">
        <v>702</v>
      </c>
      <c r="D2026" s="2" t="s">
        <v>348</v>
      </c>
      <c r="E2026" s="2" t="s">
        <v>356</v>
      </c>
      <c r="F2026" s="2"/>
      <c r="G2026" s="2" t="s">
        <v>30</v>
      </c>
      <c r="H2026" s="2" t="str">
        <f aca="false">IF(LEFT(B2026,10)="Arsenal v ",MID(B2026,11,100),LEFT(B2026,FIND(" v ",B2026)-1))</f>
        <v>Chelsea</v>
      </c>
      <c r="I2026" s="2" t="str">
        <f aca="false">IF(F2026&lt;&gt;"","N",IF(LEFT(B2026,10)="Arsenal v ","H","A"))</f>
        <v>H</v>
      </c>
      <c r="J2026" s="2"/>
    </row>
    <row r="2027" customFormat="false" ht="15" hidden="false" customHeight="false" outlineLevel="0" collapsed="false">
      <c r="A2027" s="3" t="n">
        <v>45748</v>
      </c>
      <c r="B2027" s="2" t="s">
        <v>784</v>
      </c>
      <c r="C2027" s="2" t="s">
        <v>702</v>
      </c>
      <c r="D2027" s="2" t="s">
        <v>359</v>
      </c>
      <c r="E2027" s="2" t="s">
        <v>356</v>
      </c>
      <c r="F2027" s="2"/>
      <c r="G2027" s="2" t="s">
        <v>30</v>
      </c>
      <c r="H2027" s="2" t="str">
        <f aca="false">IF(LEFT(B2027,10)="Arsenal v ",MID(B2027,11,100),LEFT(B2027,FIND(" v ",B2027)-1))</f>
        <v>Fulham</v>
      </c>
      <c r="I2027" s="2" t="str">
        <f aca="false">IF(F2027&lt;&gt;"","N",IF(LEFT(B2027,10)="Arsenal v ","H","A"))</f>
        <v>H</v>
      </c>
      <c r="J2027" s="2"/>
    </row>
    <row r="2028" customFormat="false" ht="15" hidden="false" customHeight="false" outlineLevel="0" collapsed="false">
      <c r="A2028" s="3" t="n">
        <v>45752</v>
      </c>
      <c r="B2028" s="2" t="s">
        <v>448</v>
      </c>
      <c r="C2028" s="2" t="s">
        <v>706</v>
      </c>
      <c r="D2028" s="2" t="s">
        <v>361</v>
      </c>
      <c r="E2028" s="2" t="s">
        <v>356</v>
      </c>
      <c r="F2028" s="2"/>
      <c r="G2028" s="2" t="s">
        <v>30</v>
      </c>
      <c r="H2028" s="2" t="str">
        <f aca="false">IF(LEFT(B2028,10)="Arsenal v ",MID(B2028,11,100),LEFT(B2028,FIND(" v ",B2028)-1))</f>
        <v>Everton</v>
      </c>
      <c r="I2028" s="2" t="str">
        <f aca="false">IF(F2028&lt;&gt;"","N",IF(LEFT(B2028,10)="Arsenal v ","H","A"))</f>
        <v>A</v>
      </c>
      <c r="J2028" s="2"/>
    </row>
    <row r="2029" customFormat="false" ht="15" hidden="false" customHeight="false" outlineLevel="0" collapsed="false">
      <c r="A2029" s="3" t="n">
        <v>45755</v>
      </c>
      <c r="B2029" s="2" t="s">
        <v>809</v>
      </c>
      <c r="C2029" s="2" t="s">
        <v>702</v>
      </c>
      <c r="D2029" s="2" t="s">
        <v>434</v>
      </c>
      <c r="E2029" s="2" t="s">
        <v>352</v>
      </c>
      <c r="F2029" s="2"/>
      <c r="G2029" s="2" t="s">
        <v>30</v>
      </c>
      <c r="H2029" s="2" t="str">
        <f aca="false">IF(LEFT(B2029,10)="Arsenal v ",MID(B2029,11,100),LEFT(B2029,FIND(" v ",B2029)-1))</f>
        <v>Real Madrid</v>
      </c>
      <c r="I2029" s="2" t="str">
        <f aca="false">IF(F2029&lt;&gt;"","N",IF(LEFT(B2029,10)="Arsenal v ","H","A"))</f>
        <v>H</v>
      </c>
      <c r="J2029" s="2"/>
    </row>
    <row r="2030" customFormat="false" ht="15" hidden="false" customHeight="false" outlineLevel="0" collapsed="false">
      <c r="A2030" s="3" t="n">
        <v>45759</v>
      </c>
      <c r="B2030" s="2" t="s">
        <v>855</v>
      </c>
      <c r="C2030" s="2" t="s">
        <v>706</v>
      </c>
      <c r="D2030" s="2" t="s">
        <v>361</v>
      </c>
      <c r="E2030" s="2" t="s">
        <v>356</v>
      </c>
      <c r="F2030" s="2"/>
      <c r="G2030" s="2" t="s">
        <v>30</v>
      </c>
      <c r="H2030" s="2" t="str">
        <f aca="false">IF(LEFT(B2030,10)="Arsenal v ",MID(B2030,11,100),LEFT(B2030,FIND(" v ",B2030)-1))</f>
        <v>Brentford</v>
      </c>
      <c r="I2030" s="2" t="str">
        <f aca="false">IF(F2030&lt;&gt;"","N",IF(LEFT(B2030,10)="Arsenal v ","H","A"))</f>
        <v>H</v>
      </c>
      <c r="J2030" s="2"/>
    </row>
    <row r="2031" customFormat="false" ht="15" hidden="false" customHeight="false" outlineLevel="0" collapsed="false">
      <c r="A2031" s="3" t="n">
        <v>45763</v>
      </c>
      <c r="B2031" s="2" t="s">
        <v>532</v>
      </c>
      <c r="C2031" s="2" t="s">
        <v>702</v>
      </c>
      <c r="D2031" s="2" t="s">
        <v>360</v>
      </c>
      <c r="E2031" s="2" t="s">
        <v>352</v>
      </c>
      <c r="F2031" s="2"/>
      <c r="G2031" s="2" t="s">
        <v>30</v>
      </c>
      <c r="H2031" s="2" t="str">
        <f aca="false">IF(LEFT(B2031,10)="Arsenal v ",MID(B2031,11,100),LEFT(B2031,FIND(" v ",B2031)-1))</f>
        <v>Real Madrid</v>
      </c>
      <c r="I2031" s="2" t="str">
        <f aca="false">IF(F2031&lt;&gt;"","N",IF(LEFT(B2031,10)="Arsenal v ","H","A"))</f>
        <v>A</v>
      </c>
      <c r="J2031" s="2"/>
    </row>
    <row r="2032" customFormat="false" ht="15" hidden="false" customHeight="false" outlineLevel="0" collapsed="false">
      <c r="A2032" s="3" t="n">
        <v>45767</v>
      </c>
      <c r="B2032" s="2" t="s">
        <v>470</v>
      </c>
      <c r="C2032" s="2" t="s">
        <v>702</v>
      </c>
      <c r="D2032" s="2" t="s">
        <v>365</v>
      </c>
      <c r="E2032" s="2" t="s">
        <v>356</v>
      </c>
      <c r="F2032" s="2"/>
      <c r="G2032" s="2" t="s">
        <v>30</v>
      </c>
      <c r="H2032" s="2" t="str">
        <f aca="false">IF(LEFT(B2032,10)="Arsenal v ",MID(B2032,11,100),LEFT(B2032,FIND(" v ",B2032)-1))</f>
        <v>Ipswich Town</v>
      </c>
      <c r="I2032" s="2" t="str">
        <f aca="false">IF(F2032&lt;&gt;"","N",IF(LEFT(B2032,10)="Arsenal v ","H","A"))</f>
        <v>A</v>
      </c>
      <c r="J2032" s="2"/>
    </row>
    <row r="2033" customFormat="false" ht="15" hidden="false" customHeight="false" outlineLevel="0" collapsed="false">
      <c r="A2033" s="3" t="n">
        <v>45770</v>
      </c>
      <c r="B2033" s="2" t="s">
        <v>724</v>
      </c>
      <c r="C2033" s="2" t="s">
        <v>706</v>
      </c>
      <c r="D2033" s="2" t="s">
        <v>380</v>
      </c>
      <c r="E2033" s="2" t="s">
        <v>356</v>
      </c>
      <c r="F2033" s="2"/>
      <c r="G2033" s="2" t="s">
        <v>30</v>
      </c>
      <c r="H2033" s="2" t="str">
        <f aca="false">IF(LEFT(B2033,10)="Arsenal v ",MID(B2033,11,100),LEFT(B2033,FIND(" v ",B2033)-1))</f>
        <v>Crystal Palace</v>
      </c>
      <c r="I2033" s="2" t="str">
        <f aca="false">IF(F2033&lt;&gt;"","N",IF(LEFT(B2033,10)="Arsenal v ","H","A"))</f>
        <v>H</v>
      </c>
      <c r="J2033" s="2"/>
    </row>
    <row r="2034" customFormat="false" ht="15" hidden="false" customHeight="false" outlineLevel="0" collapsed="false">
      <c r="A2034" s="3" t="n">
        <v>45776</v>
      </c>
      <c r="B2034" s="2" t="s">
        <v>746</v>
      </c>
      <c r="C2034" s="2" t="s">
        <v>704</v>
      </c>
      <c r="D2034" s="2" t="s">
        <v>383</v>
      </c>
      <c r="E2034" s="2" t="s">
        <v>352</v>
      </c>
      <c r="F2034" s="2"/>
      <c r="G2034" s="2" t="s">
        <v>30</v>
      </c>
      <c r="H2034" s="2" t="str">
        <f aca="false">IF(LEFT(B2034,10)="Arsenal v ",MID(B2034,11,100),LEFT(B2034,FIND(" v ",B2034)-1))</f>
        <v>Paris St Germain</v>
      </c>
      <c r="I2034" s="2" t="str">
        <f aca="false">IF(F2034&lt;&gt;"","N",IF(LEFT(B2034,10)="Arsenal v ","H","A"))</f>
        <v>H</v>
      </c>
      <c r="J2034" s="2"/>
    </row>
    <row r="2035" customFormat="false" ht="15" hidden="false" customHeight="false" outlineLevel="0" collapsed="false">
      <c r="A2035" s="3" t="n">
        <v>45780</v>
      </c>
      <c r="B2035" s="2" t="s">
        <v>841</v>
      </c>
      <c r="C2035" s="2" t="s">
        <v>704</v>
      </c>
      <c r="D2035" s="2" t="s">
        <v>360</v>
      </c>
      <c r="E2035" s="2" t="s">
        <v>356</v>
      </c>
      <c r="F2035" s="2"/>
      <c r="G2035" s="2" t="s">
        <v>30</v>
      </c>
      <c r="H2035" s="2" t="str">
        <f aca="false">IF(LEFT(B2035,10)="Arsenal v ",MID(B2035,11,100),LEFT(B2035,FIND(" v ",B2035)-1))</f>
        <v>AFC Bournemouth</v>
      </c>
      <c r="I2035" s="2" t="str">
        <f aca="false">IF(F2035&lt;&gt;"","N",IF(LEFT(B2035,10)="Arsenal v ","H","A"))</f>
        <v>H</v>
      </c>
      <c r="J2035" s="2"/>
    </row>
    <row r="2036" customFormat="false" ht="15" hidden="false" customHeight="false" outlineLevel="0" collapsed="false">
      <c r="A2036" s="3" t="n">
        <v>45784</v>
      </c>
      <c r="B2036" s="2" t="s">
        <v>514</v>
      </c>
      <c r="C2036" s="2" t="s">
        <v>704</v>
      </c>
      <c r="D2036" s="2" t="s">
        <v>359</v>
      </c>
      <c r="E2036" s="2" t="s">
        <v>352</v>
      </c>
      <c r="F2036" s="2"/>
      <c r="G2036" s="2" t="s">
        <v>30</v>
      </c>
      <c r="H2036" s="2" t="str">
        <f aca="false">IF(LEFT(B2036,10)="Arsenal v ",MID(B2036,11,100),LEFT(B2036,FIND(" v ",B2036)-1))</f>
        <v>Paris St Germain</v>
      </c>
      <c r="I2036" s="2" t="str">
        <f aca="false">IF(F2036&lt;&gt;"","N",IF(LEFT(B2036,10)="Arsenal v ","H","A"))</f>
        <v>A</v>
      </c>
      <c r="J2036" s="2"/>
    </row>
    <row r="2037" customFormat="false" ht="15" hidden="false" customHeight="false" outlineLevel="0" collapsed="false">
      <c r="A2037" s="3" t="n">
        <v>45788</v>
      </c>
      <c r="B2037" s="2" t="s">
        <v>477</v>
      </c>
      <c r="C2037" s="2" t="s">
        <v>706</v>
      </c>
      <c r="D2037" s="2" t="s">
        <v>380</v>
      </c>
      <c r="E2037" s="2" t="s">
        <v>356</v>
      </c>
      <c r="F2037" s="2"/>
      <c r="G2037" s="2" t="s">
        <v>30</v>
      </c>
      <c r="H2037" s="2" t="str">
        <f aca="false">IF(LEFT(B2037,10)="Arsenal v ",MID(B2037,11,100),LEFT(B2037,FIND(" v ",B2037)-1))</f>
        <v>Liverpool</v>
      </c>
      <c r="I2037" s="2" t="str">
        <f aca="false">IF(F2037&lt;&gt;"","N",IF(LEFT(B2037,10)="Arsenal v ","H","A"))</f>
        <v>A</v>
      </c>
      <c r="J2037" s="2"/>
    </row>
    <row r="2038" customFormat="false" ht="15" hidden="false" customHeight="false" outlineLevel="0" collapsed="false">
      <c r="A2038" s="3" t="n">
        <v>45795</v>
      </c>
      <c r="B2038" s="2" t="s">
        <v>719</v>
      </c>
      <c r="C2038" s="2" t="s">
        <v>702</v>
      </c>
      <c r="D2038" s="2" t="s">
        <v>348</v>
      </c>
      <c r="E2038" s="2" t="s">
        <v>356</v>
      </c>
      <c r="F2038" s="2"/>
      <c r="G2038" s="2" t="s">
        <v>30</v>
      </c>
      <c r="H2038" s="2" t="str">
        <f aca="false">IF(LEFT(B2038,10)="Arsenal v ",MID(B2038,11,100),LEFT(B2038,FIND(" v ",B2038)-1))</f>
        <v>Newcastle United</v>
      </c>
      <c r="I2038" s="2" t="str">
        <f aca="false">IF(F2038&lt;&gt;"","N",IF(LEFT(B2038,10)="Arsenal v ","H","A"))</f>
        <v>H</v>
      </c>
      <c r="J2038" s="2"/>
    </row>
    <row r="2039" customFormat="false" ht="15" hidden="false" customHeight="false" outlineLevel="0" collapsed="false">
      <c r="A2039" s="3" t="n">
        <v>45802</v>
      </c>
      <c r="B2039" s="2" t="s">
        <v>546</v>
      </c>
      <c r="C2039" s="2" t="s">
        <v>702</v>
      </c>
      <c r="D2039" s="2" t="s">
        <v>360</v>
      </c>
      <c r="E2039" s="2" t="s">
        <v>356</v>
      </c>
      <c r="F2039" s="2"/>
      <c r="G2039" s="2" t="s">
        <v>30</v>
      </c>
      <c r="H2039" s="2" t="str">
        <f aca="false">IF(LEFT(B2039,10)="Arsenal v ",MID(B2039,11,100),LEFT(B2039,FIND(" v ",B2039)-1))</f>
        <v>Southampton</v>
      </c>
      <c r="I2039" s="2" t="str">
        <f aca="false">IF(F2039&lt;&gt;"","N",IF(LEFT(B2039,10)="Arsenal v ","H","A"))</f>
        <v>A</v>
      </c>
      <c r="J2039" s="2"/>
    </row>
    <row r="2040" customFormat="false" ht="15" hidden="false" customHeight="false" outlineLevel="0" collapsed="false">
      <c r="A2040" s="3" t="n">
        <v>45886</v>
      </c>
      <c r="B2040" s="2" t="s">
        <v>490</v>
      </c>
      <c r="C2040" s="2" t="s">
        <v>702</v>
      </c>
      <c r="D2040" s="2" t="s">
        <v>383</v>
      </c>
      <c r="E2040" s="2" t="s">
        <v>356</v>
      </c>
      <c r="F2040" s="2"/>
      <c r="G2040" s="2" t="s">
        <v>32</v>
      </c>
      <c r="H2040" s="2" t="str">
        <f aca="false">IF(LEFT(B2040,10)="Arsenal v ",MID(B2040,11,100),LEFT(B2040,FIND(" v ",B2040)-1))</f>
        <v>Manchester United</v>
      </c>
      <c r="I2040" s="2" t="str">
        <f aca="false">IF(F2040&lt;&gt;"","N",IF(LEFT(B2040,10)="Arsenal v ","H","A"))</f>
        <v>A</v>
      </c>
      <c r="J2040" s="2"/>
    </row>
    <row r="2041" customFormat="false" ht="15" hidden="false" customHeight="false" outlineLevel="0" collapsed="false">
      <c r="A2041" s="3" t="n">
        <v>45892</v>
      </c>
      <c r="B2041" s="2" t="s">
        <v>729</v>
      </c>
      <c r="C2041" s="2" t="s">
        <v>702</v>
      </c>
      <c r="D2041" s="2" t="s">
        <v>489</v>
      </c>
      <c r="E2041" s="2" t="s">
        <v>356</v>
      </c>
      <c r="F2041" s="2"/>
      <c r="G2041" s="2" t="s">
        <v>32</v>
      </c>
      <c r="H2041" s="2" t="str">
        <f aca="false">IF(LEFT(B2041,10)="Arsenal v ",MID(B2041,11,100),LEFT(B2041,FIND(" v ",B2041)-1))</f>
        <v>Leeds United</v>
      </c>
      <c r="I2041" s="2" t="str">
        <f aca="false">IF(F2041&lt;&gt;"","N",IF(LEFT(B2041,10)="Arsenal v ","H","A"))</f>
        <v>H</v>
      </c>
      <c r="J2041" s="2"/>
    </row>
    <row r="2042" customFormat="false" ht="15" hidden="false" customHeight="false" outlineLevel="0" collapsed="false">
      <c r="A2042" s="3" t="n">
        <v>45900</v>
      </c>
      <c r="B2042" s="2" t="s">
        <v>477</v>
      </c>
      <c r="C2042" s="2" t="s">
        <v>704</v>
      </c>
      <c r="D2042" s="2" t="s">
        <v>348</v>
      </c>
      <c r="E2042" s="2" t="s">
        <v>356</v>
      </c>
      <c r="F2042" s="2"/>
      <c r="G2042" s="2" t="s">
        <v>32</v>
      </c>
      <c r="H2042" s="2" t="str">
        <f aca="false">IF(LEFT(B2042,10)="Arsenal v ",MID(B2042,11,100),LEFT(B2042,FIND(" v ",B2042)-1))</f>
        <v>Liverpool</v>
      </c>
      <c r="I2042" s="2" t="str">
        <f aca="false">IF(F2042&lt;&gt;"","N",IF(LEFT(B2042,10)="Arsenal v ","H","A"))</f>
        <v>A</v>
      </c>
      <c r="J2042" s="2"/>
    </row>
    <row r="2043" customFormat="false" ht="15" hidden="false" customHeight="false" outlineLevel="0" collapsed="false">
      <c r="A2043" s="3" t="n">
        <v>45913</v>
      </c>
      <c r="B2043" s="2" t="s">
        <v>716</v>
      </c>
      <c r="C2043" s="2" t="s">
        <v>702</v>
      </c>
      <c r="D2043" s="2" t="s">
        <v>434</v>
      </c>
      <c r="E2043" s="2" t="s">
        <v>356</v>
      </c>
      <c r="F2043" s="2"/>
      <c r="G2043" s="2" t="s">
        <v>32</v>
      </c>
      <c r="H2043" s="2" t="str">
        <f aca="false">IF(LEFT(B2043,10)="Arsenal v ",MID(B2043,11,100),LEFT(B2043,FIND(" v ",B2043)-1))</f>
        <v>Nottingham Forest</v>
      </c>
      <c r="I2043" s="2" t="str">
        <f aca="false">IF(F2043&lt;&gt;"","N",IF(LEFT(B2043,10)="Arsenal v ","H","A"))</f>
        <v>H</v>
      </c>
      <c r="J2043" s="2"/>
    </row>
    <row r="2044" customFormat="false" ht="15" hidden="false" customHeight="false" outlineLevel="0" collapsed="false">
      <c r="A2044" s="3" t="n">
        <v>45916</v>
      </c>
      <c r="B2044" s="2" t="s">
        <v>388</v>
      </c>
      <c r="C2044" s="2" t="s">
        <v>702</v>
      </c>
      <c r="D2044" s="2" t="s">
        <v>353</v>
      </c>
      <c r="E2044" s="2" t="s">
        <v>352</v>
      </c>
      <c r="F2044" s="2"/>
      <c r="G2044" s="2" t="s">
        <v>32</v>
      </c>
      <c r="H2044" s="2" t="str">
        <f aca="false">IF(LEFT(B2044,10)="Arsenal v ",MID(B2044,11,100),LEFT(B2044,FIND(" v ",B2044)-1))</f>
        <v>Athletic Bilbao</v>
      </c>
      <c r="I2044" s="2" t="str">
        <f aca="false">IF(F2044&lt;&gt;"","N",IF(LEFT(B2044,10)="Arsenal v ","H","A"))</f>
        <v>A</v>
      </c>
      <c r="J2044" s="2"/>
    </row>
    <row r="2045" customFormat="false" ht="15" hidden="false" customHeight="false" outlineLevel="0" collapsed="false">
      <c r="A2045" s="3" t="n">
        <v>45921</v>
      </c>
      <c r="B2045" s="2" t="s">
        <v>657</v>
      </c>
      <c r="C2045" s="2" t="s">
        <v>706</v>
      </c>
      <c r="D2045" s="2" t="s">
        <v>361</v>
      </c>
      <c r="E2045" s="2" t="s">
        <v>356</v>
      </c>
      <c r="F2045" s="2"/>
      <c r="G2045" s="2" t="s">
        <v>32</v>
      </c>
      <c r="H2045" s="2" t="str">
        <f aca="false">IF(LEFT(B2045,10)="Arsenal v ",MID(B2045,11,100),LEFT(B2045,FIND(" v ",B2045)-1))</f>
        <v>Manchester City</v>
      </c>
      <c r="I2045" s="2" t="str">
        <f aca="false">IF(F2045&lt;&gt;"","N",IF(LEFT(B2045,10)="Arsenal v ","H","A"))</f>
        <v>H</v>
      </c>
      <c r="J2045" s="2"/>
    </row>
    <row r="2046" customFormat="false" ht="15" hidden="false" customHeight="false" outlineLevel="0" collapsed="false">
      <c r="A2046" s="3" t="n">
        <v>45924</v>
      </c>
      <c r="B2046" s="2" t="s">
        <v>518</v>
      </c>
      <c r="C2046" s="2" t="s">
        <v>702</v>
      </c>
      <c r="D2046" s="2" t="s">
        <v>353</v>
      </c>
      <c r="E2046" s="2" t="s">
        <v>379</v>
      </c>
      <c r="F2046" s="2"/>
      <c r="G2046" s="2" t="s">
        <v>32</v>
      </c>
      <c r="H2046" s="2" t="str">
        <f aca="false">IF(LEFT(B2046,10)="Arsenal v ",MID(B2046,11,100),LEFT(B2046,FIND(" v ",B2046)-1))</f>
        <v>Port Vale</v>
      </c>
      <c r="I2046" s="2" t="str">
        <f aca="false">IF(F2046&lt;&gt;"","N",IF(LEFT(B2046,10)="Arsenal v ","H","A"))</f>
        <v>A</v>
      </c>
      <c r="J2046" s="2"/>
    </row>
    <row r="2047" customFormat="false" ht="15" hidden="false" customHeight="false" outlineLevel="0" collapsed="false">
      <c r="A2047" s="3" t="n">
        <v>45928</v>
      </c>
      <c r="B2047" s="2" t="s">
        <v>501</v>
      </c>
      <c r="C2047" s="2" t="s">
        <v>702</v>
      </c>
      <c r="D2047" s="2" t="s">
        <v>360</v>
      </c>
      <c r="E2047" s="2" t="s">
        <v>356</v>
      </c>
      <c r="F2047" s="2"/>
      <c r="G2047" s="2" t="s">
        <v>32</v>
      </c>
      <c r="H2047" s="2" t="str">
        <f aca="false">IF(LEFT(B2047,10)="Arsenal v ",MID(B2047,11,100),LEFT(B2047,FIND(" v ",B2047)-1))</f>
        <v>Newcastle United</v>
      </c>
      <c r="I2047" s="2" t="str">
        <f aca="false">IF(F2047&lt;&gt;"","N",IF(LEFT(B2047,10)="Arsenal v ","H","A"))</f>
        <v>A</v>
      </c>
      <c r="J2047" s="2"/>
    </row>
    <row r="2048" customFormat="false" ht="15" hidden="false" customHeight="false" outlineLevel="0" collapsed="false">
      <c r="A2048" s="3" t="n">
        <v>45931</v>
      </c>
      <c r="B2048" s="2" t="s">
        <v>824</v>
      </c>
      <c r="C2048" s="2" t="s">
        <v>702</v>
      </c>
      <c r="D2048" s="2" t="s">
        <v>351</v>
      </c>
      <c r="E2048" s="2" t="s">
        <v>352</v>
      </c>
      <c r="F2048" s="2"/>
      <c r="G2048" s="2" t="s">
        <v>32</v>
      </c>
      <c r="H2048" s="2" t="str">
        <f aca="false">IF(LEFT(B2048,10)="Arsenal v ",MID(B2048,11,100),LEFT(B2048,FIND(" v ",B2048)-1))</f>
        <v>Olympiakos</v>
      </c>
      <c r="I2048" s="2" t="str">
        <f aca="false">IF(F2048&lt;&gt;"","N",IF(LEFT(B2048,10)="Arsenal v ","H","A"))</f>
        <v>H</v>
      </c>
      <c r="J2048" s="2"/>
    </row>
    <row r="2049" customFormat="false" ht="15" hidden="false" customHeight="false" outlineLevel="0" collapsed="false">
      <c r="A2049" s="3" t="n">
        <v>45934</v>
      </c>
      <c r="B2049" s="2" t="s">
        <v>712</v>
      </c>
      <c r="C2049" s="2" t="s">
        <v>702</v>
      </c>
      <c r="D2049" s="2" t="s">
        <v>351</v>
      </c>
      <c r="E2049" s="2" t="s">
        <v>356</v>
      </c>
      <c r="F2049" s="2"/>
      <c r="G2049" s="2" t="s">
        <v>32</v>
      </c>
      <c r="H2049" s="2" t="str">
        <f aca="false">IF(LEFT(B2049,10)="Arsenal v ",MID(B2049,11,100),LEFT(B2049,FIND(" v ",B2049)-1))</f>
        <v>West Ham United</v>
      </c>
      <c r="I2049" s="2" t="str">
        <f aca="false">IF(F2049&lt;&gt;"","N",IF(LEFT(B2049,10)="Arsenal v ","H","A"))</f>
        <v>H</v>
      </c>
      <c r="J2049" s="2"/>
    </row>
    <row r="2050" customFormat="false" ht="15" hidden="false" customHeight="false" outlineLevel="0" collapsed="false">
      <c r="A2050" s="3" t="n">
        <v>45948</v>
      </c>
      <c r="B2050" s="2" t="s">
        <v>461</v>
      </c>
      <c r="C2050" s="2" t="s">
        <v>702</v>
      </c>
      <c r="D2050" s="2" t="s">
        <v>383</v>
      </c>
      <c r="E2050" s="2" t="s">
        <v>356</v>
      </c>
      <c r="F2050" s="2"/>
      <c r="G2050" s="2" t="s">
        <v>32</v>
      </c>
      <c r="H2050" s="2" t="str">
        <f aca="false">IF(LEFT(B2050,10)="Arsenal v ",MID(B2050,11,100),LEFT(B2050,FIND(" v ",B2050)-1))</f>
        <v>Fulham</v>
      </c>
      <c r="I2050" s="2" t="str">
        <f aca="false">IF(F2050&lt;&gt;"","N",IF(LEFT(B2050,10)="Arsenal v ","H","A"))</f>
        <v>A</v>
      </c>
      <c r="J2050" s="2"/>
    </row>
    <row r="2051" customFormat="false" ht="15" hidden="false" customHeight="false" outlineLevel="0" collapsed="false">
      <c r="A2051" s="3" t="n">
        <v>45951</v>
      </c>
      <c r="B2051" s="2" t="s">
        <v>871</v>
      </c>
      <c r="C2051" s="2" t="s">
        <v>702</v>
      </c>
      <c r="D2051" s="2" t="s">
        <v>354</v>
      </c>
      <c r="E2051" s="2" t="s">
        <v>352</v>
      </c>
      <c r="F2051" s="2"/>
      <c r="G2051" s="2" t="s">
        <v>32</v>
      </c>
      <c r="H2051" s="2" t="str">
        <f aca="false">IF(LEFT(B2051,10)="Arsenal v ",MID(B2051,11,100),LEFT(B2051,FIND(" v ",B2051)-1))</f>
        <v>Atletico Madrid</v>
      </c>
      <c r="I2051" s="2" t="str">
        <f aca="false">IF(F2051&lt;&gt;"","N",IF(LEFT(B2051,10)="Arsenal v ","H","A"))</f>
        <v>H</v>
      </c>
      <c r="J2051" s="2"/>
    </row>
    <row r="2052" customFormat="false" ht="15" hidden="false" customHeight="false" outlineLevel="0" collapsed="false">
      <c r="A2052" s="3" t="n">
        <v>45956</v>
      </c>
      <c r="B2052" s="2" t="s">
        <v>724</v>
      </c>
      <c r="C2052" s="2" t="s">
        <v>702</v>
      </c>
      <c r="D2052" s="2" t="s">
        <v>348</v>
      </c>
      <c r="E2052" s="2" t="s">
        <v>356</v>
      </c>
      <c r="F2052" s="2"/>
      <c r="G2052" s="2" t="s">
        <v>32</v>
      </c>
      <c r="H2052" s="2" t="str">
        <f aca="false">IF(LEFT(B2052,10)="Arsenal v ",MID(B2052,11,100),LEFT(B2052,FIND(" v ",B2052)-1))</f>
        <v>Crystal Palace</v>
      </c>
      <c r="I2052" s="2" t="str">
        <f aca="false">IF(F2052&lt;&gt;"","N",IF(LEFT(B2052,10)="Arsenal v ","H","A"))</f>
        <v>H</v>
      </c>
      <c r="J2052" s="2"/>
    </row>
    <row r="2053" customFormat="false" ht="15" hidden="false" customHeight="false" outlineLevel="0" collapsed="false">
      <c r="A2053" s="3" t="n">
        <v>45959</v>
      </c>
      <c r="B2053" s="2" t="s">
        <v>848</v>
      </c>
      <c r="C2053" s="2" t="s">
        <v>702</v>
      </c>
      <c r="D2053" s="2" t="s">
        <v>351</v>
      </c>
      <c r="E2053" s="2" t="s">
        <v>379</v>
      </c>
      <c r="F2053" s="2"/>
      <c r="G2053" s="2" t="s">
        <v>32</v>
      </c>
      <c r="H2053" s="2" t="str">
        <f aca="false">IF(LEFT(B2053,10)="Arsenal v ",MID(B2053,11,100),LEFT(B2053,FIND(" v ",B2053)-1))</f>
        <v>Brighton and Hove Albion</v>
      </c>
      <c r="I2053" s="2" t="str">
        <f aca="false">IF(F2053&lt;&gt;"","N",IF(LEFT(B2053,10)="Arsenal v ","H","A"))</f>
        <v>H</v>
      </c>
      <c r="J2053" s="2"/>
    </row>
    <row r="2054" customFormat="false" ht="15" hidden="false" customHeight="false" outlineLevel="0" collapsed="false">
      <c r="A2054" s="3" t="n">
        <v>45962</v>
      </c>
      <c r="B2054" s="2" t="s">
        <v>419</v>
      </c>
      <c r="C2054" s="2" t="s">
        <v>702</v>
      </c>
      <c r="D2054" s="2" t="s">
        <v>353</v>
      </c>
      <c r="E2054" s="2" t="s">
        <v>356</v>
      </c>
      <c r="F2054" s="2"/>
      <c r="G2054" s="2" t="s">
        <v>32</v>
      </c>
      <c r="H2054" s="2" t="str">
        <f aca="false">IF(LEFT(B2054,10)="Arsenal v ",MID(B2054,11,100),LEFT(B2054,FIND(" v ",B2054)-1))</f>
        <v>Burnley</v>
      </c>
      <c r="I2054" s="2" t="str">
        <f aca="false">IF(F2054&lt;&gt;"","N",IF(LEFT(B2054,10)="Arsenal v ","H","A"))</f>
        <v>A</v>
      </c>
      <c r="J2054" s="2"/>
    </row>
    <row r="2055" customFormat="false" ht="15" hidden="false" customHeight="false" outlineLevel="0" collapsed="false">
      <c r="A2055" s="3" t="n">
        <v>45965</v>
      </c>
      <c r="B2055" s="2" t="s">
        <v>545</v>
      </c>
      <c r="C2055" s="2" t="s">
        <v>702</v>
      </c>
      <c r="D2055" s="2" t="s">
        <v>363</v>
      </c>
      <c r="E2055" s="2" t="s">
        <v>352</v>
      </c>
      <c r="F2055" s="2"/>
      <c r="G2055" s="2" t="s">
        <v>32</v>
      </c>
      <c r="H2055" s="2" t="str">
        <f aca="false">IF(LEFT(B2055,10)="Arsenal v ",MID(B2055,11,100),LEFT(B2055,FIND(" v ",B2055)-1))</f>
        <v>Slavia Praha</v>
      </c>
      <c r="I2055" s="2" t="str">
        <f aca="false">IF(F2055&lt;&gt;"","N",IF(LEFT(B2055,10)="Arsenal v ","H","A"))</f>
        <v>A</v>
      </c>
      <c r="J2055" s="2"/>
    </row>
    <row r="2056" customFormat="false" ht="15" hidden="false" customHeight="false" outlineLevel="0" collapsed="false">
      <c r="A2056" s="3" t="n">
        <v>45969</v>
      </c>
      <c r="B2056" s="2" t="s">
        <v>556</v>
      </c>
      <c r="C2056" s="2" t="s">
        <v>706</v>
      </c>
      <c r="D2056" s="2" t="s">
        <v>380</v>
      </c>
      <c r="E2056" s="2" t="s">
        <v>356</v>
      </c>
      <c r="F2056" s="2"/>
      <c r="G2056" s="2" t="s">
        <v>32</v>
      </c>
      <c r="H2056" s="2" t="str">
        <f aca="false">IF(LEFT(B2056,10)="Arsenal v ",MID(B2056,11,100),LEFT(B2056,FIND(" v ",B2056)-1))</f>
        <v>Sunderland</v>
      </c>
      <c r="I2056" s="2" t="str">
        <f aca="false">IF(F2056&lt;&gt;"","N",IF(LEFT(B2056,10)="Arsenal v ","H","A"))</f>
        <v>A</v>
      </c>
      <c r="J2056" s="2"/>
    </row>
    <row r="2057" customFormat="false" ht="15" hidden="false" customHeight="false" outlineLevel="0" collapsed="false">
      <c r="A2057" s="3" t="n">
        <v>45984</v>
      </c>
      <c r="B2057" s="2" t="s">
        <v>655</v>
      </c>
      <c r="C2057" s="2" t="s">
        <v>702</v>
      </c>
      <c r="D2057" s="2" t="s">
        <v>397</v>
      </c>
      <c r="E2057" s="2" t="s">
        <v>356</v>
      </c>
      <c r="F2057" s="2"/>
      <c r="G2057" s="2" t="s">
        <v>32</v>
      </c>
      <c r="H2057" s="2" t="str">
        <f aca="false">IF(LEFT(B2057,10)="Arsenal v ",MID(B2057,11,100),LEFT(B2057,FIND(" v ",B2057)-1))</f>
        <v>Tottenham Hotspur</v>
      </c>
      <c r="I2057" s="2" t="str">
        <f aca="false">IF(F2057&lt;&gt;"","N",IF(LEFT(B2057,10)="Arsenal v ","H","A"))</f>
        <v>H</v>
      </c>
      <c r="J2057" s="2"/>
    </row>
    <row r="2058" customFormat="false" ht="15" hidden="false" customHeight="false" outlineLevel="0" collapsed="false">
      <c r="A2058" s="3" t="n">
        <v>45987</v>
      </c>
      <c r="B2058" s="2" t="s">
        <v>802</v>
      </c>
      <c r="C2058" s="2" t="s">
        <v>702</v>
      </c>
      <c r="D2058" s="2" t="s">
        <v>377</v>
      </c>
      <c r="E2058" s="2" t="s">
        <v>352</v>
      </c>
      <c r="F2058" s="2"/>
      <c r="G2058" s="2" t="s">
        <v>32</v>
      </c>
      <c r="H2058" s="2" t="str">
        <f aca="false">IF(LEFT(B2058,10)="Arsenal v ",MID(B2058,11,100),LEFT(B2058,FIND(" v ",B2058)-1))</f>
        <v>Bayern Munchen</v>
      </c>
      <c r="I2058" s="2" t="str">
        <f aca="false">IF(F2058&lt;&gt;"","N",IF(LEFT(B2058,10)="Arsenal v ","H","A"))</f>
        <v>H</v>
      </c>
      <c r="J2058" s="2"/>
    </row>
    <row r="2059" customFormat="false" ht="15" hidden="false" customHeight="false" outlineLevel="0" collapsed="false">
      <c r="A2059" s="3" t="n">
        <v>45991</v>
      </c>
      <c r="B2059" s="2" t="s">
        <v>426</v>
      </c>
      <c r="C2059" s="2" t="s">
        <v>706</v>
      </c>
      <c r="D2059" s="2" t="s">
        <v>361</v>
      </c>
      <c r="E2059" s="2" t="s">
        <v>356</v>
      </c>
      <c r="F2059" s="2"/>
      <c r="G2059" s="2" t="s">
        <v>32</v>
      </c>
      <c r="H2059" s="2" t="str">
        <f aca="false">IF(LEFT(B2059,10)="Arsenal v ",MID(B2059,11,100),LEFT(B2059,FIND(" v ",B2059)-1))</f>
        <v>Chelsea</v>
      </c>
      <c r="I2059" s="2" t="str">
        <f aca="false">IF(F2059&lt;&gt;"","N",IF(LEFT(B2059,10)="Arsenal v ","H","A"))</f>
        <v>A</v>
      </c>
      <c r="J2059" s="2"/>
    </row>
    <row r="2060" customFormat="false" ht="15" hidden="false" customHeight="false" outlineLevel="0" collapsed="false">
      <c r="A2060" s="3" t="n">
        <v>45994</v>
      </c>
      <c r="B2060" s="2" t="s">
        <v>855</v>
      </c>
      <c r="C2060" s="2" t="s">
        <v>702</v>
      </c>
      <c r="D2060" s="2" t="s">
        <v>351</v>
      </c>
      <c r="E2060" s="2" t="s">
        <v>356</v>
      </c>
      <c r="F2060" s="2"/>
      <c r="G2060" s="2" t="s">
        <v>32</v>
      </c>
      <c r="H2060" s="2" t="str">
        <f aca="false">IF(LEFT(B2060,10)="Arsenal v ",MID(B2060,11,100),LEFT(B2060,FIND(" v ",B2060)-1))</f>
        <v>Brentford</v>
      </c>
      <c r="I2060" s="2" t="str">
        <f aca="false">IF(F2060&lt;&gt;"","N",IF(LEFT(B2060,10)="Arsenal v ","H","A"))</f>
        <v>H</v>
      </c>
      <c r="J2060" s="2"/>
    </row>
    <row r="2061" customFormat="false" ht="15" hidden="false" customHeight="false" outlineLevel="0" collapsed="false">
      <c r="A2061" s="3" t="n">
        <v>45997</v>
      </c>
      <c r="B2061" s="2" t="s">
        <v>376</v>
      </c>
      <c r="C2061" s="2" t="s">
        <v>704</v>
      </c>
      <c r="D2061" s="2" t="s">
        <v>359</v>
      </c>
      <c r="E2061" s="2" t="s">
        <v>356</v>
      </c>
      <c r="F2061" s="2"/>
      <c r="G2061" s="2" t="s">
        <v>32</v>
      </c>
      <c r="H2061" s="2" t="str">
        <f aca="false">IF(LEFT(B2061,10)="Arsenal v ",MID(B2061,11,100),LEFT(B2061,FIND(" v ",B2061)-1))</f>
        <v>Aston Villa</v>
      </c>
      <c r="I2061" s="2" t="str">
        <f aca="false">IF(F2061&lt;&gt;"","N",IF(LEFT(B2061,10)="Arsenal v ","H","A"))</f>
        <v>A</v>
      </c>
      <c r="J2061" s="2"/>
    </row>
    <row r="2062" customFormat="false" ht="15" hidden="false" customHeight="false" outlineLevel="0" collapsed="false">
      <c r="A2062" s="3" t="n">
        <v>46001</v>
      </c>
      <c r="B2062" s="2" t="s">
        <v>430</v>
      </c>
      <c r="C2062" s="2" t="s">
        <v>702</v>
      </c>
      <c r="D2062" s="2" t="s">
        <v>363</v>
      </c>
      <c r="E2062" s="2" t="s">
        <v>352</v>
      </c>
      <c r="F2062" s="2"/>
      <c r="G2062" s="2" t="s">
        <v>32</v>
      </c>
      <c r="H2062" s="2" t="str">
        <f aca="false">IF(LEFT(B2062,10)="Arsenal v ",MID(B2062,11,100),LEFT(B2062,FIND(" v ",B2062)-1))</f>
        <v>Club Brugge</v>
      </c>
      <c r="I2062" s="2" t="str">
        <f aca="false">IF(F2062&lt;&gt;"","N",IF(LEFT(B2062,10)="Arsenal v ","H","A"))</f>
        <v>A</v>
      </c>
      <c r="J2062" s="2"/>
    </row>
    <row r="2063" customFormat="false" ht="15" hidden="false" customHeight="false" outlineLevel="0" collapsed="false">
      <c r="A2063" s="3" t="n">
        <v>46004</v>
      </c>
      <c r="B2063" s="2" t="s">
        <v>762</v>
      </c>
      <c r="C2063" s="2" t="s">
        <v>702</v>
      </c>
      <c r="D2063" s="2" t="s">
        <v>359</v>
      </c>
      <c r="E2063" s="2" t="s">
        <v>356</v>
      </c>
      <c r="F2063" s="2"/>
      <c r="G2063" s="2" t="s">
        <v>32</v>
      </c>
      <c r="H2063" s="2" t="str">
        <f aca="false">IF(LEFT(B2063,10)="Arsenal v ",MID(B2063,11,100),LEFT(B2063,FIND(" v ",B2063)-1))</f>
        <v>Wolverhampton Wanderers</v>
      </c>
      <c r="I2063" s="2" t="str">
        <f aca="false">IF(F2063&lt;&gt;"","N",IF(LEFT(B2063,10)="Arsenal v ","H","A"))</f>
        <v>H</v>
      </c>
      <c r="J2063" s="2"/>
    </row>
    <row r="2064" customFormat="false" ht="15" hidden="false" customHeight="false" outlineLevel="0" collapsed="false">
      <c r="A2064" s="3" t="n">
        <v>46011</v>
      </c>
      <c r="B2064" s="2" t="s">
        <v>448</v>
      </c>
      <c r="C2064" s="2" t="s">
        <v>702</v>
      </c>
      <c r="D2064" s="2" t="s">
        <v>383</v>
      </c>
      <c r="E2064" s="2" t="s">
        <v>356</v>
      </c>
      <c r="F2064" s="2"/>
      <c r="G2064" s="2" t="s">
        <v>32</v>
      </c>
      <c r="H2064" s="2" t="str">
        <f aca="false">IF(LEFT(B2064,10)="Arsenal v ",MID(B2064,11,100),LEFT(B2064,FIND(" v ",B2064)-1))</f>
        <v>Everton</v>
      </c>
      <c r="I2064" s="2" t="str">
        <f aca="false">IF(F2064&lt;&gt;"","N",IF(LEFT(B2064,10)="Arsenal v ","H","A"))</f>
        <v>A</v>
      </c>
      <c r="J2064" s="2"/>
    </row>
    <row r="2065" customFormat="false" ht="15" hidden="false" customHeight="false" outlineLevel="0" collapsed="false">
      <c r="A2065" s="3" t="n">
        <v>46014</v>
      </c>
      <c r="B2065" s="2" t="s">
        <v>724</v>
      </c>
      <c r="C2065" s="2" t="s">
        <v>702</v>
      </c>
      <c r="D2065" s="2" t="s">
        <v>872</v>
      </c>
      <c r="E2065" s="2" t="s">
        <v>379</v>
      </c>
      <c r="F2065" s="2"/>
      <c r="G2065" s="2" t="s">
        <v>32</v>
      </c>
      <c r="H2065" s="2" t="str">
        <f aca="false">IF(LEFT(B2065,10)="Arsenal v ",MID(B2065,11,100),LEFT(B2065,FIND(" v ",B2065)-1))</f>
        <v>Crystal Palace</v>
      </c>
      <c r="I2065" s="2" t="str">
        <f aca="false">IF(F2065&lt;&gt;"","N",IF(LEFT(B2065,10)="Arsenal v ","H","A"))</f>
        <v>H</v>
      </c>
      <c r="J2065" s="2"/>
    </row>
    <row r="2066" customFormat="false" ht="15" hidden="false" customHeight="false" outlineLevel="0" collapsed="false">
      <c r="A2066" s="3" t="n">
        <v>46018</v>
      </c>
      <c r="B2066" s="2" t="s">
        <v>848</v>
      </c>
      <c r="C2066" s="2" t="s">
        <v>702</v>
      </c>
      <c r="D2066" s="2" t="s">
        <v>359</v>
      </c>
      <c r="E2066" s="2" t="s">
        <v>356</v>
      </c>
      <c r="F2066" s="2"/>
      <c r="G2066" s="2" t="s">
        <v>32</v>
      </c>
      <c r="H2066" s="2" t="str">
        <f aca="false">IF(LEFT(B2066,10)="Arsenal v ",MID(B2066,11,100),LEFT(B2066,FIND(" v ",B2066)-1))</f>
        <v>Brighton and Hove Albion</v>
      </c>
      <c r="I2066" s="2" t="str">
        <f aca="false">IF(F2066&lt;&gt;"","N",IF(LEFT(B2066,10)="Arsenal v ","H","A"))</f>
        <v>H</v>
      </c>
      <c r="J2066" s="2"/>
    </row>
    <row r="2067" customFormat="false" ht="15" hidden="false" customHeight="false" outlineLevel="0" collapsed="false">
      <c r="A2067" s="3" t="n">
        <v>46021</v>
      </c>
      <c r="B2067" s="2" t="s">
        <v>703</v>
      </c>
      <c r="C2067" s="2" t="s">
        <v>702</v>
      </c>
      <c r="D2067" s="2" t="s">
        <v>397</v>
      </c>
      <c r="E2067" s="2" t="s">
        <v>356</v>
      </c>
      <c r="F2067" s="2"/>
      <c r="G2067" s="2" t="s">
        <v>32</v>
      </c>
      <c r="H2067" s="2" t="str">
        <f aca="false">IF(LEFT(B2067,10)="Arsenal v ",MID(B2067,11,100),LEFT(B2067,FIND(" v ",B2067)-1))</f>
        <v>Aston Villa</v>
      </c>
      <c r="I2067" s="2" t="str">
        <f aca="false">IF(F2067&lt;&gt;"","N",IF(LEFT(B2067,10)="Arsenal v ","H","A"))</f>
        <v>H</v>
      </c>
      <c r="J2067" s="2"/>
    </row>
    <row r="2068" customFormat="false" ht="15" hidden="false" customHeight="false" outlineLevel="0" collapsed="false">
      <c r="A2068" s="3" t="n">
        <v>46025</v>
      </c>
      <c r="B2068" s="2" t="s">
        <v>357</v>
      </c>
      <c r="C2068" s="2" t="s">
        <v>702</v>
      </c>
      <c r="D2068" s="2" t="s">
        <v>366</v>
      </c>
      <c r="E2068" s="2" t="s">
        <v>356</v>
      </c>
      <c r="F2068" s="2"/>
      <c r="G2068" s="2" t="s">
        <v>32</v>
      </c>
      <c r="H2068" s="2" t="str">
        <f aca="false">IF(LEFT(B2068,10)="Arsenal v ",MID(B2068,11,100),LEFT(B2068,FIND(" v ",B2068)-1))</f>
        <v>AFC Bournemouth</v>
      </c>
      <c r="I2068" s="2" t="str">
        <f aca="false">IF(F2068&lt;&gt;"","N",IF(LEFT(B2068,10)="Arsenal v ","H","A"))</f>
        <v>A</v>
      </c>
      <c r="J2068" s="2"/>
    </row>
    <row r="2069" customFormat="false" ht="15" hidden="false" customHeight="false" outlineLevel="0" collapsed="false">
      <c r="A2069" s="3" t="n">
        <v>46030</v>
      </c>
      <c r="B2069" s="2" t="s">
        <v>710</v>
      </c>
      <c r="C2069" s="2" t="s">
        <v>706</v>
      </c>
      <c r="D2069" s="2" t="s">
        <v>369</v>
      </c>
      <c r="E2069" s="2" t="s">
        <v>356</v>
      </c>
      <c r="F2069" s="2"/>
      <c r="G2069" s="2" t="s">
        <v>32</v>
      </c>
      <c r="H2069" s="2" t="str">
        <f aca="false">IF(LEFT(B2069,10)="Arsenal v ",MID(B2069,11,100),LEFT(B2069,FIND(" v ",B2069)-1))</f>
        <v>Liverpool</v>
      </c>
      <c r="I2069" s="2" t="str">
        <f aca="false">IF(F2069&lt;&gt;"","N",IF(LEFT(B2069,10)="Arsenal v ","H","A"))</f>
        <v>H</v>
      </c>
      <c r="J2069" s="2"/>
    </row>
    <row r="2070" customFormat="false" ht="15" hidden="false" customHeight="false" outlineLevel="0" collapsed="false">
      <c r="A2070" s="3" t="n">
        <v>46033</v>
      </c>
      <c r="B2070" s="2" t="s">
        <v>520</v>
      </c>
      <c r="C2070" s="2" t="s">
        <v>702</v>
      </c>
      <c r="D2070" s="2" t="s">
        <v>407</v>
      </c>
      <c r="E2070" s="2" t="s">
        <v>362</v>
      </c>
      <c r="F2070" s="2"/>
      <c r="G2070" s="2" t="s">
        <v>32</v>
      </c>
      <c r="H2070" s="2" t="str">
        <f aca="false">IF(LEFT(B2070,10)="Arsenal v ",MID(B2070,11,100),LEFT(B2070,FIND(" v ",B2070)-1))</f>
        <v>Portsmouth</v>
      </c>
      <c r="I2070" s="2" t="str">
        <f aca="false">IF(F2070&lt;&gt;"","N",IF(LEFT(B2070,10)="Arsenal v ","H","A"))</f>
        <v>A</v>
      </c>
      <c r="J2070" s="2"/>
    </row>
    <row r="2071" customFormat="false" ht="15" hidden="false" customHeight="false" outlineLevel="0" collapsed="false">
      <c r="A2071" s="3" t="n">
        <v>46036</v>
      </c>
      <c r="B2071" s="2" t="s">
        <v>426</v>
      </c>
      <c r="C2071" s="2" t="s">
        <v>702</v>
      </c>
      <c r="D2071" s="2" t="s">
        <v>366</v>
      </c>
      <c r="E2071" s="2" t="s">
        <v>379</v>
      </c>
      <c r="F2071" s="2"/>
      <c r="G2071" s="2" t="s">
        <v>32</v>
      </c>
      <c r="H2071" s="2" t="str">
        <f aca="false">IF(LEFT(B2071,10)="Arsenal v ",MID(B2071,11,100),LEFT(B2071,FIND(" v ",B2071)-1))</f>
        <v>Chelsea</v>
      </c>
      <c r="I2071" s="2" t="str">
        <f aca="false">IF(F2071&lt;&gt;"","N",IF(LEFT(B2071,10)="Arsenal v ","H","A"))</f>
        <v>A</v>
      </c>
      <c r="J2071" s="2"/>
    </row>
    <row r="2072" customFormat="false" ht="15" hidden="false" customHeight="false" outlineLevel="0" collapsed="false">
      <c r="A2072" s="3" t="n">
        <v>46039</v>
      </c>
      <c r="B2072" s="2" t="s">
        <v>503</v>
      </c>
      <c r="C2072" s="2" t="s">
        <v>706</v>
      </c>
      <c r="D2072" s="2" t="s">
        <v>369</v>
      </c>
      <c r="E2072" s="2" t="s">
        <v>356</v>
      </c>
      <c r="F2072" s="2"/>
      <c r="G2072" s="2" t="s">
        <v>32</v>
      </c>
      <c r="H2072" s="2" t="str">
        <f aca="false">IF(LEFT(B2072,10)="Arsenal v ",MID(B2072,11,100),LEFT(B2072,FIND(" v ",B2072)-1))</f>
        <v>Nottingham Forest</v>
      </c>
      <c r="I2072" s="2" t="str">
        <f aca="false">IF(F2072&lt;&gt;"","N",IF(LEFT(B2072,10)="Arsenal v ","H","A"))</f>
        <v>A</v>
      </c>
      <c r="J2072" s="2"/>
    </row>
    <row r="2073" customFormat="false" ht="15" hidden="false" customHeight="false" outlineLevel="0" collapsed="false">
      <c r="A2073" s="3" t="n">
        <v>46042</v>
      </c>
      <c r="B2073" s="2" t="s">
        <v>469</v>
      </c>
      <c r="C2073" s="2" t="s">
        <v>702</v>
      </c>
      <c r="D2073" s="2" t="s">
        <v>373</v>
      </c>
      <c r="E2073" s="2" t="s">
        <v>352</v>
      </c>
      <c r="F2073" s="2"/>
      <c r="G2073" s="2" t="s">
        <v>32</v>
      </c>
      <c r="H2073" s="2" t="str">
        <f aca="false">IF(LEFT(B2073,10)="Arsenal v ",MID(B2073,11,100),LEFT(B2073,FIND(" v ",B2073)-1))</f>
        <v>Internazionale</v>
      </c>
      <c r="I2073" s="2" t="str">
        <f aca="false">IF(F2073&lt;&gt;"","N",IF(LEFT(B2073,10)="Arsenal v ","H","A"))</f>
        <v>A</v>
      </c>
      <c r="J2073" s="2"/>
    </row>
    <row r="2074" customFormat="false" ht="15" hidden="false" customHeight="false" outlineLevel="0" collapsed="false">
      <c r="A2074" s="3" t="n">
        <v>46047</v>
      </c>
      <c r="B2074" s="2" t="s">
        <v>656</v>
      </c>
      <c r="C2074" s="2" t="s">
        <v>704</v>
      </c>
      <c r="D2074" s="2" t="s">
        <v>366</v>
      </c>
      <c r="E2074" s="2" t="s">
        <v>356</v>
      </c>
      <c r="F2074" s="2"/>
      <c r="G2074" s="2" t="s">
        <v>32</v>
      </c>
      <c r="H2074" s="2" t="str">
        <f aca="false">IF(LEFT(B2074,10)="Arsenal v ",MID(B2074,11,100),LEFT(B2074,FIND(" v ",B2074)-1))</f>
        <v>Manchester United</v>
      </c>
      <c r="I2074" s="2" t="str">
        <f aca="false">IF(F2074&lt;&gt;"","N",IF(LEFT(B2074,10)="Arsenal v ","H","A"))</f>
        <v>H</v>
      </c>
      <c r="J2074" s="2"/>
    </row>
    <row r="2075" customFormat="false" ht="15" hidden="false" customHeight="false" outlineLevel="0" collapsed="false">
      <c r="A2075" s="3" t="n">
        <v>46050</v>
      </c>
      <c r="B2075" s="2" t="s">
        <v>873</v>
      </c>
      <c r="C2075" s="2" t="s">
        <v>702</v>
      </c>
      <c r="D2075" s="2" t="s">
        <v>382</v>
      </c>
      <c r="E2075" s="2" t="s">
        <v>352</v>
      </c>
      <c r="F2075" s="2"/>
      <c r="G2075" s="2" t="s">
        <v>32</v>
      </c>
      <c r="H2075" s="2" t="str">
        <f aca="false">IF(LEFT(B2075,10)="Arsenal v ",MID(B2075,11,100),LEFT(B2075,FIND(" v ",B2075)-1))</f>
        <v>FC Kairat Almaty</v>
      </c>
      <c r="I2075" s="2" t="str">
        <f aca="false">IF(F2075&lt;&gt;"","N",IF(LEFT(B2075,10)="Arsenal v ","H","A"))</f>
        <v>H</v>
      </c>
      <c r="J2075" s="2"/>
    </row>
    <row r="2076" customFormat="false" ht="15" hidden="false" customHeight="false" outlineLevel="0" collapsed="false">
      <c r="A2076" s="3" t="n">
        <v>46053</v>
      </c>
      <c r="B2076" s="2" t="s">
        <v>473</v>
      </c>
      <c r="C2076" s="2" t="s">
        <v>702</v>
      </c>
      <c r="D2076" s="2" t="s">
        <v>365</v>
      </c>
      <c r="E2076" s="2" t="s">
        <v>356</v>
      </c>
      <c r="F2076" s="2"/>
      <c r="G2076" s="2" t="s">
        <v>32</v>
      </c>
      <c r="H2076" s="2" t="str">
        <f aca="false">IF(LEFT(B2076,10)="Arsenal v ",MID(B2076,11,100),LEFT(B2076,FIND(" v ",B2076)-1))</f>
        <v>Leeds United</v>
      </c>
      <c r="I2076" s="2" t="str">
        <f aca="false">IF(F2076&lt;&gt;"","N",IF(LEFT(B2076,10)="Arsenal v ","H","A"))</f>
        <v>A</v>
      </c>
      <c r="J2076" s="2"/>
    </row>
    <row r="2077" customFormat="false" ht="15" hidden="false" customHeight="false" outlineLevel="0" collapsed="false">
      <c r="A2077" s="3" t="n">
        <v>46056</v>
      </c>
      <c r="B2077" s="2" t="s">
        <v>725</v>
      </c>
      <c r="C2077" s="2" t="s">
        <v>702</v>
      </c>
      <c r="D2077" s="2" t="s">
        <v>348</v>
      </c>
      <c r="E2077" s="2" t="s">
        <v>379</v>
      </c>
      <c r="F2077" s="2"/>
      <c r="G2077" s="2" t="s">
        <v>32</v>
      </c>
      <c r="H2077" s="2" t="str">
        <f aca="false">IF(LEFT(B2077,10)="Arsenal v ",MID(B2077,11,100),LEFT(B2077,FIND(" v ",B2077)-1))</f>
        <v>Chelsea</v>
      </c>
      <c r="I2077" s="2" t="str">
        <f aca="false">IF(F2077&lt;&gt;"","N",IF(LEFT(B2077,10)="Arsenal v ","H","A"))</f>
        <v>H</v>
      </c>
      <c r="J2077" s="2"/>
    </row>
    <row r="2078" customFormat="false" ht="15" hidden="false" customHeight="false" outlineLevel="0" collapsed="false">
      <c r="A2078" s="3" t="n">
        <v>46060</v>
      </c>
      <c r="B2078" s="2" t="s">
        <v>727</v>
      </c>
      <c r="C2078" s="2" t="s">
        <v>702</v>
      </c>
      <c r="D2078" s="2" t="s">
        <v>434</v>
      </c>
      <c r="E2078" s="2" t="s">
        <v>356</v>
      </c>
      <c r="F2078" s="2"/>
      <c r="G2078" s="2" t="s">
        <v>32</v>
      </c>
      <c r="H2078" s="2" t="str">
        <f aca="false">IF(LEFT(B2078,10)="Arsenal v ",MID(B2078,11,100),LEFT(B2078,FIND(" v ",B2078)-1))</f>
        <v>Sunderland</v>
      </c>
      <c r="I2078" s="2" t="str">
        <f aca="false">IF(F2078&lt;&gt;"","N",IF(LEFT(B2078,10)="Arsenal v ","H","A"))</f>
        <v>H</v>
      </c>
      <c r="J2078" s="2"/>
    </row>
    <row r="2079" customFormat="false" ht="15" hidden="false" customHeight="false" outlineLevel="0" collapsed="false">
      <c r="A2079" s="3" t="n">
        <v>46065</v>
      </c>
      <c r="B2079" s="2" t="s">
        <v>416</v>
      </c>
      <c r="C2079" s="2" t="s">
        <v>706</v>
      </c>
      <c r="D2079" s="2" t="s">
        <v>361</v>
      </c>
      <c r="E2079" s="2" t="s">
        <v>356</v>
      </c>
      <c r="F2079" s="2"/>
      <c r="G2079" s="2" t="s">
        <v>32</v>
      </c>
      <c r="H2079" s="2" t="str">
        <f aca="false">IF(LEFT(B2079,10)="Arsenal v ",MID(B2079,11,100),LEFT(B2079,FIND(" v ",B2079)-1))</f>
        <v>Brentford</v>
      </c>
      <c r="I2079" s="2" t="str">
        <f aca="false">IF(F2079&lt;&gt;"","N",IF(LEFT(B2079,10)="Arsenal v ","H","A"))</f>
        <v>A</v>
      </c>
      <c r="J2079" s="2"/>
    </row>
    <row r="2080" customFormat="false" ht="15" hidden="false" customHeight="false" outlineLevel="0" collapsed="false">
      <c r="A2080" s="3" t="n">
        <v>46068</v>
      </c>
      <c r="B2080" s="2" t="s">
        <v>808</v>
      </c>
      <c r="C2080" s="2" t="s">
        <v>702</v>
      </c>
      <c r="D2080" s="2" t="s">
        <v>354</v>
      </c>
      <c r="E2080" s="2" t="s">
        <v>362</v>
      </c>
      <c r="F2080" s="2"/>
      <c r="G2080" s="2" t="s">
        <v>32</v>
      </c>
      <c r="H2080" s="2" t="str">
        <f aca="false">IF(LEFT(B2080,10)="Arsenal v ",MID(B2080,11,100),LEFT(B2080,FIND(" v ",B2080)-1))</f>
        <v>Wigan Athletic</v>
      </c>
      <c r="I2080" s="2" t="str">
        <f aca="false">IF(F2080&lt;&gt;"","N",IF(LEFT(B2080,10)="Arsenal v ","H","A"))</f>
        <v>H</v>
      </c>
      <c r="J2080" s="2"/>
    </row>
    <row r="2081" customFormat="false" ht="15" hidden="false" customHeight="false" outlineLevel="0" collapsed="false">
      <c r="A2081" s="3" t="n">
        <v>46071</v>
      </c>
      <c r="B2081" s="2" t="s">
        <v>575</v>
      </c>
      <c r="C2081" s="2" t="s">
        <v>706</v>
      </c>
      <c r="D2081" s="2" t="s">
        <v>380</v>
      </c>
      <c r="E2081" s="2" t="s">
        <v>356</v>
      </c>
      <c r="F2081" s="2"/>
      <c r="G2081" s="2" t="s">
        <v>32</v>
      </c>
      <c r="H2081" s="2" t="str">
        <f aca="false">IF(LEFT(B2081,10)="Arsenal v ",MID(B2081,11,100),LEFT(B2081,FIND(" v ",B2081)-1))</f>
        <v>Wolverhampton Wanderers</v>
      </c>
      <c r="I2081" s="2" t="str">
        <f aca="false">IF(F2081&lt;&gt;"","N",IF(LEFT(B2081,10)="Arsenal v ","H","A"))</f>
        <v>A</v>
      </c>
      <c r="J2081" s="2"/>
    </row>
    <row r="2082" customFormat="false" ht="15" hidden="false" customHeight="false" outlineLevel="0" collapsed="false">
      <c r="A2082" s="3" t="n">
        <v>46075</v>
      </c>
      <c r="B2082" s="2" t="s">
        <v>561</v>
      </c>
      <c r="C2082" s="2" t="s">
        <v>702</v>
      </c>
      <c r="D2082" s="2" t="s">
        <v>407</v>
      </c>
      <c r="E2082" s="2" t="s">
        <v>356</v>
      </c>
      <c r="F2082" s="2"/>
      <c r="G2082" s="2" t="s">
        <v>32</v>
      </c>
      <c r="H2082" s="2" t="str">
        <f aca="false">IF(LEFT(B2082,10)="Arsenal v ",MID(B2082,11,100),LEFT(B2082,FIND(" v ",B2082)-1))</f>
        <v>Tottenham Hotspur</v>
      </c>
      <c r="I2082" s="2" t="str">
        <f aca="false">IF(F2082&lt;&gt;"","N",IF(LEFT(B2082,10)="Arsenal v ","H","A"))</f>
        <v>A</v>
      </c>
      <c r="J2082" s="2"/>
    </row>
    <row r="2083" customFormat="false" ht="15" hidden="false" customHeight="false" outlineLevel="0" collapsed="false">
      <c r="A2083" s="3" t="n">
        <v>46082</v>
      </c>
      <c r="B2083" s="2" t="s">
        <v>725</v>
      </c>
      <c r="C2083" s="2" t="s">
        <v>702</v>
      </c>
      <c r="D2083" s="2" t="s">
        <v>359</v>
      </c>
      <c r="E2083" s="2" t="s">
        <v>356</v>
      </c>
      <c r="F2083" s="2"/>
      <c r="G2083" s="2" t="s">
        <v>32</v>
      </c>
      <c r="H2083" s="2" t="str">
        <f aca="false">IF(LEFT(B2083,10)="Arsenal v ",MID(B2083,11,100),LEFT(B2083,FIND(" v ",B2083)-1))</f>
        <v>Chelsea</v>
      </c>
      <c r="I2083" s="2" t="str">
        <f aca="false">IF(F2083&lt;&gt;"","N",IF(LEFT(B2083,10)="Arsenal v ","H","A"))</f>
        <v>H</v>
      </c>
      <c r="J2083" s="2"/>
    </row>
    <row r="2084" customFormat="false" ht="15" hidden="false" customHeight="false" outlineLevel="0" collapsed="false">
      <c r="A2084" s="3" t="n">
        <v>46085</v>
      </c>
      <c r="B2084" s="2" t="s">
        <v>417</v>
      </c>
      <c r="C2084" s="2" t="s">
        <v>702</v>
      </c>
      <c r="D2084" s="2" t="s">
        <v>383</v>
      </c>
      <c r="E2084" s="2" t="s">
        <v>356</v>
      </c>
      <c r="F2084" s="2"/>
      <c r="G2084" s="2" t="s">
        <v>32</v>
      </c>
      <c r="H2084" s="2" t="str">
        <f aca="false">IF(LEFT(B2084,10)="Arsenal v ",MID(B2084,11,100),LEFT(B2084,FIND(" v ",B2084)-1))</f>
        <v>Brighton and Hove Albion</v>
      </c>
      <c r="I2084" s="2" t="str">
        <f aca="false">IF(F2084&lt;&gt;"","N",IF(LEFT(B2084,10)="Arsenal v ","H","A"))</f>
        <v>A</v>
      </c>
      <c r="J2084" s="2"/>
    </row>
    <row r="2085" customFormat="false" ht="15" hidden="false" customHeight="false" outlineLevel="0" collapsed="false">
      <c r="A2085" s="3" t="n">
        <v>46088</v>
      </c>
      <c r="B2085" s="2" t="s">
        <v>493</v>
      </c>
      <c r="C2085" s="2" t="s">
        <v>702</v>
      </c>
      <c r="D2085" s="2" t="s">
        <v>360</v>
      </c>
      <c r="E2085" s="2" t="s">
        <v>362</v>
      </c>
      <c r="F2085" s="2"/>
      <c r="G2085" s="2" t="s">
        <v>32</v>
      </c>
      <c r="H2085" s="2" t="str">
        <f aca="false">IF(LEFT(B2085,10)="Arsenal v ",MID(B2085,11,100),LEFT(B2085,FIND(" v ",B2085)-1))</f>
        <v>Mansfield Town</v>
      </c>
      <c r="I2085" s="2" t="str">
        <f aca="false">IF(F2085&lt;&gt;"","N",IF(LEFT(B2085,10)="Arsenal v ","H","A"))</f>
        <v>A</v>
      </c>
      <c r="J2085" s="2"/>
    </row>
    <row r="2086" customFormat="false" ht="15" hidden="false" customHeight="false" outlineLevel="0" collapsed="false">
      <c r="A2086" s="3" t="n">
        <v>46092</v>
      </c>
      <c r="B2086" s="2" t="s">
        <v>399</v>
      </c>
      <c r="C2086" s="2" t="s">
        <v>706</v>
      </c>
      <c r="D2086" s="2" t="s">
        <v>361</v>
      </c>
      <c r="E2086" s="2" t="s">
        <v>352</v>
      </c>
      <c r="F2086" s="2"/>
      <c r="G2086" s="2" t="s">
        <v>32</v>
      </c>
      <c r="H2086" s="2" t="str">
        <f aca="false">IF(LEFT(B2086,10)="Arsenal v ",MID(B2086,11,100),LEFT(B2086,FIND(" v ",B2086)-1))</f>
        <v>Bayer Leverkusen</v>
      </c>
      <c r="I2086" s="2" t="str">
        <f aca="false">IF(F2086&lt;&gt;"","N",IF(LEFT(B2086,10)="Arsenal v ","H","A"))</f>
        <v>A</v>
      </c>
      <c r="J2086" s="2"/>
    </row>
    <row r="2087" customFormat="false" ht="15" hidden="false" customHeight="false" outlineLevel="0" collapsed="false">
      <c r="A2087" s="3" t="n">
        <v>46095</v>
      </c>
      <c r="B2087" s="2" t="s">
        <v>718</v>
      </c>
      <c r="C2087" s="2" t="s">
        <v>702</v>
      </c>
      <c r="D2087" s="2" t="s">
        <v>351</v>
      </c>
      <c r="E2087" s="2" t="s">
        <v>356</v>
      </c>
      <c r="F2087" s="2"/>
      <c r="G2087" s="2" t="s">
        <v>32</v>
      </c>
      <c r="H2087" s="2" t="str">
        <f aca="false">IF(LEFT(B2087,10)="Arsenal v ",MID(B2087,11,100),LEFT(B2087,FIND(" v ",B2087)-1))</f>
        <v>Everton</v>
      </c>
      <c r="I2087" s="2" t="str">
        <f aca="false">IF(F2087&lt;&gt;"","N",IF(LEFT(B2087,10)="Arsenal v ","H","A"))</f>
        <v>H</v>
      </c>
      <c r="J2087" s="2"/>
    </row>
    <row r="2088" customFormat="false" ht="15" hidden="false" customHeight="false" outlineLevel="0" collapsed="false">
      <c r="A2088" s="3" t="n">
        <v>46098</v>
      </c>
      <c r="B2088" s="2" t="s">
        <v>785</v>
      </c>
      <c r="C2088" s="2" t="s">
        <v>702</v>
      </c>
      <c r="D2088" s="2" t="s">
        <v>351</v>
      </c>
      <c r="E2088" s="2" t="s">
        <v>352</v>
      </c>
      <c r="F2088" s="2"/>
      <c r="G2088" s="2" t="s">
        <v>32</v>
      </c>
      <c r="H2088" s="2" t="str">
        <f aca="false">IF(LEFT(B2088,10)="Arsenal v ",MID(B2088,11,100),LEFT(B2088,FIND(" v ",B2088)-1))</f>
        <v>Bayer Leverkusen</v>
      </c>
      <c r="I2088" s="2" t="str">
        <f aca="false">IF(F2088&lt;&gt;"","N",IF(LEFT(B2088,10)="Arsenal v ","H","A"))</f>
        <v>H</v>
      </c>
      <c r="J2088" s="2"/>
    </row>
    <row r="2089" customFormat="false" ht="15" hidden="false" customHeight="false" outlineLevel="0" collapsed="false">
      <c r="A2089" s="3" t="n">
        <v>46103</v>
      </c>
      <c r="B2089" s="2" t="s">
        <v>657</v>
      </c>
      <c r="C2089" s="2" t="s">
        <v>704</v>
      </c>
      <c r="D2089" s="2" t="s">
        <v>353</v>
      </c>
      <c r="E2089" s="2" t="s">
        <v>379</v>
      </c>
      <c r="F2089" s="2" t="s">
        <v>652</v>
      </c>
      <c r="G2089" s="2" t="s">
        <v>32</v>
      </c>
      <c r="H2089" s="2" t="str">
        <f aca="false">IF(LEFT(B2089,10)="Arsenal v ",MID(B2089,11,100),LEFT(B2089,FIND(" v ",B2089)-1))</f>
        <v>Manchester City</v>
      </c>
      <c r="I2089" s="2" t="str">
        <f aca="false">IF(F2089&lt;&gt;"","N",IF(LEFT(B2089,10)="Arsenal v ","H","A"))</f>
        <v>N</v>
      </c>
      <c r="J2089" s="2"/>
    </row>
    <row r="2090" customFormat="false" ht="15" hidden="false" customHeight="false" outlineLevel="0" collapsed="false">
      <c r="A2090" s="3" t="n">
        <v>46116</v>
      </c>
      <c r="B2090" s="2" t="s">
        <v>546</v>
      </c>
      <c r="C2090" s="2" t="s">
        <v>704</v>
      </c>
      <c r="D2090" s="2" t="s">
        <v>359</v>
      </c>
      <c r="E2090" s="2" t="s">
        <v>362</v>
      </c>
      <c r="F2090" s="2"/>
      <c r="G2090" s="2" t="s">
        <v>32</v>
      </c>
      <c r="H2090" s="2" t="str">
        <f aca="false">IF(LEFT(B2090,10)="Arsenal v ",MID(B2090,11,100),LEFT(B2090,FIND(" v ",B2090)-1))</f>
        <v>Southampton</v>
      </c>
      <c r="I2090" s="2" t="str">
        <f aca="false">IF(F2090&lt;&gt;"","N",IF(LEFT(B2090,10)="Arsenal v ","H","A"))</f>
        <v>A</v>
      </c>
      <c r="J2090" s="2"/>
    </row>
    <row r="2091" customFormat="false" ht="15" hidden="false" customHeight="false" outlineLevel="0" collapsed="false">
      <c r="A2091" s="3" t="n">
        <v>46119</v>
      </c>
      <c r="B2091" s="2" t="s">
        <v>550</v>
      </c>
      <c r="C2091" s="2" t="s">
        <v>702</v>
      </c>
      <c r="D2091" s="2" t="s">
        <v>383</v>
      </c>
      <c r="E2091" s="2" t="s">
        <v>352</v>
      </c>
      <c r="F2091" s="2"/>
      <c r="G2091" s="2" t="s">
        <v>32</v>
      </c>
      <c r="H2091" s="2" t="str">
        <f aca="false">IF(LEFT(B2091,10)="Arsenal v ",MID(B2091,11,100),LEFT(B2091,FIND(" v ",B2091)-1))</f>
        <v>Sporting Clube Portugal</v>
      </c>
      <c r="I2091" s="2" t="str">
        <f aca="false">IF(F2091&lt;&gt;"","N",IF(LEFT(B2091,10)="Arsenal v ","H","A"))</f>
        <v>A</v>
      </c>
      <c r="J2091" s="2"/>
    </row>
    <row r="2092" customFormat="false" ht="15" hidden="false" customHeight="false" outlineLevel="0" collapsed="false">
      <c r="A2092" s="3" t="n">
        <v>46123</v>
      </c>
      <c r="B2092" s="2" t="s">
        <v>841</v>
      </c>
      <c r="C2092" s="2" t="s">
        <v>704</v>
      </c>
      <c r="D2092" s="2" t="s">
        <v>360</v>
      </c>
      <c r="E2092" s="2" t="s">
        <v>356</v>
      </c>
      <c r="F2092" s="2"/>
      <c r="G2092" s="2" t="s">
        <v>32</v>
      </c>
      <c r="H2092" s="2" t="str">
        <f aca="false">IF(LEFT(B2092,10)="Arsenal v ",MID(B2092,11,100),LEFT(B2092,FIND(" v ",B2092)-1))</f>
        <v>AFC Bournemouth</v>
      </c>
      <c r="I2092" s="2" t="str">
        <f aca="false">IF(F2092&lt;&gt;"","N",IF(LEFT(B2092,10)="Arsenal v ","H","A"))</f>
        <v>H</v>
      </c>
      <c r="J2092" s="2"/>
    </row>
    <row r="2093" customFormat="false" ht="15" hidden="false" customHeight="false" outlineLevel="0" collapsed="false">
      <c r="A2093" s="3" t="n">
        <v>46127</v>
      </c>
      <c r="B2093" s="2" t="s">
        <v>856</v>
      </c>
      <c r="C2093" s="2" t="s">
        <v>706</v>
      </c>
      <c r="D2093" s="2" t="s">
        <v>369</v>
      </c>
      <c r="E2093" s="2" t="s">
        <v>352</v>
      </c>
      <c r="F2093" s="2"/>
      <c r="G2093" s="2" t="s">
        <v>32</v>
      </c>
      <c r="H2093" s="2" t="str">
        <f aca="false">IF(LEFT(B2093,10)="Arsenal v ",MID(B2093,11,100),LEFT(B2093,FIND(" v ",B2093)-1))</f>
        <v>Sporting Clube Portugal</v>
      </c>
      <c r="I2093" s="2" t="str">
        <f aca="false">IF(F2093&lt;&gt;"","N",IF(LEFT(B2093,10)="Arsenal v ","H","A"))</f>
        <v>H</v>
      </c>
      <c r="J2093" s="2"/>
    </row>
    <row r="2094" customFormat="false" ht="15" hidden="false" customHeight="false" outlineLevel="0" collapsed="false">
      <c r="A2094" s="3" t="n">
        <v>46131</v>
      </c>
      <c r="B2094" s="2" t="s">
        <v>487</v>
      </c>
      <c r="C2094" s="2" t="s">
        <v>704</v>
      </c>
      <c r="D2094" s="2" t="s">
        <v>359</v>
      </c>
      <c r="E2094" s="2" t="s">
        <v>356</v>
      </c>
      <c r="F2094" s="2"/>
      <c r="G2094" s="2" t="s">
        <v>32</v>
      </c>
      <c r="H2094" s="2" t="str">
        <f aca="false">IF(LEFT(B2094,10)="Arsenal v ",MID(B2094,11,100),LEFT(B2094,FIND(" v ",B2094)-1))</f>
        <v>Manchester City</v>
      </c>
      <c r="I2094" s="2" t="str">
        <f aca="false">IF(F2094&lt;&gt;"","N",IF(LEFT(B2094,10)="Arsenal v ","H","A"))</f>
        <v>A</v>
      </c>
      <c r="J2094" s="2"/>
    </row>
    <row r="2095" customFormat="false" ht="15" hidden="false" customHeight="false" outlineLevel="0" collapsed="false">
      <c r="A2095" s="3" t="n">
        <v>46137</v>
      </c>
      <c r="B2095" s="2" t="s">
        <v>719</v>
      </c>
      <c r="C2095" s="2" t="s">
        <v>702</v>
      </c>
      <c r="D2095" s="2" t="s">
        <v>348</v>
      </c>
      <c r="E2095" s="2" t="s">
        <v>356</v>
      </c>
      <c r="F2095" s="2"/>
      <c r="G2095" s="2" t="s">
        <v>32</v>
      </c>
      <c r="H2095" s="2" t="str">
        <f aca="false">IF(LEFT(B2095,10)="Arsenal v ",MID(B2095,11,100),LEFT(B2095,FIND(" v ",B2095)-1))</f>
        <v>Newcastle United</v>
      </c>
      <c r="I2095" s="2" t="str">
        <f aca="false">IF(F2095&lt;&gt;"","N",IF(LEFT(B2095,10)="Arsenal v ","H","A"))</f>
        <v>H</v>
      </c>
      <c r="J2095" s="2"/>
    </row>
    <row r="2096" customFormat="false" ht="15" hidden="false" customHeight="false" outlineLevel="0" collapsed="false">
      <c r="A2096" s="3" t="n">
        <v>46141</v>
      </c>
      <c r="B2096" s="2" t="s">
        <v>389</v>
      </c>
      <c r="C2096" s="2" t="s">
        <v>706</v>
      </c>
      <c r="D2096" s="2" t="s">
        <v>361</v>
      </c>
      <c r="E2096" s="2" t="s">
        <v>352</v>
      </c>
      <c r="F2096" s="2"/>
      <c r="G2096" s="2" t="s">
        <v>32</v>
      </c>
      <c r="H2096" s="2" t="str">
        <f aca="false">IF(LEFT(B2096,10)="Arsenal v ",MID(B2096,11,100),LEFT(B2096,FIND(" v ",B2096)-1))</f>
        <v>Atletico Madrid</v>
      </c>
      <c r="I2096" s="2" t="str">
        <f aca="false">IF(F2096&lt;&gt;"","N",IF(LEFT(B2096,10)="Arsenal v ","H","A"))</f>
        <v>A</v>
      </c>
      <c r="J2096" s="2"/>
    </row>
    <row r="2097" customFormat="false" ht="15" hidden="false" customHeight="false" outlineLevel="0" collapsed="false">
      <c r="A2097" s="3" t="n">
        <v>46144</v>
      </c>
      <c r="B2097" s="2" t="s">
        <v>784</v>
      </c>
      <c r="C2097" s="2" t="s">
        <v>702</v>
      </c>
      <c r="D2097" s="2" t="s">
        <v>434</v>
      </c>
      <c r="E2097" s="2" t="s">
        <v>356</v>
      </c>
      <c r="F2097" s="2"/>
      <c r="G2097" s="2" t="s">
        <v>32</v>
      </c>
      <c r="H2097" s="2" t="str">
        <f aca="false">IF(LEFT(B2097,10)="Arsenal v ",MID(B2097,11,100),LEFT(B2097,FIND(" v ",B2097)-1))</f>
        <v>Fulham</v>
      </c>
      <c r="I2097" s="2" t="str">
        <f aca="false">IF(F2097&lt;&gt;"","N",IF(LEFT(B2097,10)="Arsenal v ","H","A"))</f>
        <v>H</v>
      </c>
      <c r="J2097" s="2"/>
    </row>
    <row r="2098" customFormat="false" ht="15" hidden="false" customHeight="false" outlineLevel="0" collapsed="false">
      <c r="A2098" s="3" t="n">
        <v>46147</v>
      </c>
      <c r="B2098" s="2" t="s">
        <v>871</v>
      </c>
      <c r="C2098" s="2" t="s">
        <v>702</v>
      </c>
      <c r="D2098" s="2" t="s">
        <v>348</v>
      </c>
      <c r="E2098" s="2" t="s">
        <v>352</v>
      </c>
      <c r="F2098" s="2"/>
      <c r="G2098" s="2" t="s">
        <v>32</v>
      </c>
      <c r="H2098" s="2" t="str">
        <f aca="false">IF(LEFT(B2098,10)="Arsenal v ",MID(B2098,11,100),LEFT(B2098,FIND(" v ",B2098)-1))</f>
        <v>Atletico Madrid</v>
      </c>
      <c r="I2098" s="2" t="str">
        <f aca="false">IF(F2098&lt;&gt;"","N",IF(LEFT(B2098,10)="Arsenal v ","H","A"))</f>
        <v>H</v>
      </c>
      <c r="J2098" s="2"/>
    </row>
    <row r="2099" customFormat="false" ht="15" hidden="false" customHeight="false" outlineLevel="0" collapsed="false">
      <c r="A2099" s="3" t="n">
        <v>46152</v>
      </c>
      <c r="B2099" s="2" t="s">
        <v>572</v>
      </c>
      <c r="C2099" s="2" t="s">
        <v>702</v>
      </c>
      <c r="D2099" s="2" t="s">
        <v>383</v>
      </c>
      <c r="E2099" s="2" t="s">
        <v>356</v>
      </c>
      <c r="F2099" s="2"/>
      <c r="G2099" s="2" t="s">
        <v>32</v>
      </c>
      <c r="H2099" s="2" t="str">
        <f aca="false">IF(LEFT(B2099,10)="Arsenal v ",MID(B2099,11,100),LEFT(B2099,FIND(" v ",B2099)-1))</f>
        <v>West Ham United</v>
      </c>
      <c r="I2099" s="2" t="str">
        <f aca="false">IF(F2099&lt;&gt;"","N",IF(LEFT(B2099,10)="Arsenal v ","H","A"))</f>
        <v>A</v>
      </c>
      <c r="J2099" s="2"/>
    </row>
    <row r="2100" customFormat="false" ht="15" hidden="false" customHeight="false" outlineLevel="0" collapsed="false">
      <c r="A2100" s="3" t="n">
        <v>46160</v>
      </c>
      <c r="B2100" s="2" t="s">
        <v>822</v>
      </c>
      <c r="C2100" s="2" t="s">
        <v>702</v>
      </c>
      <c r="D2100" s="2" t="s">
        <v>348</v>
      </c>
      <c r="E2100" s="2" t="s">
        <v>356</v>
      </c>
      <c r="F2100" s="2"/>
      <c r="G2100" s="2" t="s">
        <v>32</v>
      </c>
      <c r="H2100" s="2" t="str">
        <f aca="false">IF(LEFT(B2100,10)="Arsenal v ",MID(B2100,11,100),LEFT(B2100,FIND(" v ",B2100)-1))</f>
        <v>Burnley</v>
      </c>
      <c r="I2100" s="2" t="str">
        <f aca="false">IF(F2100&lt;&gt;"","N",IF(LEFT(B2100,10)="Arsenal v ","H","A"))</f>
        <v>H</v>
      </c>
      <c r="J2100" s="2"/>
    </row>
    <row r="2101" customFormat="false" ht="15" hidden="false" customHeight="false" outlineLevel="0" collapsed="false">
      <c r="A2101" s="3" t="n">
        <v>46166</v>
      </c>
      <c r="B2101" s="2" t="s">
        <v>433</v>
      </c>
      <c r="C2101" s="2" t="s">
        <v>702</v>
      </c>
      <c r="D2101" s="2" t="s">
        <v>360</v>
      </c>
      <c r="E2101" s="2" t="s">
        <v>356</v>
      </c>
      <c r="F2101" s="2"/>
      <c r="G2101" s="2" t="s">
        <v>32</v>
      </c>
      <c r="H2101" s="2" t="str">
        <f aca="false">IF(LEFT(B2101,10)="Arsenal v ",MID(B2101,11,100),LEFT(B2101,FIND(" v ",B2101)-1))</f>
        <v>Crystal Palace</v>
      </c>
      <c r="I2101" s="2" t="str">
        <f aca="false">IF(F2101&lt;&gt;"","N",IF(LEFT(B2101,10)="Arsenal v ","H","A"))</f>
        <v>A</v>
      </c>
      <c r="J2101" s="2"/>
    </row>
    <row r="2102" customFormat="false" ht="15" hidden="false" customHeight="false" outlineLevel="0" collapsed="false">
      <c r="A2102" s="3" t="n">
        <v>46172</v>
      </c>
      <c r="B2102" s="2" t="s">
        <v>514</v>
      </c>
      <c r="C2102" s="2" t="s">
        <v>704</v>
      </c>
      <c r="D2102" s="2" t="s">
        <v>794</v>
      </c>
      <c r="E2102" s="2" t="s">
        <v>352</v>
      </c>
      <c r="F2102" s="2" t="s">
        <v>874</v>
      </c>
      <c r="G2102" s="2" t="s">
        <v>32</v>
      </c>
      <c r="H2102" s="2" t="str">
        <f aca="false">IF(LEFT(B2102,10)="Arsenal v ",MID(B2102,11,100),LEFT(B2102,FIND(" v ",B2102)-1))</f>
        <v>Paris St Germain</v>
      </c>
      <c r="I2102" s="2" t="str">
        <f aca="false">IF(F2102&lt;&gt;"","N",IF(LEFT(B2102,10)="Arsenal v ","H","A"))</f>
        <v>N</v>
      </c>
      <c r="J2102" s="2"/>
    </row>
  </sheetData>
  <autoFilter ref="A1:J2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2026-09-29T17:27:21Z</dcterms:created>
  <dc:creator>openpyxl</dc:creator>
  <dc:description/>
  <dc:language>en-US</dc:language>
  <cp:lastModifiedBy/>
  <dcterms:modified xsi:type="dcterms:W3CDTF">2026-09-29T17:27:21Z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